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a8f81ab5bbd9e8/Profissional/Trader/Dollar Academy/"/>
    </mc:Choice>
  </mc:AlternateContent>
  <xr:revisionPtr revIDLastSave="946" documentId="8_{6AD269E2-E877-475A-9B60-5CA51A7252CE}" xr6:coauthVersionLast="47" xr6:coauthVersionMax="47" xr10:uidLastSave="{15DE0E24-31C4-4198-8406-17AB8A3A011A}"/>
  <bookViews>
    <workbookView xWindow="28770" yWindow="-60" windowWidth="29040" windowHeight="15720" tabRatio="864" activeTab="4" xr2:uid="{1E5F2BF6-0B8A-4735-BF28-4BEE08D83AAD}"/>
  </bookViews>
  <sheets>
    <sheet name="SV com Ptax" sheetId="6" r:id="rId1"/>
    <sheet name="DADOS HISTÓRICOS" sheetId="9" r:id="rId2"/>
    <sheet name="01_07 a 10_10 DOLFUT VOL 30min" sheetId="10" r:id="rId3"/>
    <sheet name="PTAX BC" sheetId="8" r:id="rId4"/>
    <sheet name="RTD" sheetId="11" r:id="rId5"/>
  </sheets>
  <definedNames>
    <definedName name="DadosExternos_1" localSheetId="0" hidden="1">'SV com Ptax'!#REF!</definedName>
    <definedName name="DadosExternos_2" localSheetId="3" hidden="1">'PTAX BC'!$A$1:$B$2059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C2" i="11"/>
  <c r="D2" i="11"/>
  <c r="E2" i="11"/>
  <c r="F2" i="11"/>
  <c r="G2" i="11"/>
  <c r="H2" i="11"/>
  <c r="I2" i="11"/>
  <c r="J2" i="11"/>
  <c r="K2" i="11"/>
  <c r="L2" i="11"/>
  <c r="M2" i="11"/>
  <c r="B3" i="11"/>
  <c r="C3" i="11"/>
  <c r="D3" i="11"/>
  <c r="E3" i="11"/>
  <c r="F3" i="11"/>
  <c r="G3" i="11"/>
  <c r="H3" i="11"/>
  <c r="I3" i="11"/>
  <c r="J3" i="11"/>
  <c r="K3" i="11"/>
  <c r="L3" i="11"/>
  <c r="M3" i="11"/>
  <c r="B4" i="11"/>
  <c r="C4" i="11"/>
  <c r="D4" i="11"/>
  <c r="E4" i="11"/>
  <c r="F4" i="11"/>
  <c r="G4" i="11"/>
  <c r="H4" i="11"/>
  <c r="I4" i="11"/>
  <c r="J4" i="11"/>
  <c r="K4" i="11"/>
  <c r="L4" i="11"/>
  <c r="M4" i="11"/>
  <c r="B5" i="11"/>
  <c r="C5" i="11"/>
  <c r="D5" i="11"/>
  <c r="E5" i="11"/>
  <c r="F5" i="11"/>
  <c r="G5" i="11"/>
  <c r="H5" i="11"/>
  <c r="I5" i="11"/>
  <c r="J5" i="11"/>
  <c r="K5" i="11"/>
  <c r="L5" i="11"/>
  <c r="M5" i="11"/>
  <c r="B6" i="11"/>
  <c r="C6" i="11"/>
  <c r="D6" i="11"/>
  <c r="E6" i="11"/>
  <c r="F6" i="11"/>
  <c r="G6" i="11"/>
  <c r="H6" i="11"/>
  <c r="I6" i="11"/>
  <c r="J6" i="11"/>
  <c r="K6" i="11"/>
  <c r="L6" i="11"/>
  <c r="M6" i="11"/>
  <c r="B5" i="6"/>
  <c r="B2" i="6"/>
  <c r="N2" i="6"/>
  <c r="F2" i="6"/>
  <c r="D4" i="6"/>
  <c r="D5" i="6"/>
  <c r="C5" i="6"/>
  <c r="B6" i="6" s="1"/>
  <c r="K2" i="6"/>
  <c r="I2" i="9"/>
  <c r="G4" i="6" l="1"/>
  <c r="G2" i="6"/>
  <c r="C2" i="6"/>
  <c r="D2" i="6"/>
  <c r="E2" i="6"/>
  <c r="E12" i="6"/>
  <c r="E5" i="6"/>
  <c r="F5" i="6"/>
  <c r="G5" i="6"/>
  <c r="B31" i="6" a="1"/>
  <c r="B32" i="6" a="1"/>
  <c r="B33" i="6" a="1"/>
  <c r="B34" i="6" a="1"/>
  <c r="B35" i="6" a="1"/>
  <c r="F4" i="6"/>
  <c r="C4" i="6"/>
  <c r="C3" i="6"/>
  <c r="F3" i="6"/>
  <c r="E4" i="6"/>
  <c r="E3" i="6"/>
  <c r="D3" i="6"/>
  <c r="B4" i="6"/>
  <c r="B3" i="6"/>
  <c r="G3" i="6"/>
  <c r="C14" i="6"/>
  <c r="C15" i="6" s="1"/>
  <c r="I3" i="9"/>
  <c r="C12" i="6" l="1"/>
  <c r="C11" i="6" s="1"/>
  <c r="C10" i="6" s="1"/>
  <c r="C9" i="6" s="1"/>
  <c r="I12" i="6"/>
  <c r="A22" i="6"/>
  <c r="E22" i="6"/>
  <c r="I4" i="9"/>
  <c r="I22" i="6" l="1"/>
  <c r="I5" i="9"/>
  <c r="I6" i="9" l="1"/>
  <c r="I7" i="9" l="1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B35" i="6"/>
  <c r="I19" i="6" s="1"/>
  <c r="I25" i="6" s="1"/>
  <c r="B34" i="6"/>
  <c r="B33" i="6"/>
  <c r="B32" i="6"/>
  <c r="I9" i="6" s="1"/>
  <c r="I15" i="6" s="1"/>
  <c r="B31" i="6"/>
  <c r="E9" i="6" s="1"/>
  <c r="E15" i="6" s="1"/>
  <c r="G12" i="6" s="1"/>
  <c r="K12" i="6" l="1"/>
  <c r="K11" i="6" s="1"/>
  <c r="K10" i="6" s="1"/>
  <c r="K9" i="6" s="1"/>
  <c r="A19" i="6"/>
  <c r="A25" i="6" s="1"/>
  <c r="C22" i="6" s="1"/>
  <c r="B17" i="6" s="1"/>
  <c r="E19" i="6"/>
  <c r="E25" i="6" s="1"/>
  <c r="K22" i="6" s="1"/>
  <c r="F7" i="6"/>
  <c r="G11" i="6"/>
  <c r="G10" i="6" s="1"/>
  <c r="G9" i="6" s="1"/>
  <c r="G13" i="6"/>
  <c r="G14" i="6" s="1"/>
  <c r="G15" i="6" s="1"/>
  <c r="C21" i="6"/>
  <c r="C20" i="6" s="1"/>
  <c r="C19" i="6" s="1"/>
  <c r="C23" i="6"/>
  <c r="C24" i="6" s="1"/>
  <c r="C25" i="6" s="1"/>
  <c r="J7" i="6" l="1"/>
  <c r="K13" i="6"/>
  <c r="K14" i="6" s="1"/>
  <c r="K15" i="6" s="1"/>
  <c r="G22" i="6"/>
  <c r="J17" i="6"/>
  <c r="K23" i="6"/>
  <c r="K24" i="6" s="1"/>
  <c r="K25" i="6" s="1"/>
  <c r="K21" i="6"/>
  <c r="K20" i="6" s="1"/>
  <c r="K19" i="6" s="1"/>
  <c r="F17" i="6"/>
  <c r="G23" i="6"/>
  <c r="G24" i="6" s="1"/>
  <c r="G25" i="6" s="1"/>
  <c r="G21" i="6"/>
  <c r="G20" i="6" s="1"/>
  <c r="G19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5A331-83E2-49AB-AF0C-C0DF28C1B6BA}" keepAlive="1" interval="10" name="Consulta - CotacaoMoedaPeriodo(moeda=@moeda,dataInicial=@dataInicial,dataFinalCotacao=@data" description="Conexão com a consulta 'CotacaoMoedaPeriodo(moeda=@moeda,dataInicial=@dataInicial,dataFinalCotacao=@data' na pasta de trabalho." type="5" refreshedVersion="8" background="1" refreshOnLoad="1" saveData="1">
    <dbPr connection="Provider=Microsoft.Mashup.OleDb.1;Data Source=$Workbook$;Location=&quot;CotacaoMoedaPeriodo(moeda=@moeda,dataInicial=@dataInicial,dataFinalCotacao=@data&quot;;Extended Properties=&quot;&quot;" command="SELECT * FROM [CotacaoMoedaPeriodo(moeda=@moeda,dataInicial=@dataInicial,dataFinalCotacao=@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<sst xmlns="http://schemas.openxmlformats.org/spreadsheetml/2006/main" count="4229" uniqueCount="67">
  <si>
    <t>Asset</t>
  </si>
  <si>
    <t>Último</t>
  </si>
  <si>
    <t>Abertura</t>
  </si>
  <si>
    <t>Máximo</t>
  </si>
  <si>
    <t>Mínimo</t>
  </si>
  <si>
    <t>Fechamento Anterior</t>
  </si>
  <si>
    <t>Pontos</t>
  </si>
  <si>
    <t>WDOFUT</t>
  </si>
  <si>
    <t>FRP0</t>
  </si>
  <si>
    <t>DOLFUT</t>
  </si>
  <si>
    <t>DX</t>
  </si>
  <si>
    <t>1 DP</t>
  </si>
  <si>
    <t>Equilíbrio</t>
  </si>
  <si>
    <t>Ptax Futuro</t>
  </si>
  <si>
    <t>+</t>
  </si>
  <si>
    <t>=</t>
  </si>
  <si>
    <t>Ptax Spot 1</t>
  </si>
  <si>
    <t>Ptax Spot 2</t>
  </si>
  <si>
    <t>Ptax Spot 3</t>
  </si>
  <si>
    <t>Ptax Spot 4</t>
  </si>
  <si>
    <t>Ptax Final</t>
  </si>
  <si>
    <t>2 DP</t>
  </si>
  <si>
    <t>3 DP</t>
  </si>
  <si>
    <t>Column1.cotacaoVenda</t>
  </si>
  <si>
    <t>Column1.dataHoraCotacao</t>
  </si>
  <si>
    <t>DATA</t>
  </si>
  <si>
    <t>PTAX 1</t>
  </si>
  <si>
    <t>PTAX 2</t>
  </si>
  <si>
    <t>PTAX 3</t>
  </si>
  <si>
    <t>PTAX 4</t>
  </si>
  <si>
    <t>PTAX FINAL</t>
  </si>
  <si>
    <t>FRP0 1º negócio</t>
  </si>
  <si>
    <t>Diferença</t>
  </si>
  <si>
    <t>DIA</t>
  </si>
  <si>
    <t>DI1FUT</t>
  </si>
  <si>
    <t>Contrato Atual</t>
  </si>
  <si>
    <t>Vencimento</t>
  </si>
  <si>
    <t>Dias úteis</t>
  </si>
  <si>
    <t>Horário</t>
  </si>
  <si>
    <t>Volume</t>
  </si>
  <si>
    <t>Ativo</t>
  </si>
  <si>
    <t>Data</t>
  </si>
  <si>
    <t>Hora</t>
  </si>
  <si>
    <t>Fechamento</t>
  </si>
  <si>
    <t>Quantidade</t>
  </si>
  <si>
    <t>Total Geral</t>
  </si>
  <si>
    <t>Variação (%)</t>
  </si>
  <si>
    <t>Atualizar Diariamente somente DX</t>
  </si>
  <si>
    <t>Média Vol DOLFUT</t>
  </si>
  <si>
    <t>DesvPad de Vol DOLFUT</t>
  </si>
  <si>
    <t>Volume Acumulado</t>
  </si>
  <si>
    <t>Dia</t>
  </si>
  <si>
    <t>Vencimento2</t>
  </si>
  <si>
    <t>WDOZ25</t>
  </si>
  <si>
    <t>D1FUT_D-1</t>
  </si>
  <si>
    <t>jan</t>
  </si>
  <si>
    <t>fev</t>
  </si>
  <si>
    <t>mar</t>
  </si>
  <si>
    <t>abr</t>
  </si>
  <si>
    <t>mai</t>
  </si>
  <si>
    <t>jun</t>
  </si>
  <si>
    <t>Variação</t>
  </si>
  <si>
    <t>Ajuste</t>
  </si>
  <si>
    <t>Aj. Anterior</t>
  </si>
  <si>
    <t>RGM_AJUSTE_D0_DOL</t>
  </si>
  <si>
    <t>DAPFUT</t>
  </si>
  <si>
    <t>DX1FUT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</si>
</sst>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000"/>
    <numFmt numFmtId="165" formatCode="0.000%"/>
    <numFmt numFmtId="166" formatCode="_-* #,##0.000_-;\-* #,##0.000_-;_-* &quot;-&quot;??_-;_-@_-"/>
    <numFmt numFmtId="167" formatCode="0.0000"/>
    <numFmt numFmtId="168" formatCode="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5C5F6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2" fillId="3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2" fontId="0" fillId="8" borderId="5" xfId="0" applyNumberForma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0" fontId="2" fillId="3" borderId="4" xfId="1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2" fontId="2" fillId="10" borderId="6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5" fillId="11" borderId="10" xfId="0" applyFont="1" applyFill="1" applyBorder="1"/>
    <xf numFmtId="14" fontId="0" fillId="3" borderId="9" xfId="0" applyNumberFormat="1" applyFill="1" applyBorder="1"/>
    <xf numFmtId="2" fontId="0" fillId="12" borderId="11" xfId="0" applyNumberFormat="1" applyFill="1" applyBorder="1"/>
    <xf numFmtId="2" fontId="0" fillId="12" borderId="12" xfId="0" applyNumberFormat="1" applyFill="1" applyBorder="1"/>
    <xf numFmtId="2" fontId="0" fillId="12" borderId="13" xfId="0" applyNumberFormat="1" applyFill="1" applyBorder="1"/>
    <xf numFmtId="0" fontId="5" fillId="11" borderId="14" xfId="0" applyFont="1" applyFill="1" applyBorder="1"/>
    <xf numFmtId="0" fontId="5" fillId="11" borderId="15" xfId="0" applyFont="1" applyFill="1" applyBorder="1"/>
    <xf numFmtId="0" fontId="5" fillId="11" borderId="16" xfId="0" applyFont="1" applyFill="1" applyBorder="1"/>
    <xf numFmtId="44" fontId="0" fillId="0" borderId="0" xfId="3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6" fillId="3" borderId="0" xfId="2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2" fontId="2" fillId="10" borderId="4" xfId="2" applyNumberFormat="1" applyFont="1" applyFill="1" applyBorder="1" applyAlignment="1">
      <alignment horizontal="center" vertical="center" wrapText="1"/>
    </xf>
    <xf numFmtId="2" fontId="2" fillId="10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7" fontId="0" fillId="0" borderId="0" xfId="2" applyNumberFormat="1" applyFont="1"/>
    <xf numFmtId="1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3" applyFont="1"/>
    <xf numFmtId="167" fontId="0" fillId="0" borderId="0" xfId="0" applyNumberFormat="1" applyAlignment="1">
      <alignment horizontal="right" vertical="center"/>
    </xf>
    <xf numFmtId="167" fontId="0" fillId="0" borderId="0" xfId="2" applyNumberFormat="1" applyFont="1" applyAlignment="1">
      <alignment horizontal="right" vertical="center"/>
    </xf>
    <xf numFmtId="2" fontId="0" fillId="0" borderId="0" xfId="2" applyNumberFormat="1" applyFont="1" applyAlignment="1">
      <alignment horizontal="right" vertical="center"/>
    </xf>
    <xf numFmtId="2" fontId="0" fillId="3" borderId="0" xfId="2" applyNumberFormat="1" applyFont="1" applyFill="1" applyAlignment="1">
      <alignment horizontal="right" vertical="center"/>
    </xf>
    <xf numFmtId="0" fontId="7" fillId="13" borderId="17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3" fontId="0" fillId="0" borderId="18" xfId="2" applyFont="1" applyBorder="1" applyAlignment="1">
      <alignment horizontal="center" vertical="center"/>
    </xf>
    <xf numFmtId="167" fontId="0" fillId="14" borderId="0" xfId="0" applyNumberFormat="1" applyFill="1" applyAlignment="1">
      <alignment horizontal="right" vertical="center"/>
    </xf>
    <xf numFmtId="166" fontId="0" fillId="0" borderId="0" xfId="2" applyNumberFormat="1" applyFont="1" applyAlignment="1">
      <alignment vertical="center"/>
    </xf>
    <xf numFmtId="168" fontId="0" fillId="0" borderId="0" xfId="2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13">
    <dxf>
      <numFmt numFmtId="27" formatCode="dd/mm/yyyy\ hh:mm"/>
    </dxf>
    <dxf>
      <numFmt numFmtId="167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0.0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00:00:00</v>
        <stp/>
        <stp>WDOFUT_F_0</stp>
        <stp>HOR</stp>
        <tr r="C6" s="11"/>
      </tp>
      <tp t="s">
        <v>00:00:00</v>
        <stp/>
        <stp>DX1FUT_F_0</stp>
        <stp>HOR</stp>
        <tr r="C4" s="11"/>
      </tp>
      <tp t="s">
        <v>00:00:00</v>
        <stp/>
        <stp>DI1FUT_F_0</stp>
        <stp>HOR</stp>
        <tr r="C3" s="11"/>
      </tp>
      <tp t="s">
        <v>00:00:00</v>
        <stp/>
        <stp>DAPFUT_F_0</stp>
        <stp>HOR</stp>
        <tr r="C2" s="11"/>
      </tp>
      <tp>
        <v>0</v>
        <stp/>
        <stp>WDOFUT_F_0</stp>
        <stp>MAX</stp>
        <tr r="F6" s="11"/>
        <tr r="D4" s="6"/>
      </tp>
      <tp>
        <v>0</v>
        <stp/>
        <stp>WDOFUT_F_0</stp>
        <stp>MIN</stp>
        <tr r="G6" s="11"/>
        <tr r="E4" s="6"/>
      </tp>
      <tp>
        <v>0</v>
        <stp/>
        <stp>DX1FUT_F_0</stp>
        <stp>MAX</stp>
        <tr r="F4" s="11"/>
      </tp>
      <tp>
        <v>0</v>
        <stp/>
        <stp>DAPFUT_F_0</stp>
        <stp>MAX</stp>
        <tr r="F2" s="11"/>
      </tp>
      <tp>
        <v>0</v>
        <stp/>
        <stp>DI1FUT_F_0</stp>
        <stp>MAX</stp>
        <tr r="F3" s="11"/>
        <tr r="D2" s="6"/>
      </tp>
      <tp>
        <v>0</v>
        <stp/>
        <stp>DOLFUT_F_0</stp>
        <stp>MAX</stp>
        <tr r="D3" s="6"/>
      </tp>
      <tp>
        <v>0</v>
        <stp/>
        <stp>DAPFUT_F_0</stp>
        <stp>MIN</stp>
        <tr r="G2" s="11"/>
      </tp>
      <tp>
        <v>0</v>
        <stp/>
        <stp>DOLFUT_F_0</stp>
        <stp>MIN</stp>
        <tr r="E3" s="6"/>
      </tp>
      <tp>
        <v>0</v>
        <stp/>
        <stp>DI1FUT_F_0</stp>
        <stp>MIN</stp>
        <tr r="G3" s="11"/>
        <tr r="E2" s="6"/>
      </tp>
      <tp>
        <v>0</v>
        <stp/>
        <stp>DX1FUT_F_0</stp>
        <stp>MIN</stp>
        <tr r="G4" s="11"/>
      </tp>
      <tp>
        <v>0</v>
        <stp/>
        <stp>WDOFUT_F_0</stp>
        <stp>ABE</stp>
        <tr r="E6" s="11"/>
        <tr r="C4" s="6"/>
      </tp>
      <tp>
        <v>0</v>
        <stp/>
        <stp>WDOFUT_F_0</stp>
        <stp>AJA</stp>
        <tr r="K6" s="11"/>
      </tp>
      <tp>
        <v>0</v>
        <stp/>
        <stp>WDOFUT_F_0</stp>
        <stp>AJU</stp>
        <tr r="J6" s="11"/>
      </tp>
      <tp>
        <v>0</v>
        <stp/>
        <stp>DOLFUT_F_0</stp>
        <stp>ABE</stp>
        <tr r="C3" s="6"/>
      </tp>
      <tp>
        <v>0</v>
        <stp/>
        <stp>DI1FUT_F_0</stp>
        <stp>ABE</stp>
        <tr r="E3" s="11"/>
        <tr r="C2" s="6"/>
      </tp>
      <tp>
        <v>0</v>
        <stp/>
        <stp>DAPFUT_F_0</stp>
        <stp>ABE</stp>
        <tr r="E2" s="11"/>
      </tp>
      <tp>
        <v>0</v>
        <stp/>
        <stp>DX1FUT_F_0</stp>
        <stp>ABE</stp>
        <tr r="E4" s="11"/>
      </tp>
      <tp>
        <v>0</v>
        <stp/>
        <stp>DI1FUT_F_0</stp>
        <stp>AJA</stp>
        <tr r="K3" s="11"/>
      </tp>
      <tp>
        <v>0</v>
        <stp/>
        <stp>DX1FUT_F_0</stp>
        <stp>AJU</stp>
        <tr r="J4" s="11"/>
      </tp>
      <tp>
        <v>0</v>
        <stp/>
        <stp>DAPFUT_F_0</stp>
        <stp>AJA</stp>
        <tr r="K2" s="11"/>
      </tp>
      <tp>
        <v>0</v>
        <stp/>
        <stp>DX1FUT_F_0</stp>
        <stp>AJA</stp>
        <tr r="K4" s="11"/>
      </tp>
      <tp>
        <v>0</v>
        <stp/>
        <stp>DI1FUT_F_0</stp>
        <stp>AJU</stp>
        <tr r="J3" s="11"/>
      </tp>
      <tp>
        <v>0</v>
        <stp/>
        <stp>DAPFUT_F_0</stp>
        <stp>AJU</stp>
        <tr r="J2" s="11"/>
      </tp>
      <tp>
        <v>0</v>
        <stp/>
        <stp>WDOFUT_F_0</stp>
        <stp>FEC</stp>
        <tr r="H6" s="11"/>
        <tr r="F4" s="6"/>
      </tp>
      <tp>
        <v>0</v>
        <stp/>
        <stp>DI1FUT_F_0</stp>
        <stp>FEC</stp>
        <tr r="H3" s="11"/>
        <tr r="F2" s="6"/>
      </tp>
      <tp>
        <v>0</v>
        <stp/>
        <stp>DOLFUT_F_0</stp>
        <stp>FEC</stp>
        <tr r="F3" s="6"/>
      </tp>
      <tp>
        <v>0</v>
        <stp/>
        <stp>DAPFUT_F_0</stp>
        <stp>FEC</stp>
        <tr r="H2" s="11"/>
      </tp>
      <tp>
        <v>0</v>
        <stp/>
        <stp>DX1FUT_F_0</stp>
        <stp>FEC</stp>
        <tr r="H4" s="11"/>
      </tp>
      <tp>
        <v>0</v>
        <stp/>
        <stp>FRP0_F_0</stp>
        <stp>ULT</stp>
        <tr r="D5" s="11"/>
        <tr r="B5" s="6"/>
      </tp>
      <tp t="s">
        <v>11/09/2026</v>
        <stp/>
        <stp>FRP0_F_0</stp>
        <stp>VEN</stp>
        <tr r="L5" s="11"/>
      </tp>
      <tp t="s">
        <v>30/12/1899</v>
        <stp/>
        <stp>WDOFUT_F_0</stp>
        <stp>DAT</stp>
        <tr r="B6" s="11"/>
      </tp>
      <tp>
        <v>0</v>
        <stp/>
        <stp>FRP0_F_0</stp>
        <stp>VAR</stp>
        <tr r="I5" s="11"/>
        <tr r="G5" s="6"/>
      </tp>
      <tp t="s">
        <v>30/12/1899</v>
        <stp/>
        <stp>DX1FUT_F_0</stp>
        <stp>DAT</stp>
        <tr r="B4" s="11"/>
      </tp>
      <tp t="s">
        <v>30/12/1899</v>
        <stp/>
        <stp>DI1FUT_F_0</stp>
        <stp>DAT</stp>
        <tr r="B3" s="11"/>
      </tp>
      <tp t="s">
        <v>30/12/1899</v>
        <stp/>
        <stp>DAPFUT_F_0</stp>
        <stp>DAT</stp>
        <tr r="B2" s="11"/>
      </tp>
      <tp t="s">
        <v>00:00:00</v>
        <stp/>
        <stp>FRP0_F_0</stp>
        <stp>HOR</stp>
        <tr r="C5" s="11"/>
      </tp>
      <tp>
        <v>0</v>
        <stp/>
        <stp>FRP0_F_0</stp>
        <stp>MAX</stp>
        <tr r="F5" s="11"/>
        <tr r="D5" s="6"/>
      </tp>
      <tp>
        <v>0</v>
        <stp/>
        <stp>FRP0_F_0</stp>
        <stp>MIN</stp>
        <tr r="G5" s="11"/>
        <tr r="E5" s="6"/>
      </tp>
      <tp>
        <v>0</v>
        <stp/>
        <stp>FRP0_F_0</stp>
        <stp>ABE</stp>
        <tr r="E5" s="11"/>
        <tr r="C5" s="6"/>
      </tp>
      <tp>
        <v>0</v>
        <stp/>
        <stp>FRP0_F_0</stp>
        <stp>AJA</stp>
        <tr r="K5" s="11"/>
      </tp>
      <tp>
        <v>0</v>
        <stp/>
        <stp>FRP0_F_0</stp>
        <stp>AJU</stp>
        <tr r="J5" s="11"/>
      </tp>
      <tp t="s">
        <v>11/09/2026</v>
        <stp/>
        <stp>WDOFUT_F_0</stp>
        <stp>VEN</stp>
        <tr r="L6" s="11"/>
      </tp>
      <tp>
        <v>0</v>
        <stp/>
        <stp>WDOFUT_F_0</stp>
        <stp>VAR</stp>
        <tr r="I6" s="11"/>
        <tr r="G4" s="6"/>
      </tp>
      <tp t="s">
        <v>30/12/1899</v>
        <stp/>
        <stp>FRP0_F_0</stp>
        <stp>DAT</stp>
        <tr r="B5" s="11"/>
      </tp>
      <tp t="s">
        <v>11/09/2026</v>
        <stp/>
        <stp>DAPFUT_F_0</stp>
        <stp>VEN</stp>
        <tr r="L2" s="11"/>
      </tp>
      <tp t="s">
        <v>11/09/2026</v>
        <stp/>
        <stp>DI1FUT_F_0</stp>
        <stp>VEN</stp>
        <tr r="L3" s="11"/>
      </tp>
      <tp t="s">
        <v>11/09/2026</v>
        <stp/>
        <stp>DX1FUT_F_0</stp>
        <stp>VEN</stp>
        <tr r="L4" s="11"/>
      </tp>
      <tp>
        <v>0</v>
        <stp/>
        <stp>DX1FUT_F_0</stp>
        <stp>VAR</stp>
        <tr r="I4" s="11"/>
      </tp>
      <tp>
        <v>0</v>
        <stp/>
        <stp>DI1FUT_F_0</stp>
        <stp>VAR</stp>
        <tr r="I3" s="11"/>
        <tr r="G2" s="6"/>
      </tp>
      <tp>
        <v>0</v>
        <stp/>
        <stp>DOLFUT_F_0</stp>
        <stp>VAR</stp>
        <tr r="G3" s="6"/>
      </tp>
      <tp>
        <v>0</v>
        <stp/>
        <stp>DAPFUT_F_0</stp>
        <stp>VAR</stp>
        <tr r="I2" s="11"/>
      </tp>
      <tp>
        <v>0</v>
        <stp/>
        <stp>FRP0_F_0</stp>
        <stp>FEC</stp>
        <tr r="H5" s="11"/>
        <tr r="F5" s="6"/>
      </tp>
      <tp>
        <v>0</v>
        <stp/>
        <stp>WDOFUT_F_0</stp>
        <stp>ULT</stp>
        <tr r="D6" s="11"/>
        <tr r="B4" s="6"/>
      </tp>
      <tp>
        <v>0</v>
        <stp/>
        <stp>DX1FUT_F_0</stp>
        <stp>ULT</stp>
        <tr r="D4" s="11"/>
      </tp>
      <tp>
        <v>0</v>
        <stp/>
        <stp>DOLFUT_F_0</stp>
        <stp>ULT</stp>
        <tr r="B3" s="6"/>
      </tp>
      <tp>
        <v>0</v>
        <stp/>
        <stp>DI1FUT_F_0</stp>
        <stp>ULT</stp>
        <tr r="D3" s="11"/>
        <tr r="B2" s="6"/>
      </tp>
      <tp>
        <v>0</v>
        <stp/>
        <stp>DAPFUT_F_0</stp>
        <stp>ULT</stp>
        <tr r="D2" s="11"/>
      </tp>
      <tp t="s">
        <v/>
        <stp/>
        <stp>FRP0_F_0</stp>
        <stp>101_RGM_AJUSTE_D0_DOL</stp>
        <tr r="M5" s="11"/>
      </tp>
      <tp t="s">
        <v/>
        <stp/>
        <stp>DX1FUT_F_0</stp>
        <stp>101_RGM_AJUSTE_D0_DOL</stp>
        <tr r="M4" s="11"/>
      </tp>
      <tp t="s">
        <v/>
        <stp/>
        <stp>DI1FUT_F_0</stp>
        <stp>101_RGM_AJUSTE_D0_DOL</stp>
        <tr r="M3" s="11"/>
      </tp>
      <tp t="s">
        <v/>
        <stp/>
        <stp>DAPFUT_F_0</stp>
        <stp>101_RGM_AJUSTE_D0_DOL</stp>
        <tr r="M2" s="11"/>
      </tp>
      <tp t="s">
        <v/>
        <stp/>
        <stp>WDOFUT_F_0</stp>
        <stp>101_RGM_AJUSTE_D0_DOL</stp>
        <tr r="M6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Históricos - DX_DI_PTAX_VOL.xlsx]DADOS HISTÓRICOS!Tabela dinâmica3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'DADOS HISTÓRICOS'!$F$1</c:f>
              <c:strCache>
                <c:ptCount val="1"/>
                <c:pt idx="0">
                  <c:v>Média Vol DOLFUT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'DADOS HISTÓRICOS'!$E$2:$E$21</c:f>
              <c:strCache>
                <c:ptCount val="19"/>
                <c:pt idx="0">
                  <c:v>09:00:00</c:v>
                </c:pt>
                <c:pt idx="1">
                  <c:v>09:30:00</c:v>
                </c:pt>
                <c:pt idx="2">
                  <c:v>10:00:00</c:v>
                </c:pt>
                <c:pt idx="3">
                  <c:v>10:30:00</c:v>
                </c:pt>
                <c:pt idx="4">
                  <c:v>11:00:00</c:v>
                </c:pt>
                <c:pt idx="5">
                  <c:v>11:30:00</c:v>
                </c:pt>
                <c:pt idx="6">
                  <c:v>12:00:00</c:v>
                </c:pt>
                <c:pt idx="7">
                  <c:v>12:30:00</c:v>
                </c:pt>
                <c:pt idx="8">
                  <c:v>13:00:00</c:v>
                </c:pt>
                <c:pt idx="9">
                  <c:v>13:30:00</c:v>
                </c:pt>
                <c:pt idx="10">
                  <c:v>14:00:00</c:v>
                </c:pt>
                <c:pt idx="11">
                  <c:v>14:30:00</c:v>
                </c:pt>
                <c:pt idx="12">
                  <c:v>15:00:00</c:v>
                </c:pt>
                <c:pt idx="13">
                  <c:v>15:30:00</c:v>
                </c:pt>
                <c:pt idx="14">
                  <c:v>16:00:00</c:v>
                </c:pt>
                <c:pt idx="15">
                  <c:v>16:30:00</c:v>
                </c:pt>
                <c:pt idx="16">
                  <c:v>17:00:00</c:v>
                </c:pt>
                <c:pt idx="17">
                  <c:v>17:30:00</c:v>
                </c:pt>
                <c:pt idx="18">
                  <c:v>18:00:00</c:v>
                </c:pt>
              </c:strCache>
            </c:strRef>
          </c:cat>
          <c:val>
            <c:numRef>
              <c:f>'DADOS HISTÓRICOS'!$F$2:$F$21</c:f>
              <c:numCache>
                <c:formatCode>_("R$"* #,##0.00_);_("R$"* \(#,##0.00\);_("R$"* "-"??_);_(@_)</c:formatCode>
                <c:ptCount val="19"/>
                <c:pt idx="0">
                  <c:v>4351926126.7505608</c:v>
                </c:pt>
                <c:pt idx="1">
                  <c:v>4662109552.1351423</c:v>
                </c:pt>
                <c:pt idx="2">
                  <c:v>5374533255.73528</c:v>
                </c:pt>
                <c:pt idx="3">
                  <c:v>5291317070.1696253</c:v>
                </c:pt>
                <c:pt idx="4">
                  <c:v>5499173138.1601849</c:v>
                </c:pt>
                <c:pt idx="5">
                  <c:v>4821580955.4479465</c:v>
                </c:pt>
                <c:pt idx="6">
                  <c:v>4739996655.3216829</c:v>
                </c:pt>
                <c:pt idx="7">
                  <c:v>3587327850.6573834</c:v>
                </c:pt>
                <c:pt idx="8">
                  <c:v>3681682860.516345</c:v>
                </c:pt>
                <c:pt idx="9">
                  <c:v>3001188422.2362509</c:v>
                </c:pt>
                <c:pt idx="10">
                  <c:v>3134804230.6235652</c:v>
                </c:pt>
                <c:pt idx="11">
                  <c:v>3431292534.1891699</c:v>
                </c:pt>
                <c:pt idx="12">
                  <c:v>3852388264.4400463</c:v>
                </c:pt>
                <c:pt idx="13">
                  <c:v>3790870435.8870702</c:v>
                </c:pt>
                <c:pt idx="14">
                  <c:v>3099359993.2710686</c:v>
                </c:pt>
                <c:pt idx="15">
                  <c:v>2687475367.777523</c:v>
                </c:pt>
                <c:pt idx="16">
                  <c:v>2453879377.1911216</c:v>
                </c:pt>
                <c:pt idx="17">
                  <c:v>1674064274.0701876</c:v>
                </c:pt>
                <c:pt idx="18">
                  <c:v>981254999.74256968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5-4A10-9574-D17DE5CF4570}"/>
            </c:ext>
          </c:extLst>
        </c:ser>
        <c:ser>
          <c:idx val="1"/>
          <c:order val="1"/>
          <c:tx>
            <c:strRef>
              <c:f>'DADOS HISTÓRICOS'!$G$1</c:f>
              <c:strCache>
                <c:ptCount val="1"/>
                <c:pt idx="0">
                  <c:v>DesvPad de Vol DOLFUT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'DADOS HISTÓRICOS'!$E$2:$E$21</c:f>
              <c:strCache>
                <c:ptCount val="19"/>
                <c:pt idx="0">
                  <c:v>09:00:00</c:v>
                </c:pt>
                <c:pt idx="1">
                  <c:v>09:30:00</c:v>
                </c:pt>
                <c:pt idx="2">
                  <c:v>10:00:00</c:v>
                </c:pt>
                <c:pt idx="3">
                  <c:v>10:30:00</c:v>
                </c:pt>
                <c:pt idx="4">
                  <c:v>11:00:00</c:v>
                </c:pt>
                <c:pt idx="5">
                  <c:v>11:30:00</c:v>
                </c:pt>
                <c:pt idx="6">
                  <c:v>12:00:00</c:v>
                </c:pt>
                <c:pt idx="7">
                  <c:v>12:30:00</c:v>
                </c:pt>
                <c:pt idx="8">
                  <c:v>13:00:00</c:v>
                </c:pt>
                <c:pt idx="9">
                  <c:v>13:30:00</c:v>
                </c:pt>
                <c:pt idx="10">
                  <c:v>14:00:00</c:v>
                </c:pt>
                <c:pt idx="11">
                  <c:v>14:30:00</c:v>
                </c:pt>
                <c:pt idx="12">
                  <c:v>15:00:00</c:v>
                </c:pt>
                <c:pt idx="13">
                  <c:v>15:30:00</c:v>
                </c:pt>
                <c:pt idx="14">
                  <c:v>16:00:00</c:v>
                </c:pt>
                <c:pt idx="15">
                  <c:v>16:30:00</c:v>
                </c:pt>
                <c:pt idx="16">
                  <c:v>17:00:00</c:v>
                </c:pt>
                <c:pt idx="17">
                  <c:v>17:30:00</c:v>
                </c:pt>
                <c:pt idx="18">
                  <c:v>18:00:00</c:v>
                </c:pt>
              </c:strCache>
            </c:strRef>
          </c:cat>
          <c:val>
            <c:numRef>
              <c:f>'DADOS HISTÓRICOS'!$G$2:$G$21</c:f>
              <c:numCache>
                <c:formatCode>_("R$"* #,##0.00_);_("R$"* \(#,##0.00\);_("R$"* "-"??_);_(@_)</c:formatCode>
                <c:ptCount val="19"/>
                <c:pt idx="0">
                  <c:v>2120829439.0440514</c:v>
                </c:pt>
                <c:pt idx="1">
                  <c:v>2084278050.5210307</c:v>
                </c:pt>
                <c:pt idx="2">
                  <c:v>2162657694.1021476</c:v>
                </c:pt>
                <c:pt idx="3">
                  <c:v>2233076654.7655964</c:v>
                </c:pt>
                <c:pt idx="4">
                  <c:v>2360464365.2278452</c:v>
                </c:pt>
                <c:pt idx="5">
                  <c:v>2087925364.0310569</c:v>
                </c:pt>
                <c:pt idx="6">
                  <c:v>2344532742.489748</c:v>
                </c:pt>
                <c:pt idx="7">
                  <c:v>2044017211.3571088</c:v>
                </c:pt>
                <c:pt idx="8">
                  <c:v>1982516997.0241461</c:v>
                </c:pt>
                <c:pt idx="9">
                  <c:v>1728522426.5442705</c:v>
                </c:pt>
                <c:pt idx="10">
                  <c:v>1874346586.6340623</c:v>
                </c:pt>
                <c:pt idx="11">
                  <c:v>1909999298.1380479</c:v>
                </c:pt>
                <c:pt idx="12">
                  <c:v>1961177435.4549661</c:v>
                </c:pt>
                <c:pt idx="13">
                  <c:v>1954737607.2378299</c:v>
                </c:pt>
                <c:pt idx="14">
                  <c:v>1501362195.892493</c:v>
                </c:pt>
                <c:pt idx="15">
                  <c:v>1878408648.3768294</c:v>
                </c:pt>
                <c:pt idx="16">
                  <c:v>1830400229.7234457</c:v>
                </c:pt>
                <c:pt idx="17">
                  <c:v>1229138877.6330988</c:v>
                </c:pt>
                <c:pt idx="18">
                  <c:v>797210265.55112231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5-4A10-9574-D17DE5CF4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65775"/>
        <c:axId val="46765295"/>
      </c:lineChart>
      <c:catAx>
        <c:axId val="4676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765295"/>
        <c:crosses val="autoZero"/>
        <c:auto val="1"/>
        <c:lblAlgn val="ctr"/>
        <c:lblOffset val="100"/>
        <c:noMultiLvlLbl val="0"/>
      </c:catAx>
      <c:valAx>
        <c:axId val="467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7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Históricos - DX_DI_PTAX_VOL.xlsx]DADOS HISTÓRICOS!Tabela dinâmica3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HISTÓRICOS'!$F$1</c:f>
              <c:strCache>
                <c:ptCount val="1"/>
                <c:pt idx="0">
                  <c:v>Média Vol DOLFUT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HISTÓRICOS'!$E$2:$E$21</c:f>
              <c:strCache>
                <c:ptCount val="19"/>
                <c:pt idx="0">
                  <c:v>09:00:00</c:v>
                </c:pt>
                <c:pt idx="1">
                  <c:v>09:30:00</c:v>
                </c:pt>
                <c:pt idx="2">
                  <c:v>10:00:00</c:v>
                </c:pt>
                <c:pt idx="3">
                  <c:v>10:30:00</c:v>
                </c:pt>
                <c:pt idx="4">
                  <c:v>11:00:00</c:v>
                </c:pt>
                <c:pt idx="5">
                  <c:v>11:30:00</c:v>
                </c:pt>
                <c:pt idx="6">
                  <c:v>12:00:00</c:v>
                </c:pt>
                <c:pt idx="7">
                  <c:v>12:30:00</c:v>
                </c:pt>
                <c:pt idx="8">
                  <c:v>13:00:00</c:v>
                </c:pt>
                <c:pt idx="9">
                  <c:v>13:30:00</c:v>
                </c:pt>
                <c:pt idx="10">
                  <c:v>14:00:00</c:v>
                </c:pt>
                <c:pt idx="11">
                  <c:v>14:30:00</c:v>
                </c:pt>
                <c:pt idx="12">
                  <c:v>15:00:00</c:v>
                </c:pt>
                <c:pt idx="13">
                  <c:v>15:30:00</c:v>
                </c:pt>
                <c:pt idx="14">
                  <c:v>16:00:00</c:v>
                </c:pt>
                <c:pt idx="15">
                  <c:v>16:30:00</c:v>
                </c:pt>
                <c:pt idx="16">
                  <c:v>17:00:00</c:v>
                </c:pt>
                <c:pt idx="17">
                  <c:v>17:30:00</c:v>
                </c:pt>
                <c:pt idx="18">
                  <c:v>18:00:00</c:v>
                </c:pt>
              </c:strCache>
            </c:strRef>
          </c:cat>
          <c:val>
            <c:numRef>
              <c:f>'DADOS HISTÓRICOS'!$F$2:$F$21</c:f>
              <c:numCache>
                <c:formatCode>_("R$"* #,##0.00_);_("R$"* \(#,##0.00\);_("R$"* "-"??_);_(@_)</c:formatCode>
                <c:ptCount val="19"/>
                <c:pt idx="0">
                  <c:v>4351926126.7505608</c:v>
                </c:pt>
                <c:pt idx="1">
                  <c:v>4662109552.1351423</c:v>
                </c:pt>
                <c:pt idx="2">
                  <c:v>5374533255.73528</c:v>
                </c:pt>
                <c:pt idx="3">
                  <c:v>5291317070.1696253</c:v>
                </c:pt>
                <c:pt idx="4">
                  <c:v>5499173138.1601849</c:v>
                </c:pt>
                <c:pt idx="5">
                  <c:v>4821580955.4479465</c:v>
                </c:pt>
                <c:pt idx="6">
                  <c:v>4739996655.3216829</c:v>
                </c:pt>
                <c:pt idx="7">
                  <c:v>3587327850.6573834</c:v>
                </c:pt>
                <c:pt idx="8">
                  <c:v>3681682860.516345</c:v>
                </c:pt>
                <c:pt idx="9">
                  <c:v>3001188422.2362509</c:v>
                </c:pt>
                <c:pt idx="10">
                  <c:v>3134804230.6235652</c:v>
                </c:pt>
                <c:pt idx="11">
                  <c:v>3431292534.1891699</c:v>
                </c:pt>
                <c:pt idx="12">
                  <c:v>3852388264.4400463</c:v>
                </c:pt>
                <c:pt idx="13">
                  <c:v>3790870435.8870702</c:v>
                </c:pt>
                <c:pt idx="14">
                  <c:v>3099359993.2710686</c:v>
                </c:pt>
                <c:pt idx="15">
                  <c:v>2687475367.777523</c:v>
                </c:pt>
                <c:pt idx="16">
                  <c:v>2453879377.1911216</c:v>
                </c:pt>
                <c:pt idx="17">
                  <c:v>1674064274.0701876</c:v>
                </c:pt>
                <c:pt idx="18">
                  <c:v>981254999.74256968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A-4FCF-806B-EC625A982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813551"/>
        <c:axId val="150814991"/>
      </c:barChart>
      <c:lineChart>
        <c:grouping val="standard"/>
        <c:varyColors val="0"/>
        <c:ser>
          <c:idx val="1"/>
          <c:order val="1"/>
          <c:tx>
            <c:strRef>
              <c:f>'DADOS HISTÓRICOS'!$G$1</c:f>
              <c:strCache>
                <c:ptCount val="1"/>
                <c:pt idx="0">
                  <c:v>DesvPad de Vol DOLFUT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'DADOS HISTÓRICOS'!$E$2:$E$21</c:f>
              <c:strCache>
                <c:ptCount val="19"/>
                <c:pt idx="0">
                  <c:v>09:00:00</c:v>
                </c:pt>
                <c:pt idx="1">
                  <c:v>09:30:00</c:v>
                </c:pt>
                <c:pt idx="2">
                  <c:v>10:00:00</c:v>
                </c:pt>
                <c:pt idx="3">
                  <c:v>10:30:00</c:v>
                </c:pt>
                <c:pt idx="4">
                  <c:v>11:00:00</c:v>
                </c:pt>
                <c:pt idx="5">
                  <c:v>11:30:00</c:v>
                </c:pt>
                <c:pt idx="6">
                  <c:v>12:00:00</c:v>
                </c:pt>
                <c:pt idx="7">
                  <c:v>12:30:00</c:v>
                </c:pt>
                <c:pt idx="8">
                  <c:v>13:00:00</c:v>
                </c:pt>
                <c:pt idx="9">
                  <c:v>13:30:00</c:v>
                </c:pt>
                <c:pt idx="10">
                  <c:v>14:00:00</c:v>
                </c:pt>
                <c:pt idx="11">
                  <c:v>14:30:00</c:v>
                </c:pt>
                <c:pt idx="12">
                  <c:v>15:00:00</c:v>
                </c:pt>
                <c:pt idx="13">
                  <c:v>15:30:00</c:v>
                </c:pt>
                <c:pt idx="14">
                  <c:v>16:00:00</c:v>
                </c:pt>
                <c:pt idx="15">
                  <c:v>16:30:00</c:v>
                </c:pt>
                <c:pt idx="16">
                  <c:v>17:00:00</c:v>
                </c:pt>
                <c:pt idx="17">
                  <c:v>17:30:00</c:v>
                </c:pt>
                <c:pt idx="18">
                  <c:v>18:00:00</c:v>
                </c:pt>
              </c:strCache>
            </c:strRef>
          </c:cat>
          <c:val>
            <c:numRef>
              <c:f>'DADOS HISTÓRICOS'!$G$2:$G$21</c:f>
              <c:numCache>
                <c:formatCode>_("R$"* #,##0.00_);_("R$"* \(#,##0.00\);_("R$"* "-"??_);_(@_)</c:formatCode>
                <c:ptCount val="19"/>
                <c:pt idx="0">
                  <c:v>2120829439.0440514</c:v>
                </c:pt>
                <c:pt idx="1">
                  <c:v>2084278050.5210307</c:v>
                </c:pt>
                <c:pt idx="2">
                  <c:v>2162657694.1021476</c:v>
                </c:pt>
                <c:pt idx="3">
                  <c:v>2233076654.7655964</c:v>
                </c:pt>
                <c:pt idx="4">
                  <c:v>2360464365.2278452</c:v>
                </c:pt>
                <c:pt idx="5">
                  <c:v>2087925364.0310569</c:v>
                </c:pt>
                <c:pt idx="6">
                  <c:v>2344532742.489748</c:v>
                </c:pt>
                <c:pt idx="7">
                  <c:v>2044017211.3571088</c:v>
                </c:pt>
                <c:pt idx="8">
                  <c:v>1982516997.0241461</c:v>
                </c:pt>
                <c:pt idx="9">
                  <c:v>1728522426.5442705</c:v>
                </c:pt>
                <c:pt idx="10">
                  <c:v>1874346586.6340623</c:v>
                </c:pt>
                <c:pt idx="11">
                  <c:v>1909999298.1380479</c:v>
                </c:pt>
                <c:pt idx="12">
                  <c:v>1961177435.4549661</c:v>
                </c:pt>
                <c:pt idx="13">
                  <c:v>1954737607.2378299</c:v>
                </c:pt>
                <c:pt idx="14">
                  <c:v>1501362195.892493</c:v>
                </c:pt>
                <c:pt idx="15">
                  <c:v>1878408648.3768294</c:v>
                </c:pt>
                <c:pt idx="16">
                  <c:v>1830400229.7234457</c:v>
                </c:pt>
                <c:pt idx="17">
                  <c:v>1229138877.6330988</c:v>
                </c:pt>
                <c:pt idx="18">
                  <c:v>797210265.55112231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A-4FCF-806B-EC625A982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13551"/>
        <c:axId val="150814991"/>
      </c:lineChart>
      <c:catAx>
        <c:axId val="15081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814991"/>
        <c:crosses val="autoZero"/>
        <c:auto val="1"/>
        <c:lblAlgn val="ctr"/>
        <c:lblOffset val="100"/>
        <c:noMultiLvlLbl val="0"/>
      </c:catAx>
      <c:valAx>
        <c:axId val="1508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8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22</xdr:row>
      <xdr:rowOff>4762</xdr:rowOff>
    </xdr:from>
    <xdr:to>
      <xdr:col>7</xdr:col>
      <xdr:colOff>762000</xdr:colOff>
      <xdr:row>36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191E85-3193-4566-A99C-AC470CBFA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561974</xdr:colOff>
      <xdr:row>37</xdr:row>
      <xdr:rowOff>128587</xdr:rowOff>
    </xdr:from>
    <xdr:to>
      <xdr:col>8</xdr:col>
      <xdr:colOff>9525</xdr:colOff>
      <xdr:row>52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7D94FC-3A5B-4D85-8206-F4BB60BAE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" refreshedDate="46181.624392129626" createdVersion="8" refreshedVersion="8" minRefreshableVersion="3" recordCount="4078" xr:uid="{AB31949D-BB19-42BE-B6D0-47D73A2F4649}">
  <cacheSource type="worksheet">
    <worksheetSource ref="A1:I1048576" sheet="01_07 a 10_10 DOLFUT VOL 30min"/>
  </cacheSource>
  <cacheFields count="12">
    <cacheField name="Ativo" numFmtId="0">
      <sharedItems containsBlank="1"/>
    </cacheField>
    <cacheField name="Data" numFmtId="0">
      <sharedItems containsNonDate="0" containsDate="1" containsString="0" containsBlank="1" minDate="2025-01-02T00:00:00" maxDate="2026-06-09T00:00:00" count="217">
        <d v="2026-06-08T00:00:00"/>
        <d v="2026-06-05T00:00:00"/>
        <d v="2026-06-03T00:00:00"/>
        <d v="2026-06-02T00:00:00"/>
        <d v="2026-06-01T00:00:00"/>
        <d v="2026-05-29T00:00:00"/>
        <d v="2026-05-28T00:00:00"/>
        <d v="2026-05-27T00:00:00"/>
        <d v="2026-05-26T00:00:00"/>
        <d v="2026-05-25T00:00:00"/>
        <d v="2026-05-22T00:00:00"/>
        <d v="2026-05-21T00:00:00"/>
        <d v="2026-05-20T00:00:00"/>
        <d v="2026-05-19T00:00:00"/>
        <d v="2026-05-18T00:00:00"/>
        <d v="2026-05-15T00:00:00"/>
        <d v="2026-05-14T00:00:00"/>
        <d v="2026-05-13T00:00:00"/>
        <d v="2026-05-12T00:00:00"/>
        <d v="2026-05-11T00:00:00"/>
        <d v="2026-05-08T00:00:00"/>
        <d v="2026-05-07T00:00:00"/>
        <d v="2026-05-06T00:00:00"/>
        <d v="2026-05-05T00:00:00"/>
        <d v="2026-05-04T00:00:00"/>
        <d v="2026-04-30T00:00:00"/>
        <d v="2026-04-29T00:00:00"/>
        <d v="2026-04-28T00:00:00"/>
        <d v="2026-04-27T00:00:00"/>
        <d v="2026-04-24T00:00:00"/>
        <d v="2026-04-23T00:00:00"/>
        <d v="2026-04-22T00:00:00"/>
        <d v="2026-04-20T00:00:00"/>
        <d v="2026-04-17T00:00:00"/>
        <d v="2026-04-16T00:00:00"/>
        <d v="2026-04-15T00:00:00"/>
        <d v="2026-04-14T00:00:00"/>
        <d v="2026-04-13T00:00:00"/>
        <d v="2026-04-10T00:00:00"/>
        <d v="2026-04-09T00:00:00"/>
        <d v="2026-04-08T00:00:00"/>
        <d v="2026-04-07T00:00:00"/>
        <d v="2026-04-06T00:00:00"/>
        <d v="2026-04-02T00:00:00"/>
        <d v="2026-04-01T00:00:00"/>
        <d v="2026-03-31T00:00:00"/>
        <d v="2026-03-30T00:00:00"/>
        <d v="2026-03-27T00:00:00"/>
        <d v="2026-03-26T00:00:00"/>
        <d v="2026-03-25T00:00:00"/>
        <d v="2026-03-24T00:00:00"/>
        <d v="2026-03-23T00:00:00"/>
        <d v="2026-03-20T00:00:00"/>
        <d v="2026-03-19T00:00:00"/>
        <d v="2026-03-18T00:00:00"/>
        <d v="2026-03-17T00:00:00"/>
        <d v="2026-03-16T00:00:00"/>
        <d v="2026-03-13T00:00:00"/>
        <d v="2026-03-12T00:00:00"/>
        <d v="2026-03-11T00:00:00"/>
        <d v="2026-03-10T00:00:00"/>
        <d v="2026-03-09T00:00:00"/>
        <d v="2026-03-06T00:00:00"/>
        <d v="2026-03-05T00:00:00"/>
        <d v="2026-03-04T00:00:00"/>
        <d v="2026-03-03T00:00:00"/>
        <d v="2026-03-02T00:00:00"/>
        <d v="2026-02-27T00:00:00"/>
        <d v="2026-02-26T00:00:00"/>
        <d v="2026-02-25T00:00:00"/>
        <d v="2026-02-24T00:00:00"/>
        <d v="2026-02-23T00:00:00"/>
        <d v="2026-02-20T00:00:00"/>
        <d v="2026-02-19T00:00:00"/>
        <d v="2026-02-18T00:00:00"/>
        <d v="2026-02-13T00:00:00"/>
        <d v="2026-02-12T00:00:00"/>
        <d v="2026-02-11T00:00:00"/>
        <d v="2026-02-10T00:00:00"/>
        <d v="2026-02-09T00:00:00"/>
        <d v="2026-02-06T00:00:00"/>
        <d v="2026-02-05T00:00:00"/>
        <d v="2026-02-04T00:00:00"/>
        <d v="2026-02-03T00:00:00"/>
        <d v="2026-02-02T00:00:00"/>
        <d v="2026-01-30T00:00:00"/>
        <d v="2026-01-29T00:00:00"/>
        <d v="2026-01-28T00:00:00"/>
        <d v="2026-01-27T00:00:00"/>
        <d v="2026-01-26T00:00:00"/>
        <d v="2026-01-23T00:00:00"/>
        <d v="2026-01-22T00:00:00"/>
        <d v="2026-01-21T00:00:00"/>
        <d v="2026-01-20T00:00:00"/>
        <d v="2026-01-19T00:00:00"/>
        <d v="2026-01-16T00:00:00"/>
        <d v="2026-01-15T00:00:00"/>
        <d v="2026-01-14T00:00:00"/>
        <d v="2026-01-13T00:00:00"/>
        <d v="2026-01-12T00:00:00"/>
        <d v="2026-01-09T00:00:00"/>
        <d v="2026-01-08T00:00:00"/>
        <d v="2026-01-07T00:00:00"/>
        <d v="2026-01-06T00:00:00"/>
        <d v="2026-01-05T00:00:00"/>
        <d v="2026-01-02T00:00:00"/>
        <d v="2025-06-11T00:00:00"/>
        <d v="2025-06-10T00:00:00"/>
        <d v="2025-06-09T00:00:00"/>
        <d v="2025-06-06T00:00:00"/>
        <d v="2025-06-05T00:00:00"/>
        <d v="2025-06-04T00:00:00"/>
        <d v="2025-06-03T00:00:00"/>
        <d v="2025-06-02T00:00:00"/>
        <d v="2025-05-30T00:00:00"/>
        <d v="2025-05-29T00:00:00"/>
        <d v="2025-05-28T00:00:00"/>
        <d v="2025-05-27T00:00:00"/>
        <d v="2025-05-26T00:00:00"/>
        <d v="2025-05-23T00:00:00"/>
        <d v="2025-05-22T00:00:00"/>
        <d v="2025-05-21T00:00:00"/>
        <d v="2025-05-20T00:00:00"/>
        <d v="2025-05-19T00:00:00"/>
        <d v="2025-05-16T00:00:00"/>
        <d v="2025-05-15T00:00:00"/>
        <d v="2025-05-14T00:00:00"/>
        <d v="2025-05-13T00:00:00"/>
        <d v="2025-05-12T00:00:00"/>
        <d v="2025-05-09T00:00:00"/>
        <d v="2025-05-08T00:00:00"/>
        <d v="2025-05-07T00:00:00"/>
        <d v="2025-05-06T00:00:00"/>
        <d v="2025-05-05T00:00:00"/>
        <d v="2025-05-02T00:00:00"/>
        <d v="2025-04-30T00:00:00"/>
        <d v="2025-04-29T00:00:00"/>
        <d v="2025-04-28T00:00:00"/>
        <d v="2025-04-25T00:00:00"/>
        <d v="2025-04-24T00:00:00"/>
        <d v="2025-04-23T00:00:00"/>
        <d v="2025-04-22T00:00:00"/>
        <d v="2025-04-17T00:00:00"/>
        <d v="2025-04-16T00:00:00"/>
        <d v="2025-04-15T00:00:00"/>
        <d v="2025-04-14T00:00:00"/>
        <d v="2025-04-11T00:00:00"/>
        <d v="2025-04-10T00:00:00"/>
        <d v="2025-04-09T00:00:00"/>
        <d v="2025-04-08T00:00:00"/>
        <d v="2025-04-07T00:00:00"/>
        <d v="2025-04-04T00:00:00"/>
        <d v="2025-04-03T00:00:00"/>
        <d v="2025-04-02T00:00:00"/>
        <d v="2025-04-01T00:00:00"/>
        <d v="2025-03-31T00:00:00"/>
        <d v="2025-03-28T00:00:00"/>
        <d v="2025-03-27T00:00:00"/>
        <d v="2025-03-26T00:00:00"/>
        <d v="2025-03-25T00:00:00"/>
        <d v="2025-03-24T00:00:00"/>
        <d v="2025-03-21T00:00:00"/>
        <d v="2025-03-20T00:00:00"/>
        <d v="2025-03-19T00:00:00"/>
        <d v="2025-03-18T00:00:00"/>
        <d v="2025-03-17T00:00:00"/>
        <d v="2025-03-14T00:00:00"/>
        <d v="2025-03-13T00:00:00"/>
        <d v="2025-03-12T00:00:00"/>
        <d v="2025-03-11T00:00:00"/>
        <d v="2025-03-10T00:00:00"/>
        <d v="2025-03-07T00:00:00"/>
        <d v="2025-03-06T00:00:00"/>
        <d v="2025-03-05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7T00:00:00"/>
        <d v="2025-02-14T00:00:00"/>
        <d v="2025-02-13T00:00:00"/>
        <d v="2025-02-12T00:00:00"/>
        <d v="2025-02-11T00:00:00"/>
        <d v="2025-02-10T00:00:00"/>
        <d v="2025-02-07T00:00:00"/>
        <d v="2025-02-06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4T00:00:00"/>
        <d v="2025-01-23T00:00:00"/>
        <d v="2025-01-22T00:00:00"/>
        <d v="2025-01-21T00:00:00"/>
        <d v="2025-01-20T00:00:00"/>
        <d v="2025-01-17T00:00:00"/>
        <d v="2025-01-16T00:00:00"/>
        <d v="2025-01-15T00:00:00"/>
        <d v="2025-01-14T00:00:00"/>
        <d v="2025-01-13T00:00:00"/>
        <d v="2025-01-10T00:00:00"/>
        <d v="2025-01-09T00:00:00"/>
        <d v="2025-01-08T00:00:00"/>
        <d v="2025-01-07T00:00:00"/>
        <d v="2025-01-06T00:00:00"/>
        <d v="2025-01-03T00:00:00"/>
        <d v="2025-01-02T00:00:00"/>
        <m/>
      </sharedItems>
      <fieldGroup par="11"/>
    </cacheField>
    <cacheField name="Hora" numFmtId="0">
      <sharedItems containsNonDate="0" containsDate="1" containsString="0" containsBlank="1" minDate="1899-12-30T09:00:00" maxDate="1899-12-30T18:00:00" count="20">
        <d v="1899-12-30T14:30:00"/>
        <d v="1899-12-30T14:00:00"/>
        <d v="1899-12-30T13:30:00"/>
        <d v="1899-12-30T13:00:00"/>
        <d v="1899-12-30T12:30:00"/>
        <d v="1899-12-30T12:00:00"/>
        <d v="1899-12-30T11:30:00"/>
        <d v="1899-12-30T11:00:00"/>
        <d v="1899-12-30T10:30:00"/>
        <d v="1899-12-30T10:00:00"/>
        <d v="1899-12-30T09:30:00"/>
        <d v="1899-12-30T09:00:00"/>
        <d v="1899-12-30T18:00:00"/>
        <d v="1899-12-30T17:30:00"/>
        <d v="1899-12-30T17:00:00"/>
        <d v="1899-12-30T16:30:00"/>
        <d v="1899-12-30T16:00:00"/>
        <d v="1899-12-30T15:30:00"/>
        <d v="1899-12-30T15:00:00"/>
        <m/>
      </sharedItems>
      <fieldGroup par="9"/>
    </cacheField>
    <cacheField name="Abertura" numFmtId="0">
      <sharedItems containsString="0" containsBlank="1" containsNumber="1" minValue="4913.5" maxValue="6689.0290000000005"/>
    </cacheField>
    <cacheField name="Máximo" numFmtId="0">
      <sharedItems containsString="0" containsBlank="1" containsNumber="1" minValue="4916.5" maxValue="6699.7309999999998"/>
    </cacheField>
    <cacheField name="Mínimo" numFmtId="0">
      <sharedItems containsString="0" containsBlank="1" containsNumber="1" minValue="4910" maxValue="6682.6080000000002"/>
    </cacheField>
    <cacheField name="Fechamento" numFmtId="0">
      <sharedItems containsString="0" containsBlank="1" containsNumber="1" minValue="4912" maxValue="6687.9589999999998"/>
    </cacheField>
    <cacheField name="Volume" numFmtId="0">
      <sharedItems containsString="0" containsBlank="1" containsNumber="1" minValue="157044375" maxValue="20403253240.040001"/>
    </cacheField>
    <cacheField name="Quantidade" numFmtId="0">
      <sharedItems containsString="0" containsBlank="1" containsNumber="1" containsInteger="1" minValue="600" maxValue="68430"/>
    </cacheField>
    <cacheField name="Horas (Hora)" numFmtId="0" databaseField="0">
      <fieldGroup base="2">
        <rangePr groupBy="hours" startDate="1899-12-30T09:00:00" endDate="1899-12-30T18:0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Dias (Data)" numFmtId="0" databaseField="0">
      <fieldGroup base="1">
        <rangePr groupBy="days" startDate="2025-01-02T00:00:00" endDate="2026-06-09T00:00:00"/>
        <groupItems count="368">
          <s v="&lt;02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9/06/2026"/>
        </groupItems>
      </fieldGroup>
    </cacheField>
    <cacheField name="Meses (Data)" numFmtId="0" databaseField="0">
      <fieldGroup base="1">
        <rangePr groupBy="months" startDate="2025-01-02T00:00:00" endDate="2026-06-09T00:00:00"/>
        <groupItems count="14">
          <s v="&lt;02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9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78">
  <r>
    <s v="DOLFUT"/>
    <x v="0"/>
    <x v="0"/>
    <n v="5216.5"/>
    <n v="5221.5"/>
    <n v="5215.5"/>
    <n v="5217.5"/>
    <n v="2678648000"/>
    <n v="10265"/>
  </r>
  <r>
    <s v="DOLFUT"/>
    <x v="0"/>
    <x v="1"/>
    <n v="5205.5"/>
    <n v="5219"/>
    <n v="5205"/>
    <n v="5216"/>
    <n v="4183870125"/>
    <n v="16055"/>
  </r>
  <r>
    <s v="DOLFUT"/>
    <x v="0"/>
    <x v="2"/>
    <n v="5199"/>
    <n v="5205.5"/>
    <n v="5197"/>
    <n v="5205"/>
    <n v="2720294750"/>
    <n v="10460"/>
  </r>
  <r>
    <s v="DOLFUT"/>
    <x v="0"/>
    <x v="3"/>
    <n v="5199"/>
    <n v="5202.5"/>
    <n v="5191.5"/>
    <n v="5199"/>
    <n v="2424041125"/>
    <n v="9330"/>
  </r>
  <r>
    <s v="DOLFUT"/>
    <x v="0"/>
    <x v="4"/>
    <n v="5205"/>
    <n v="5215"/>
    <n v="5198"/>
    <n v="5199"/>
    <n v="3661912250"/>
    <n v="14070"/>
  </r>
  <r>
    <s v="DOLFUT"/>
    <x v="0"/>
    <x v="5"/>
    <n v="5204"/>
    <n v="5211.5"/>
    <n v="5196"/>
    <n v="5205.5"/>
    <n v="3542477125"/>
    <n v="13615"/>
  </r>
  <r>
    <s v="DOLFUT"/>
    <x v="0"/>
    <x v="6"/>
    <n v="5215"/>
    <n v="5217"/>
    <n v="5203"/>
    <n v="5204.5"/>
    <n v="6015507250"/>
    <n v="23095"/>
  </r>
  <r>
    <s v="DOLFUT"/>
    <x v="0"/>
    <x v="7"/>
    <n v="5205"/>
    <n v="5224.5"/>
    <n v="5199.5"/>
    <n v="5215.5"/>
    <n v="6039318625"/>
    <n v="23160"/>
  </r>
  <r>
    <s v="DOLFUT"/>
    <x v="0"/>
    <x v="8"/>
    <n v="5189"/>
    <n v="5204.5"/>
    <n v="5183.5"/>
    <n v="5204.5"/>
    <n v="5261431125"/>
    <n v="20260"/>
  </r>
  <r>
    <s v="DOLFUT"/>
    <x v="0"/>
    <x v="9"/>
    <n v="5179"/>
    <n v="5196.5"/>
    <n v="5176"/>
    <n v="5188.5"/>
    <n v="12031361380"/>
    <n v="46405"/>
  </r>
  <r>
    <s v="DOLFUT"/>
    <x v="0"/>
    <x v="10"/>
    <n v="5165"/>
    <n v="5195.5"/>
    <n v="5163"/>
    <n v="5179.5"/>
    <n v="7019816750"/>
    <n v="27120"/>
  </r>
  <r>
    <s v="DOLFUT"/>
    <x v="0"/>
    <x v="11"/>
    <n v="5180.5"/>
    <n v="5185"/>
    <n v="5162.5"/>
    <n v="5165"/>
    <n v="4157310625"/>
    <n v="16070"/>
  </r>
  <r>
    <s v="DOLFUT"/>
    <x v="1"/>
    <x v="12"/>
    <n v="5199"/>
    <n v="5205"/>
    <n v="5198"/>
    <n v="5200"/>
    <n v="566991875"/>
    <n v="2180"/>
  </r>
  <r>
    <s v="DOLFUT"/>
    <x v="1"/>
    <x v="13"/>
    <n v="5195"/>
    <n v="5207.5"/>
    <n v="5193.5"/>
    <n v="5199.5"/>
    <n v="2477185125"/>
    <n v="9525"/>
  </r>
  <r>
    <s v="DOLFUT"/>
    <x v="1"/>
    <x v="14"/>
    <n v="5186.5"/>
    <n v="5197"/>
    <n v="5186.5"/>
    <n v="5195.5"/>
    <n v="2599727000"/>
    <n v="10015"/>
  </r>
  <r>
    <s v="DOLFUT"/>
    <x v="1"/>
    <x v="15"/>
    <n v="5183.5"/>
    <n v="5187.5"/>
    <n v="5182.5"/>
    <n v="5186.5"/>
    <n v="3228985125"/>
    <n v="12455"/>
  </r>
  <r>
    <s v="DOLFUT"/>
    <x v="1"/>
    <x v="16"/>
    <n v="5184"/>
    <n v="5187"/>
    <n v="5182"/>
    <n v="5183.5"/>
    <n v="2848989625"/>
    <n v="10990"/>
  </r>
  <r>
    <s v="DOLFUT"/>
    <x v="1"/>
    <x v="17"/>
    <n v="5177"/>
    <n v="5184.5"/>
    <n v="5175.5"/>
    <n v="5184"/>
    <n v="3030384750"/>
    <n v="11700"/>
  </r>
  <r>
    <s v="DOLFUT"/>
    <x v="1"/>
    <x v="18"/>
    <n v="5173"/>
    <n v="5179"/>
    <n v="5172.5"/>
    <n v="5176"/>
    <n v="2550475375"/>
    <n v="9855"/>
  </r>
  <r>
    <s v="DOLFUT"/>
    <x v="1"/>
    <x v="0"/>
    <n v="5169.5"/>
    <n v="5176"/>
    <n v="5165.5"/>
    <n v="5173"/>
    <n v="2703436500"/>
    <n v="10455"/>
  </r>
  <r>
    <s v="DOLFUT"/>
    <x v="1"/>
    <x v="1"/>
    <n v="5171.5"/>
    <n v="5175.5"/>
    <n v="5167.5"/>
    <n v="5169.5"/>
    <n v="2687619500"/>
    <n v="10395"/>
  </r>
  <r>
    <s v="DOLFUT"/>
    <x v="1"/>
    <x v="2"/>
    <n v="5181.5"/>
    <n v="5181.5"/>
    <n v="5171"/>
    <n v="5171.5"/>
    <n v="8797902125"/>
    <n v="33975"/>
  </r>
  <r>
    <s v="DOLFUT"/>
    <x v="1"/>
    <x v="3"/>
    <n v="5177"/>
    <n v="5185.5"/>
    <n v="5173.5"/>
    <n v="5180.5"/>
    <n v="6054899875"/>
    <n v="23375"/>
  </r>
  <r>
    <s v="DOLFUT"/>
    <x v="1"/>
    <x v="4"/>
    <n v="5167"/>
    <n v="5179"/>
    <n v="5162"/>
    <n v="5176.5"/>
    <n v="11387160880"/>
    <n v="44040"/>
  </r>
  <r>
    <s v="DOLFUT"/>
    <x v="1"/>
    <x v="5"/>
    <n v="5152.5"/>
    <n v="5166.5"/>
    <n v="5152"/>
    <n v="5166.5"/>
    <n v="7032757250"/>
    <n v="27260"/>
  </r>
  <r>
    <s v="DOLFUT"/>
    <x v="1"/>
    <x v="6"/>
    <n v="5151.5"/>
    <n v="5157"/>
    <n v="5145"/>
    <n v="5152.5"/>
    <n v="5643792625"/>
    <n v="21910"/>
  </r>
  <r>
    <s v="DOLFUT"/>
    <x v="1"/>
    <x v="7"/>
    <n v="5153"/>
    <n v="5160"/>
    <n v="5149"/>
    <n v="5152"/>
    <n v="9142692500"/>
    <n v="35480"/>
  </r>
  <r>
    <s v="DOLFUT"/>
    <x v="1"/>
    <x v="8"/>
    <n v="5148.5"/>
    <n v="5158"/>
    <n v="5142.5"/>
    <n v="5153"/>
    <n v="5329704250"/>
    <n v="20705"/>
  </r>
  <r>
    <s v="DOLFUT"/>
    <x v="1"/>
    <x v="9"/>
    <n v="5129.5"/>
    <n v="5150"/>
    <n v="5127"/>
    <n v="5149"/>
    <n v="6702895000"/>
    <n v="26090"/>
  </r>
  <r>
    <s v="DOLFUT"/>
    <x v="1"/>
    <x v="10"/>
    <n v="5096.5"/>
    <n v="5131"/>
    <n v="5096.5"/>
    <n v="5129.5"/>
    <n v="4947819250"/>
    <n v="19360"/>
  </r>
  <r>
    <s v="DOLFUT"/>
    <x v="1"/>
    <x v="11"/>
    <n v="5085.5"/>
    <n v="5096"/>
    <n v="5085"/>
    <n v="5094.5"/>
    <n v="2493218125"/>
    <n v="9795"/>
  </r>
  <r>
    <s v="DOLFUT"/>
    <x v="2"/>
    <x v="12"/>
    <n v="5099"/>
    <n v="5104.5"/>
    <n v="5091"/>
    <n v="5091"/>
    <n v="558389750"/>
    <n v="2190"/>
  </r>
  <r>
    <s v="DOLFUT"/>
    <x v="2"/>
    <x v="13"/>
    <n v="5096.5"/>
    <n v="5100"/>
    <n v="5093"/>
    <n v="5099"/>
    <n v="2896057250"/>
    <n v="11370"/>
  </r>
  <r>
    <s v="DOLFUT"/>
    <x v="2"/>
    <x v="14"/>
    <n v="5099.5"/>
    <n v="5100.5"/>
    <n v="5094.5"/>
    <n v="5097"/>
    <n v="2743629625"/>
    <n v="10765"/>
  </r>
  <r>
    <s v="DOLFUT"/>
    <x v="2"/>
    <x v="15"/>
    <n v="5108.5"/>
    <n v="5108.5"/>
    <n v="5099.5"/>
    <n v="5099.5"/>
    <n v="2221342875"/>
    <n v="8705"/>
  </r>
  <r>
    <s v="DOLFUT"/>
    <x v="2"/>
    <x v="16"/>
    <n v="5108.5"/>
    <n v="5111.5"/>
    <n v="5104.5"/>
    <n v="5109"/>
    <n v="3454937500"/>
    <n v="13530"/>
  </r>
  <r>
    <s v="DOLFUT"/>
    <x v="2"/>
    <x v="17"/>
    <n v="5109"/>
    <n v="5124"/>
    <n v="5107"/>
    <n v="5109"/>
    <n v="4788706000"/>
    <n v="18725"/>
  </r>
  <r>
    <s v="DOLFUT"/>
    <x v="2"/>
    <x v="18"/>
    <n v="5110"/>
    <n v="5114.5"/>
    <n v="5108.5"/>
    <n v="5109"/>
    <n v="1969190250"/>
    <n v="7705"/>
  </r>
  <r>
    <s v="DOLFUT"/>
    <x v="2"/>
    <x v="0"/>
    <n v="5102.5"/>
    <n v="5114"/>
    <n v="5100"/>
    <n v="5110"/>
    <n v="2154927875"/>
    <n v="8440"/>
  </r>
  <r>
    <s v="DOLFUT"/>
    <x v="2"/>
    <x v="1"/>
    <n v="5104"/>
    <n v="5107"/>
    <n v="5100"/>
    <n v="5102.5"/>
    <n v="2227481375"/>
    <n v="8730"/>
  </r>
  <r>
    <s v="DOLFUT"/>
    <x v="2"/>
    <x v="2"/>
    <n v="5090.5"/>
    <n v="5109.5"/>
    <n v="5090.5"/>
    <n v="5104"/>
    <n v="3324440375"/>
    <n v="13030"/>
  </r>
  <r>
    <s v="DOLFUT"/>
    <x v="2"/>
    <x v="3"/>
    <n v="5079.5"/>
    <n v="5093"/>
    <n v="5079.5"/>
    <n v="5091"/>
    <n v="3558786250"/>
    <n v="13990"/>
  </r>
  <r>
    <s v="DOLFUT"/>
    <x v="2"/>
    <x v="4"/>
    <n v="5078.5"/>
    <n v="5083"/>
    <n v="5077.5"/>
    <n v="5080.5"/>
    <n v="1606815250"/>
    <n v="6325"/>
  </r>
  <r>
    <s v="DOLFUT"/>
    <x v="2"/>
    <x v="5"/>
    <n v="5073.5"/>
    <n v="5079.5"/>
    <n v="5069.5"/>
    <n v="5077.5"/>
    <n v="1764471500"/>
    <n v="6955"/>
  </r>
  <r>
    <s v="DOLFUT"/>
    <x v="2"/>
    <x v="6"/>
    <n v="5073.5"/>
    <n v="5078.5"/>
    <n v="5071.5"/>
    <n v="5074"/>
    <n v="2224088500"/>
    <n v="8765"/>
  </r>
  <r>
    <s v="DOLFUT"/>
    <x v="2"/>
    <x v="7"/>
    <n v="5083"/>
    <n v="5084.5"/>
    <n v="5072.5"/>
    <n v="5073"/>
    <n v="3642140625"/>
    <n v="14340"/>
  </r>
  <r>
    <s v="DOLFUT"/>
    <x v="2"/>
    <x v="8"/>
    <n v="5081.5"/>
    <n v="5087"/>
    <n v="5078.5"/>
    <n v="5083"/>
    <n v="3839948000"/>
    <n v="15110"/>
  </r>
  <r>
    <s v="DOLFUT"/>
    <x v="2"/>
    <x v="9"/>
    <n v="5066.5"/>
    <n v="5082"/>
    <n v="5063"/>
    <n v="5081.5"/>
    <n v="3872764000"/>
    <n v="15265"/>
  </r>
  <r>
    <s v="DOLFUT"/>
    <x v="2"/>
    <x v="10"/>
    <n v="5055"/>
    <n v="5074.5"/>
    <n v="5055"/>
    <n v="5066.5"/>
    <n v="3619528875"/>
    <n v="14285"/>
  </r>
  <r>
    <s v="DOLFUT"/>
    <x v="2"/>
    <x v="11"/>
    <n v="5051.5"/>
    <n v="5055"/>
    <n v="5045"/>
    <n v="5055"/>
    <n v="1789207500"/>
    <n v="7085"/>
  </r>
  <r>
    <s v="DOLFUT"/>
    <x v="3"/>
    <x v="12"/>
    <n v="5040"/>
    <n v="5041"/>
    <n v="5038.5"/>
    <n v="5041"/>
    <n v="2268036750"/>
    <n v="9000"/>
  </r>
  <r>
    <s v="DOLFUT"/>
    <x v="3"/>
    <x v="13"/>
    <n v="5037.5"/>
    <n v="5039.5"/>
    <n v="5037"/>
    <n v="5039"/>
    <n v="7567127000"/>
    <n v="30045"/>
  </r>
  <r>
    <s v="DOLFUT"/>
    <x v="3"/>
    <x v="14"/>
    <n v="5043.5"/>
    <n v="5044"/>
    <n v="5034.5"/>
    <n v="5037.5"/>
    <n v="1811452125"/>
    <n v="7190"/>
  </r>
  <r>
    <s v="DOLFUT"/>
    <x v="3"/>
    <x v="15"/>
    <n v="5046.5"/>
    <n v="5047.5"/>
    <n v="5043"/>
    <n v="5044"/>
    <n v="2476406000"/>
    <n v="9815"/>
  </r>
  <r>
    <s v="DOLFUT"/>
    <x v="3"/>
    <x v="16"/>
    <n v="5046.5"/>
    <n v="5048"/>
    <n v="5045.5"/>
    <n v="5046.5"/>
    <n v="1821841250"/>
    <n v="7220"/>
  </r>
  <r>
    <s v="DOLFUT"/>
    <x v="3"/>
    <x v="17"/>
    <n v="5050.5"/>
    <n v="5050.5"/>
    <n v="5043.5"/>
    <n v="5046.5"/>
    <n v="2871496000"/>
    <n v="11380"/>
  </r>
  <r>
    <s v="DOLFUT"/>
    <x v="3"/>
    <x v="18"/>
    <n v="5053"/>
    <n v="5055.5"/>
    <n v="5050"/>
    <n v="5050.5"/>
    <n v="2318042125"/>
    <n v="9175"/>
  </r>
  <r>
    <s v="DOLFUT"/>
    <x v="3"/>
    <x v="0"/>
    <n v="5056"/>
    <n v="5056"/>
    <n v="5052.5"/>
    <n v="5053.5"/>
    <n v="4839211625"/>
    <n v="19150"/>
  </r>
  <r>
    <s v="DOLFUT"/>
    <x v="3"/>
    <x v="1"/>
    <n v="5051.5"/>
    <n v="5057"/>
    <n v="5049.5"/>
    <n v="5056"/>
    <n v="1245473375"/>
    <n v="4930"/>
  </r>
  <r>
    <s v="DOLFUT"/>
    <x v="3"/>
    <x v="2"/>
    <n v="5053"/>
    <n v="5053"/>
    <n v="5048.5"/>
    <n v="5051"/>
    <n v="1183130500"/>
    <n v="4685"/>
  </r>
  <r>
    <s v="DOLFUT"/>
    <x v="3"/>
    <x v="3"/>
    <n v="5047"/>
    <n v="5054.5"/>
    <n v="5047"/>
    <n v="5053.5"/>
    <n v="2360772375"/>
    <n v="9350"/>
  </r>
  <r>
    <s v="DOLFUT"/>
    <x v="3"/>
    <x v="4"/>
    <n v="5049"/>
    <n v="5052"/>
    <n v="5045.5"/>
    <n v="5047.5"/>
    <n v="981981000"/>
    <n v="3890"/>
  </r>
  <r>
    <s v="DOLFUT"/>
    <x v="3"/>
    <x v="5"/>
    <n v="5046"/>
    <n v="5052"/>
    <n v="5045.5"/>
    <n v="5049"/>
    <n v="3206763375"/>
    <n v="12705"/>
  </r>
  <r>
    <s v="DOLFUT"/>
    <x v="3"/>
    <x v="6"/>
    <n v="5046"/>
    <n v="5048"/>
    <n v="5037.5"/>
    <n v="5045.5"/>
    <n v="2897617875"/>
    <n v="11490"/>
  </r>
  <r>
    <s v="DOLFUT"/>
    <x v="3"/>
    <x v="7"/>
    <n v="5051"/>
    <n v="5055.5"/>
    <n v="5045.5"/>
    <n v="5046"/>
    <n v="9438522625"/>
    <n v="37375"/>
  </r>
  <r>
    <s v="DOLFUT"/>
    <x v="3"/>
    <x v="8"/>
    <n v="5055"/>
    <n v="5056"/>
    <n v="5045.5"/>
    <n v="5050.5"/>
    <n v="2443659125"/>
    <n v="9680"/>
  </r>
  <r>
    <s v="DOLFUT"/>
    <x v="3"/>
    <x v="9"/>
    <n v="5046.5"/>
    <n v="5055"/>
    <n v="5046.5"/>
    <n v="5054.5"/>
    <n v="2860912375"/>
    <n v="11330"/>
  </r>
  <r>
    <s v="DOLFUT"/>
    <x v="3"/>
    <x v="10"/>
    <n v="5038.5"/>
    <n v="5047"/>
    <n v="5034"/>
    <n v="5046"/>
    <n v="3651083750"/>
    <n v="14485"/>
  </r>
  <r>
    <s v="DOLFUT"/>
    <x v="3"/>
    <x v="11"/>
    <n v="5048.5"/>
    <n v="5055.5"/>
    <n v="5036.5"/>
    <n v="5038.5"/>
    <n v="3816343625"/>
    <n v="15140"/>
  </r>
  <r>
    <s v="DOLFUT"/>
    <x v="4"/>
    <x v="12"/>
    <n v="5062.5"/>
    <n v="5063"/>
    <n v="5060.5"/>
    <n v="5063"/>
    <n v="484684875"/>
    <n v="1915"/>
  </r>
  <r>
    <s v="DOLFUT"/>
    <x v="4"/>
    <x v="13"/>
    <n v="5059"/>
    <n v="5063"/>
    <n v="5057"/>
    <n v="5062.5"/>
    <n v="1105502125"/>
    <n v="4370"/>
  </r>
  <r>
    <s v="DOLFUT"/>
    <x v="4"/>
    <x v="14"/>
    <n v="5057"/>
    <n v="5059.5"/>
    <n v="5055"/>
    <n v="5059"/>
    <n v="4820344250"/>
    <n v="19060"/>
  </r>
  <r>
    <s v="DOLFUT"/>
    <x v="4"/>
    <x v="15"/>
    <n v="5048.5"/>
    <n v="5057.5"/>
    <n v="5048.5"/>
    <n v="5057"/>
    <n v="2852938750"/>
    <n v="11295"/>
  </r>
  <r>
    <s v="DOLFUT"/>
    <x v="4"/>
    <x v="16"/>
    <n v="5051.5"/>
    <n v="5053"/>
    <n v="5047"/>
    <n v="5048.5"/>
    <n v="2670504500"/>
    <n v="10575"/>
  </r>
  <r>
    <s v="DOLFUT"/>
    <x v="4"/>
    <x v="17"/>
    <n v="5054"/>
    <n v="5056.5"/>
    <n v="5048.5"/>
    <n v="5051.5"/>
    <n v="2589239500"/>
    <n v="10250"/>
  </r>
  <r>
    <s v="DOLFUT"/>
    <x v="4"/>
    <x v="18"/>
    <n v="5055"/>
    <n v="5058"/>
    <n v="5051"/>
    <n v="5054.5"/>
    <n v="4614466625"/>
    <n v="18260"/>
  </r>
  <r>
    <s v="DOLFUT"/>
    <x v="4"/>
    <x v="0"/>
    <n v="5061"/>
    <n v="5065"/>
    <n v="5051.5"/>
    <n v="5055.5"/>
    <n v="6024047250"/>
    <n v="23830"/>
  </r>
  <r>
    <s v="DOLFUT"/>
    <x v="4"/>
    <x v="1"/>
    <n v="5062.5"/>
    <n v="5068.5"/>
    <n v="5061.5"/>
    <n v="5061.5"/>
    <n v="1939975000"/>
    <n v="7660"/>
  </r>
  <r>
    <s v="DOLFUT"/>
    <x v="4"/>
    <x v="2"/>
    <n v="5071.5"/>
    <n v="5073"/>
    <n v="5062"/>
    <n v="5062.5"/>
    <n v="3745786750"/>
    <n v="14785"/>
  </r>
  <r>
    <s v="DOLFUT"/>
    <x v="4"/>
    <x v="3"/>
    <n v="5068"/>
    <n v="5076"/>
    <n v="5065.5"/>
    <n v="5071.5"/>
    <n v="1321099000"/>
    <n v="5210"/>
  </r>
  <r>
    <s v="DOLFUT"/>
    <x v="4"/>
    <x v="4"/>
    <n v="5065"/>
    <n v="5069"/>
    <n v="5059"/>
    <n v="5068.5"/>
    <n v="2424750500"/>
    <n v="9575"/>
  </r>
  <r>
    <s v="DOLFUT"/>
    <x v="4"/>
    <x v="5"/>
    <n v="5060"/>
    <n v="5067.5"/>
    <n v="5059"/>
    <n v="5064.5"/>
    <n v="3874526875"/>
    <n v="15310"/>
  </r>
  <r>
    <s v="DOLFUT"/>
    <x v="4"/>
    <x v="6"/>
    <n v="5072"/>
    <n v="5073.5"/>
    <n v="5060.5"/>
    <n v="5060.5"/>
    <n v="2765872625"/>
    <n v="10915"/>
  </r>
  <r>
    <s v="DOLFUT"/>
    <x v="4"/>
    <x v="7"/>
    <n v="5078"/>
    <n v="5081.5"/>
    <n v="5071.5"/>
    <n v="5072.5"/>
    <n v="3606264375"/>
    <n v="14210"/>
  </r>
  <r>
    <s v="DOLFUT"/>
    <x v="4"/>
    <x v="8"/>
    <n v="5073.5"/>
    <n v="5080"/>
    <n v="5071"/>
    <n v="5078"/>
    <n v="2472805750"/>
    <n v="9745"/>
  </r>
  <r>
    <s v="DOLFUT"/>
    <x v="4"/>
    <x v="9"/>
    <n v="5059.5"/>
    <n v="5078"/>
    <n v="5055"/>
    <n v="5074"/>
    <n v="4406509375"/>
    <n v="17385"/>
  </r>
  <r>
    <s v="DOLFUT"/>
    <x v="4"/>
    <x v="10"/>
    <n v="5065"/>
    <n v="5068"/>
    <n v="5053.5"/>
    <n v="5059.5"/>
    <n v="4247819875"/>
    <n v="16790"/>
  </r>
  <r>
    <s v="DOLFUT"/>
    <x v="4"/>
    <x v="11"/>
    <n v="5068"/>
    <n v="5075.5"/>
    <n v="5057.5"/>
    <n v="5064.5"/>
    <n v="2889844625"/>
    <n v="11410"/>
  </r>
  <r>
    <s v="DOLFUT"/>
    <x v="5"/>
    <x v="12"/>
    <n v="5073"/>
    <n v="5075.5"/>
    <n v="5067"/>
    <n v="5075.5"/>
    <n v="1407552625"/>
    <n v="5550"/>
  </r>
  <r>
    <s v="DOLFUT"/>
    <x v="5"/>
    <x v="13"/>
    <n v="5071.5"/>
    <n v="5074"/>
    <n v="5066.5"/>
    <n v="5073"/>
    <n v="2134891750"/>
    <n v="8420"/>
  </r>
  <r>
    <s v="DOLFUT"/>
    <x v="5"/>
    <x v="14"/>
    <n v="5081.5"/>
    <n v="5082"/>
    <n v="5068.5"/>
    <n v="5071"/>
    <n v="3490478625"/>
    <n v="13760"/>
  </r>
  <r>
    <s v="DOLFUT"/>
    <x v="5"/>
    <x v="15"/>
    <n v="5081"/>
    <n v="5086"/>
    <n v="5080.5"/>
    <n v="5081.5"/>
    <n v="3280966375"/>
    <n v="12910"/>
  </r>
  <r>
    <s v="DOLFUT"/>
    <x v="5"/>
    <x v="16"/>
    <n v="5080"/>
    <n v="5082.5"/>
    <n v="5076.5"/>
    <n v="5082"/>
    <n v="3890500125"/>
    <n v="15315"/>
  </r>
  <r>
    <s v="DOLFUT"/>
    <x v="5"/>
    <x v="17"/>
    <n v="5082.5"/>
    <n v="5083"/>
    <n v="5076"/>
    <n v="5080"/>
    <n v="2956840125"/>
    <n v="11640"/>
  </r>
  <r>
    <s v="DOLFUT"/>
    <x v="5"/>
    <x v="18"/>
    <n v="5085"/>
    <n v="5086.5"/>
    <n v="5079"/>
    <n v="5083.5"/>
    <n v="4134110375"/>
    <n v="16270"/>
  </r>
  <r>
    <s v="DOLFUT"/>
    <x v="5"/>
    <x v="0"/>
    <n v="5080"/>
    <n v="5085"/>
    <n v="5076"/>
    <n v="5085"/>
    <n v="1989621125"/>
    <n v="7830"/>
  </r>
  <r>
    <s v="DOLFUT"/>
    <x v="5"/>
    <x v="1"/>
    <n v="5087.5"/>
    <n v="5088"/>
    <n v="5071.5"/>
    <n v="5080"/>
    <n v="4361144875"/>
    <n v="17175"/>
  </r>
  <r>
    <s v="DOLFUT"/>
    <x v="5"/>
    <x v="2"/>
    <n v="5094"/>
    <n v="5094.5"/>
    <n v="5085"/>
    <n v="5088"/>
    <n v="1302991875"/>
    <n v="5120"/>
  </r>
  <r>
    <s v="DOLFUT"/>
    <x v="5"/>
    <x v="3"/>
    <n v="5095"/>
    <n v="5097"/>
    <n v="5091"/>
    <n v="5093.5"/>
    <n v="2404921875"/>
    <n v="9440"/>
  </r>
  <r>
    <s v="DOLFUT"/>
    <x v="5"/>
    <x v="4"/>
    <n v="5099"/>
    <n v="5100"/>
    <n v="5093"/>
    <n v="5095"/>
    <n v="1761985125"/>
    <n v="6915"/>
  </r>
  <r>
    <s v="DOLFUT"/>
    <x v="5"/>
    <x v="5"/>
    <n v="5097"/>
    <n v="5099.5"/>
    <n v="5089.5"/>
    <n v="5099"/>
    <n v="3844115375"/>
    <n v="15095"/>
  </r>
  <r>
    <s v="DOLFUT"/>
    <x v="5"/>
    <x v="6"/>
    <n v="5100.5"/>
    <n v="5107.5"/>
    <n v="5089"/>
    <n v="5098"/>
    <n v="9588258000"/>
    <n v="37585"/>
  </r>
  <r>
    <s v="DOLFUT"/>
    <x v="5"/>
    <x v="7"/>
    <n v="5096"/>
    <n v="5103.5"/>
    <n v="5089"/>
    <n v="5100"/>
    <n v="7930238375"/>
    <n v="31120"/>
  </r>
  <r>
    <s v="DOLFUT"/>
    <x v="5"/>
    <x v="8"/>
    <n v="5084.5"/>
    <n v="5096.5"/>
    <n v="5084.5"/>
    <n v="5096"/>
    <n v="4442005250"/>
    <n v="17455"/>
  </r>
  <r>
    <s v="DOLFUT"/>
    <x v="5"/>
    <x v="9"/>
    <n v="5091.5"/>
    <n v="5094.5"/>
    <n v="5084"/>
    <n v="5084.5"/>
    <n v="2763982750"/>
    <n v="10860"/>
  </r>
  <r>
    <s v="DOLFUT"/>
    <x v="5"/>
    <x v="10"/>
    <n v="5073.5"/>
    <n v="5092"/>
    <n v="5073"/>
    <n v="5092"/>
    <n v="4089628125"/>
    <n v="16090"/>
  </r>
  <r>
    <s v="DOLFUT"/>
    <x v="5"/>
    <x v="11"/>
    <n v="5073.5"/>
    <n v="5089"/>
    <n v="5072"/>
    <n v="5073.5"/>
    <n v="3715335750"/>
    <n v="14625"/>
  </r>
  <r>
    <s v="DOLFUT"/>
    <x v="6"/>
    <x v="12"/>
    <n v="5040.5"/>
    <n v="5045"/>
    <n v="5036"/>
    <n v="5044.5"/>
    <n v="679152750"/>
    <n v="2695"/>
  </r>
  <r>
    <s v="DOLFUT"/>
    <x v="6"/>
    <x v="13"/>
    <n v="5040"/>
    <n v="5045"/>
    <n v="5039.5"/>
    <n v="5041.5"/>
    <n v="1833068375"/>
    <n v="7270"/>
  </r>
  <r>
    <s v="DOLFUT"/>
    <x v="6"/>
    <x v="14"/>
    <n v="5034"/>
    <n v="5041.5"/>
    <n v="5033"/>
    <n v="5040"/>
    <n v="1815949500"/>
    <n v="7210"/>
  </r>
  <r>
    <s v="DOLFUT"/>
    <x v="6"/>
    <x v="15"/>
    <n v="5032"/>
    <n v="5034.5"/>
    <n v="5031"/>
    <n v="5034"/>
    <n v="815196875"/>
    <n v="3240"/>
  </r>
  <r>
    <s v="DOLFUT"/>
    <x v="6"/>
    <x v="16"/>
    <n v="5031.5"/>
    <n v="5034"/>
    <n v="5030"/>
    <n v="5032"/>
    <n v="3949285625"/>
    <n v="15700"/>
  </r>
  <r>
    <s v="DOLFUT"/>
    <x v="6"/>
    <x v="17"/>
    <n v="5030.5"/>
    <n v="5036"/>
    <n v="5030"/>
    <n v="5031.5"/>
    <n v="3006271500"/>
    <n v="11945"/>
  </r>
  <r>
    <s v="DOLFUT"/>
    <x v="6"/>
    <x v="18"/>
    <n v="5028"/>
    <n v="5031.5"/>
    <n v="5025.5"/>
    <n v="5030"/>
    <n v="1667101875"/>
    <n v="6630"/>
  </r>
  <r>
    <s v="DOLFUT"/>
    <x v="6"/>
    <x v="0"/>
    <n v="5031.5"/>
    <n v="5032.5"/>
    <n v="5026"/>
    <n v="5028"/>
    <n v="2355848500"/>
    <n v="9370"/>
  </r>
  <r>
    <s v="DOLFUT"/>
    <x v="6"/>
    <x v="1"/>
    <n v="5036.5"/>
    <n v="5036.5"/>
    <n v="5030.5"/>
    <n v="5031"/>
    <n v="4181879875"/>
    <n v="16615"/>
  </r>
  <r>
    <s v="DOLFUT"/>
    <x v="6"/>
    <x v="2"/>
    <n v="5042.5"/>
    <n v="5044.5"/>
    <n v="5036"/>
    <n v="5037"/>
    <n v="1121612000"/>
    <n v="4450"/>
  </r>
  <r>
    <s v="DOLFUT"/>
    <x v="6"/>
    <x v="3"/>
    <n v="5050"/>
    <n v="5051"/>
    <n v="5040.5"/>
    <n v="5042.5"/>
    <n v="1252613375"/>
    <n v="4965"/>
  </r>
  <r>
    <s v="DOLFUT"/>
    <x v="6"/>
    <x v="4"/>
    <n v="5045.5"/>
    <n v="5051"/>
    <n v="5043.5"/>
    <n v="5050"/>
    <n v="1602369875"/>
    <n v="6350"/>
  </r>
  <r>
    <s v="DOLFUT"/>
    <x v="6"/>
    <x v="5"/>
    <n v="5047.5"/>
    <n v="5048.5"/>
    <n v="5043"/>
    <n v="5045.5"/>
    <n v="3433432000"/>
    <n v="13610"/>
  </r>
  <r>
    <s v="DOLFUT"/>
    <x v="6"/>
    <x v="6"/>
    <n v="5052.5"/>
    <n v="5053.5"/>
    <n v="5042.5"/>
    <n v="5047.5"/>
    <n v="2313584875"/>
    <n v="9165"/>
  </r>
  <r>
    <s v="DOLFUT"/>
    <x v="6"/>
    <x v="7"/>
    <n v="5064"/>
    <n v="5066"/>
    <n v="5039"/>
    <n v="5052.5"/>
    <n v="6537041500"/>
    <n v="25885"/>
  </r>
  <r>
    <s v="DOLFUT"/>
    <x v="6"/>
    <x v="8"/>
    <n v="5056.5"/>
    <n v="5066.5"/>
    <n v="5056"/>
    <n v="5064"/>
    <n v="4384885375"/>
    <n v="17325"/>
  </r>
  <r>
    <s v="DOLFUT"/>
    <x v="6"/>
    <x v="9"/>
    <n v="5065"/>
    <n v="5065.5"/>
    <n v="5052.5"/>
    <n v="5056.5"/>
    <n v="3404408875"/>
    <n v="13465"/>
  </r>
  <r>
    <s v="DOLFUT"/>
    <x v="6"/>
    <x v="10"/>
    <n v="5071.5"/>
    <n v="5074"/>
    <n v="5057"/>
    <n v="5065"/>
    <n v="2312316000"/>
    <n v="9130"/>
  </r>
  <r>
    <s v="DOLFUT"/>
    <x v="6"/>
    <x v="11"/>
    <n v="5070"/>
    <n v="5077"/>
    <n v="5067.5"/>
    <n v="5071"/>
    <n v="2840140250"/>
    <n v="11195"/>
  </r>
  <r>
    <s v="DOLFUT"/>
    <x v="7"/>
    <x v="12"/>
    <n v="5061.5"/>
    <n v="5066.5"/>
    <n v="5060.5"/>
    <n v="5064.5"/>
    <n v="412607250"/>
    <n v="1630"/>
  </r>
  <r>
    <s v="DOLFUT"/>
    <x v="7"/>
    <x v="13"/>
    <n v="5062"/>
    <n v="5064"/>
    <n v="5059"/>
    <n v="5062"/>
    <n v="755400250"/>
    <n v="2985"/>
  </r>
  <r>
    <s v="DOLFUT"/>
    <x v="7"/>
    <x v="14"/>
    <n v="5064"/>
    <n v="5064.5"/>
    <n v="5060.5"/>
    <n v="5062"/>
    <n v="1116132500"/>
    <n v="4410"/>
  </r>
  <r>
    <s v="DOLFUT"/>
    <x v="7"/>
    <x v="15"/>
    <n v="5062"/>
    <n v="5065.5"/>
    <n v="5059"/>
    <n v="5064"/>
    <n v="1683176375"/>
    <n v="6650"/>
  </r>
  <r>
    <s v="DOLFUT"/>
    <x v="7"/>
    <x v="16"/>
    <n v="5062"/>
    <n v="5063.5"/>
    <n v="5058.5"/>
    <n v="5062"/>
    <n v="1637266125"/>
    <n v="6470"/>
  </r>
  <r>
    <s v="DOLFUT"/>
    <x v="7"/>
    <x v="17"/>
    <n v="5060.5"/>
    <n v="5063"/>
    <n v="5058"/>
    <n v="5062"/>
    <n v="5554963875"/>
    <n v="21955"/>
  </r>
  <r>
    <s v="DOLFUT"/>
    <x v="7"/>
    <x v="18"/>
    <n v="5064"/>
    <n v="5066"/>
    <n v="5059.5"/>
    <n v="5060"/>
    <n v="4353990375"/>
    <n v="17200"/>
  </r>
  <r>
    <s v="DOLFUT"/>
    <x v="7"/>
    <x v="0"/>
    <n v="5067"/>
    <n v="5067.5"/>
    <n v="5059.5"/>
    <n v="5064"/>
    <n v="1635413500"/>
    <n v="6460"/>
  </r>
  <r>
    <s v="DOLFUT"/>
    <x v="7"/>
    <x v="1"/>
    <n v="5063.5"/>
    <n v="5071"/>
    <n v="5063.5"/>
    <n v="5067.5"/>
    <n v="1630643250"/>
    <n v="6435"/>
  </r>
  <r>
    <s v="DOLFUT"/>
    <x v="7"/>
    <x v="2"/>
    <n v="5065"/>
    <n v="5066"/>
    <n v="5061"/>
    <n v="5063"/>
    <n v="1676979750"/>
    <n v="6625"/>
  </r>
  <r>
    <s v="DOLFUT"/>
    <x v="7"/>
    <x v="3"/>
    <n v="5065"/>
    <n v="5066.5"/>
    <n v="5062"/>
    <n v="5065"/>
    <n v="1297668250"/>
    <n v="5125"/>
  </r>
  <r>
    <s v="DOLFUT"/>
    <x v="7"/>
    <x v="4"/>
    <n v="5055.5"/>
    <n v="5067.5"/>
    <n v="5054.5"/>
    <n v="5065.5"/>
    <n v="1915866625"/>
    <n v="7570"/>
  </r>
  <r>
    <s v="DOLFUT"/>
    <x v="7"/>
    <x v="5"/>
    <n v="5068.5"/>
    <n v="5069.5"/>
    <n v="5055"/>
    <n v="5055.5"/>
    <n v="1733606000"/>
    <n v="6850"/>
  </r>
  <r>
    <s v="DOLFUT"/>
    <x v="7"/>
    <x v="6"/>
    <n v="5068"/>
    <n v="5070"/>
    <n v="5057.5"/>
    <n v="5069"/>
    <n v="8575844125"/>
    <n v="33860"/>
  </r>
  <r>
    <s v="DOLFUT"/>
    <x v="7"/>
    <x v="7"/>
    <n v="5059"/>
    <n v="5074"/>
    <n v="5058.5"/>
    <n v="5067.5"/>
    <n v="5108171500"/>
    <n v="20160"/>
  </r>
  <r>
    <s v="DOLFUT"/>
    <x v="7"/>
    <x v="8"/>
    <n v="5059"/>
    <n v="5060"/>
    <n v="5049"/>
    <n v="5059.5"/>
    <n v="2463947625"/>
    <n v="9750"/>
  </r>
  <r>
    <s v="DOLFUT"/>
    <x v="7"/>
    <x v="9"/>
    <n v="5055.5"/>
    <n v="5064.5"/>
    <n v="5052.5"/>
    <n v="5060"/>
    <n v="5119035250"/>
    <n v="20245"/>
  </r>
  <r>
    <s v="DOLFUT"/>
    <x v="7"/>
    <x v="10"/>
    <n v="5037"/>
    <n v="5056"/>
    <n v="5034"/>
    <n v="5055"/>
    <n v="4599623375"/>
    <n v="18235"/>
  </r>
  <r>
    <s v="DOLFUT"/>
    <x v="7"/>
    <x v="11"/>
    <n v="5038"/>
    <n v="5055"/>
    <n v="5035"/>
    <n v="5037"/>
    <n v="4728047125"/>
    <n v="18750"/>
  </r>
  <r>
    <s v="DOLFUT"/>
    <x v="8"/>
    <x v="12"/>
    <n v="5039.5"/>
    <n v="5041.5"/>
    <n v="5038"/>
    <n v="5040"/>
    <n v="205393750"/>
    <n v="815"/>
  </r>
  <r>
    <s v="DOLFUT"/>
    <x v="8"/>
    <x v="13"/>
    <n v="5035.5"/>
    <n v="5041"/>
    <n v="5035"/>
    <n v="5039"/>
    <n v="2005201750"/>
    <n v="7960"/>
  </r>
  <r>
    <s v="DOLFUT"/>
    <x v="8"/>
    <x v="14"/>
    <n v="5032.5"/>
    <n v="5036"/>
    <n v="5030"/>
    <n v="5035.5"/>
    <n v="902180875"/>
    <n v="3585"/>
  </r>
  <r>
    <s v="DOLFUT"/>
    <x v="8"/>
    <x v="15"/>
    <n v="5035.5"/>
    <n v="5037.5"/>
    <n v="5032"/>
    <n v="5032.5"/>
    <n v="1890108750"/>
    <n v="7510"/>
  </r>
  <r>
    <s v="DOLFUT"/>
    <x v="8"/>
    <x v="16"/>
    <n v="5036"/>
    <n v="5037"/>
    <n v="5033"/>
    <n v="5035.5"/>
    <n v="1166806750"/>
    <n v="4635"/>
  </r>
  <r>
    <s v="DOLFUT"/>
    <x v="8"/>
    <x v="17"/>
    <n v="5029.5"/>
    <n v="5036.5"/>
    <n v="5029"/>
    <n v="5035.5"/>
    <n v="1956810375"/>
    <n v="7775"/>
  </r>
  <r>
    <s v="DOLFUT"/>
    <x v="8"/>
    <x v="18"/>
    <n v="5030"/>
    <n v="5032"/>
    <n v="5028"/>
    <n v="5029.5"/>
    <n v="1910320500"/>
    <n v="7595"/>
  </r>
  <r>
    <s v="DOLFUT"/>
    <x v="8"/>
    <x v="0"/>
    <n v="5035"/>
    <n v="5035"/>
    <n v="5027"/>
    <n v="5029.5"/>
    <n v="1527409500"/>
    <n v="6075"/>
  </r>
  <r>
    <s v="DOLFUT"/>
    <x v="8"/>
    <x v="1"/>
    <n v="5034"/>
    <n v="5035.5"/>
    <n v="5031.5"/>
    <n v="5035"/>
    <n v="1142654625"/>
    <n v="4540"/>
  </r>
  <r>
    <s v="DOLFUT"/>
    <x v="8"/>
    <x v="2"/>
    <n v="5033.5"/>
    <n v="5037"/>
    <n v="5031"/>
    <n v="5034"/>
    <n v="4024603250"/>
    <n v="15990"/>
  </r>
  <r>
    <s v="DOLFUT"/>
    <x v="8"/>
    <x v="3"/>
    <n v="5034"/>
    <n v="5034.5"/>
    <n v="5031"/>
    <n v="5033.5"/>
    <n v="2303766500"/>
    <n v="9155"/>
  </r>
  <r>
    <s v="DOLFUT"/>
    <x v="8"/>
    <x v="4"/>
    <n v="5034"/>
    <n v="5040"/>
    <n v="5032"/>
    <n v="5034.5"/>
    <n v="3648845000"/>
    <n v="14495"/>
  </r>
  <r>
    <s v="DOLFUT"/>
    <x v="8"/>
    <x v="5"/>
    <n v="5026.5"/>
    <n v="5039"/>
    <n v="5025.5"/>
    <n v="5034.5"/>
    <n v="2227985250"/>
    <n v="8855"/>
  </r>
  <r>
    <s v="DOLFUT"/>
    <x v="8"/>
    <x v="6"/>
    <n v="5023"/>
    <n v="5027.5"/>
    <n v="5020"/>
    <n v="5026.5"/>
    <n v="3768834125"/>
    <n v="15005"/>
  </r>
  <r>
    <s v="DOLFUT"/>
    <x v="8"/>
    <x v="7"/>
    <n v="5030"/>
    <n v="5034.5"/>
    <n v="5021.5"/>
    <n v="5022.5"/>
    <n v="4479895375"/>
    <n v="17830"/>
  </r>
  <r>
    <s v="DOLFUT"/>
    <x v="8"/>
    <x v="8"/>
    <n v="5019.5"/>
    <n v="5042.5"/>
    <n v="5017.5"/>
    <n v="5031"/>
    <n v="4232785000"/>
    <n v="16835"/>
  </r>
  <r>
    <s v="DOLFUT"/>
    <x v="8"/>
    <x v="9"/>
    <n v="5009"/>
    <n v="5022"/>
    <n v="5009"/>
    <n v="5020"/>
    <n v="3828062625"/>
    <n v="15260"/>
  </r>
  <r>
    <s v="DOLFUT"/>
    <x v="8"/>
    <x v="10"/>
    <n v="5021"/>
    <n v="5023.5"/>
    <n v="5008"/>
    <n v="5008.5"/>
    <n v="2314886250"/>
    <n v="9230"/>
  </r>
  <r>
    <s v="DOLFUT"/>
    <x v="8"/>
    <x v="11"/>
    <n v="5025"/>
    <n v="5032.5"/>
    <n v="5018.5"/>
    <n v="5020.5"/>
    <n v="2637597375"/>
    <n v="10500"/>
  </r>
  <r>
    <s v="DOLFUT"/>
    <x v="9"/>
    <x v="12"/>
    <n v="5024"/>
    <n v="5025.5"/>
    <n v="5015"/>
    <n v="5016.5"/>
    <n v="292414625"/>
    <n v="1165"/>
  </r>
  <r>
    <s v="DOLFUT"/>
    <x v="9"/>
    <x v="13"/>
    <n v="5025"/>
    <n v="5025"/>
    <n v="5021.5"/>
    <n v="5023.5"/>
    <n v="681997250"/>
    <n v="2715"/>
  </r>
  <r>
    <s v="DOLFUT"/>
    <x v="9"/>
    <x v="14"/>
    <n v="5025.5"/>
    <n v="5027"/>
    <n v="5023.5"/>
    <n v="5025.5"/>
    <n v="1694397750"/>
    <n v="6745"/>
  </r>
  <r>
    <s v="DOLFUT"/>
    <x v="9"/>
    <x v="15"/>
    <n v="5022.5"/>
    <n v="5027.5"/>
    <n v="5022.5"/>
    <n v="5026"/>
    <n v="644557125"/>
    <n v="2565"/>
  </r>
  <r>
    <s v="DOLFUT"/>
    <x v="9"/>
    <x v="16"/>
    <n v="5021.5"/>
    <n v="5025"/>
    <n v="5021.5"/>
    <n v="5022"/>
    <n v="1021072125"/>
    <n v="4065"/>
  </r>
  <r>
    <s v="DOLFUT"/>
    <x v="9"/>
    <x v="17"/>
    <n v="5022.5"/>
    <n v="5025.5"/>
    <n v="5020.5"/>
    <n v="5020.5"/>
    <n v="1361106625"/>
    <n v="5420"/>
  </r>
  <r>
    <s v="DOLFUT"/>
    <x v="9"/>
    <x v="18"/>
    <n v="5016"/>
    <n v="5023.5"/>
    <n v="5016"/>
    <n v="5023.5"/>
    <n v="2144841250"/>
    <n v="8545"/>
  </r>
  <r>
    <s v="DOLFUT"/>
    <x v="9"/>
    <x v="0"/>
    <n v="5011.5"/>
    <n v="5016.5"/>
    <n v="5011.5"/>
    <n v="5016"/>
    <n v="1650731875"/>
    <n v="6585"/>
  </r>
  <r>
    <s v="DOLFUT"/>
    <x v="9"/>
    <x v="1"/>
    <n v="5016"/>
    <n v="5016"/>
    <n v="5010"/>
    <n v="5012"/>
    <n v="672985375"/>
    <n v="2685"/>
  </r>
  <r>
    <s v="DOLFUT"/>
    <x v="9"/>
    <x v="2"/>
    <n v="5016"/>
    <n v="5019.5"/>
    <n v="5014"/>
    <n v="5015.5"/>
    <n v="911620875"/>
    <n v="3635"/>
  </r>
  <r>
    <s v="DOLFUT"/>
    <x v="9"/>
    <x v="3"/>
    <n v="5013"/>
    <n v="5016"/>
    <n v="5012"/>
    <n v="5016"/>
    <n v="2683843125"/>
    <n v="10705"/>
  </r>
  <r>
    <s v="DOLFUT"/>
    <x v="9"/>
    <x v="4"/>
    <n v="5014.5"/>
    <n v="5015"/>
    <n v="5009"/>
    <n v="5012.5"/>
    <n v="660332500"/>
    <n v="2635"/>
  </r>
  <r>
    <s v="DOLFUT"/>
    <x v="9"/>
    <x v="5"/>
    <n v="5017"/>
    <n v="5017"/>
    <n v="5010.5"/>
    <n v="5014"/>
    <n v="2773141750"/>
    <n v="11060"/>
  </r>
  <r>
    <s v="DOLFUT"/>
    <x v="9"/>
    <x v="6"/>
    <n v="5017.5"/>
    <n v="5019"/>
    <n v="5014.5"/>
    <n v="5017"/>
    <n v="2044612500"/>
    <n v="8150"/>
  </r>
  <r>
    <s v="DOLFUT"/>
    <x v="9"/>
    <x v="7"/>
    <n v="5017.5"/>
    <n v="5020.5"/>
    <n v="5016.5"/>
    <n v="5018"/>
    <n v="2204178125"/>
    <n v="8785"/>
  </r>
  <r>
    <s v="DOLFUT"/>
    <x v="9"/>
    <x v="8"/>
    <n v="5015"/>
    <n v="5019.5"/>
    <n v="5010"/>
    <n v="5017.5"/>
    <n v="2087576750"/>
    <n v="8325"/>
  </r>
  <r>
    <s v="DOLFUT"/>
    <x v="9"/>
    <x v="9"/>
    <n v="5010"/>
    <n v="5017"/>
    <n v="5007.5"/>
    <n v="5015.5"/>
    <n v="5175517250"/>
    <n v="20660"/>
  </r>
  <r>
    <s v="DOLFUT"/>
    <x v="9"/>
    <x v="10"/>
    <n v="5002.5"/>
    <n v="5011.5"/>
    <n v="5000"/>
    <n v="5010.5"/>
    <n v="3186654375"/>
    <n v="12735"/>
  </r>
  <r>
    <s v="DOLFUT"/>
    <x v="9"/>
    <x v="11"/>
    <n v="5023.5"/>
    <n v="5023.5"/>
    <n v="5002"/>
    <n v="5003"/>
    <n v="2082796125"/>
    <n v="8315"/>
  </r>
  <r>
    <s v="DOLFUT"/>
    <x v="10"/>
    <x v="12"/>
    <n v="5043"/>
    <n v="5052"/>
    <n v="5042"/>
    <n v="5050"/>
    <n v="278913375"/>
    <n v="1105"/>
  </r>
  <r>
    <s v="DOLFUT"/>
    <x v="10"/>
    <x v="13"/>
    <n v="5030.5"/>
    <n v="5044"/>
    <n v="5030"/>
    <n v="5043"/>
    <n v="1280790500"/>
    <n v="5085"/>
  </r>
  <r>
    <s v="DOLFUT"/>
    <x v="10"/>
    <x v="14"/>
    <n v="5035"/>
    <n v="5035"/>
    <n v="5027.5"/>
    <n v="5030"/>
    <n v="840193750"/>
    <n v="3340"/>
  </r>
  <r>
    <s v="DOLFUT"/>
    <x v="10"/>
    <x v="15"/>
    <n v="5030.5"/>
    <n v="5036"/>
    <n v="5029.5"/>
    <n v="5035"/>
    <n v="1675688750"/>
    <n v="6660"/>
  </r>
  <r>
    <s v="DOLFUT"/>
    <x v="10"/>
    <x v="16"/>
    <n v="5027.5"/>
    <n v="5033.5"/>
    <n v="5026.5"/>
    <n v="5030"/>
    <n v="1644774875"/>
    <n v="6540"/>
  </r>
  <r>
    <s v="DOLFUT"/>
    <x v="10"/>
    <x v="17"/>
    <n v="5027.5"/>
    <n v="5029.5"/>
    <n v="5024.5"/>
    <n v="5027"/>
    <n v="825636375"/>
    <n v="3285"/>
  </r>
  <r>
    <s v="DOLFUT"/>
    <x v="10"/>
    <x v="18"/>
    <n v="5026"/>
    <n v="5029"/>
    <n v="5024"/>
    <n v="5027"/>
    <n v="1451468625"/>
    <n v="5775"/>
  </r>
  <r>
    <s v="DOLFUT"/>
    <x v="10"/>
    <x v="0"/>
    <n v="5020"/>
    <n v="5026.5"/>
    <n v="5019"/>
    <n v="5026"/>
    <n v="1277167000"/>
    <n v="5085"/>
  </r>
  <r>
    <s v="DOLFUT"/>
    <x v="10"/>
    <x v="1"/>
    <n v="5028"/>
    <n v="5030.5"/>
    <n v="5019"/>
    <n v="5020"/>
    <n v="4551386750"/>
    <n v="18110"/>
  </r>
  <r>
    <s v="DOLFUT"/>
    <x v="10"/>
    <x v="2"/>
    <n v="5031"/>
    <n v="5034"/>
    <n v="5028.5"/>
    <n v="5028.5"/>
    <n v="2104228125"/>
    <n v="8365"/>
  </r>
  <r>
    <s v="DOLFUT"/>
    <x v="10"/>
    <x v="3"/>
    <n v="5031"/>
    <n v="5038.5"/>
    <n v="5028.5"/>
    <n v="5031.5"/>
    <n v="2722141250"/>
    <n v="10815"/>
  </r>
  <r>
    <s v="DOLFUT"/>
    <x v="10"/>
    <x v="4"/>
    <n v="5030"/>
    <n v="5033"/>
    <n v="5027.5"/>
    <n v="5031.5"/>
    <n v="1017261625"/>
    <n v="4045"/>
  </r>
  <r>
    <s v="DOLFUT"/>
    <x v="10"/>
    <x v="5"/>
    <n v="5034"/>
    <n v="5035.5"/>
    <n v="5026"/>
    <n v="5030"/>
    <n v="2737058750"/>
    <n v="10880"/>
  </r>
  <r>
    <s v="DOLFUT"/>
    <x v="10"/>
    <x v="6"/>
    <n v="5025.5"/>
    <n v="5034"/>
    <n v="5020"/>
    <n v="5033.5"/>
    <n v="2509388500"/>
    <n v="9985"/>
  </r>
  <r>
    <s v="DOLFUT"/>
    <x v="10"/>
    <x v="7"/>
    <n v="5015"/>
    <n v="5029.5"/>
    <n v="5015"/>
    <n v="5025"/>
    <n v="3476403750"/>
    <n v="13840"/>
  </r>
  <r>
    <s v="DOLFUT"/>
    <x v="10"/>
    <x v="8"/>
    <n v="5015.5"/>
    <n v="5024"/>
    <n v="5011"/>
    <n v="5014.5"/>
    <n v="5015839875"/>
    <n v="19995"/>
  </r>
  <r>
    <s v="DOLFUT"/>
    <x v="10"/>
    <x v="9"/>
    <n v="5004.5"/>
    <n v="5017.5"/>
    <n v="5004"/>
    <n v="5016"/>
    <n v="2536342250"/>
    <n v="10120"/>
  </r>
  <r>
    <s v="DOLFUT"/>
    <x v="10"/>
    <x v="10"/>
    <n v="5017"/>
    <n v="5027.5"/>
    <n v="5004"/>
    <n v="5004.5"/>
    <n v="2016695375"/>
    <n v="8040"/>
  </r>
  <r>
    <s v="DOLFUT"/>
    <x v="10"/>
    <x v="11"/>
    <n v="5020"/>
    <n v="5026.5"/>
    <n v="5008.5"/>
    <n v="5016.5"/>
    <n v="2157751750"/>
    <n v="8600"/>
  </r>
  <r>
    <s v="DOLFUT"/>
    <x v="11"/>
    <x v="12"/>
    <n v="5013"/>
    <n v="5018"/>
    <n v="5012.5"/>
    <n v="5016"/>
    <n v="359842125"/>
    <n v="1435"/>
  </r>
  <r>
    <s v="DOLFUT"/>
    <x v="11"/>
    <x v="13"/>
    <n v="5010.5"/>
    <n v="5015"/>
    <n v="5010.5"/>
    <n v="5013.5"/>
    <n v="670531125"/>
    <n v="2675"/>
  </r>
  <r>
    <s v="DOLFUT"/>
    <x v="11"/>
    <x v="14"/>
    <n v="5009.5"/>
    <n v="5013"/>
    <n v="5008.5"/>
    <n v="5010"/>
    <n v="914402875"/>
    <n v="3650"/>
  </r>
  <r>
    <s v="DOLFUT"/>
    <x v="11"/>
    <x v="15"/>
    <n v="5005"/>
    <n v="5012"/>
    <n v="5003.5"/>
    <n v="5009.5"/>
    <n v="1657207250"/>
    <n v="6620"/>
  </r>
  <r>
    <s v="DOLFUT"/>
    <x v="11"/>
    <x v="16"/>
    <n v="5009.5"/>
    <n v="5009.5"/>
    <n v="5004.5"/>
    <n v="5005"/>
    <n v="1935224125"/>
    <n v="7730"/>
  </r>
  <r>
    <s v="DOLFUT"/>
    <x v="11"/>
    <x v="17"/>
    <n v="4999"/>
    <n v="5014"/>
    <n v="4997.5"/>
    <n v="5009.5"/>
    <n v="5227010750"/>
    <n v="20880"/>
  </r>
  <r>
    <s v="DOLFUT"/>
    <x v="11"/>
    <x v="18"/>
    <n v="5000.5"/>
    <n v="5004"/>
    <n v="4997.5"/>
    <n v="4999"/>
    <n v="5667532750"/>
    <n v="22670"/>
  </r>
  <r>
    <s v="DOLFUT"/>
    <x v="11"/>
    <x v="0"/>
    <n v="4996"/>
    <n v="5001.5"/>
    <n v="4994"/>
    <n v="5000"/>
    <n v="2301072500"/>
    <n v="9210"/>
  </r>
  <r>
    <s v="DOLFUT"/>
    <x v="11"/>
    <x v="1"/>
    <n v="5018.5"/>
    <n v="5020"/>
    <n v="4992"/>
    <n v="4996"/>
    <n v="4257031500"/>
    <n v="17015"/>
  </r>
  <r>
    <s v="DOLFUT"/>
    <x v="11"/>
    <x v="2"/>
    <n v="5019.5"/>
    <n v="5020"/>
    <n v="5017"/>
    <n v="5019"/>
    <n v="520646125"/>
    <n v="2075"/>
  </r>
  <r>
    <s v="DOLFUT"/>
    <x v="11"/>
    <x v="3"/>
    <n v="5012.5"/>
    <n v="5022.5"/>
    <n v="5011.5"/>
    <n v="5020.5"/>
    <n v="4048101625"/>
    <n v="16135"/>
  </r>
  <r>
    <s v="DOLFUT"/>
    <x v="11"/>
    <x v="4"/>
    <n v="5015.5"/>
    <n v="5016.5"/>
    <n v="5012"/>
    <n v="5013.5"/>
    <n v="1990669250"/>
    <n v="7940"/>
  </r>
  <r>
    <s v="DOLFUT"/>
    <x v="11"/>
    <x v="5"/>
    <n v="5016.5"/>
    <n v="5025.5"/>
    <n v="5013.5"/>
    <n v="5016"/>
    <n v="1554484250"/>
    <n v="6195"/>
  </r>
  <r>
    <s v="DOLFUT"/>
    <x v="11"/>
    <x v="6"/>
    <n v="5020.5"/>
    <n v="5023.5"/>
    <n v="5014"/>
    <n v="5017"/>
    <n v="4539821750"/>
    <n v="18085"/>
  </r>
  <r>
    <s v="DOLFUT"/>
    <x v="11"/>
    <x v="7"/>
    <n v="5018.5"/>
    <n v="5021.5"/>
    <n v="5015.5"/>
    <n v="5021.5"/>
    <n v="7680092375"/>
    <n v="30605"/>
  </r>
  <r>
    <s v="DOLFUT"/>
    <x v="11"/>
    <x v="8"/>
    <n v="5028.5"/>
    <n v="5033.5"/>
    <n v="5013"/>
    <n v="5018.5"/>
    <n v="3853012000"/>
    <n v="15340"/>
  </r>
  <r>
    <s v="DOLFUT"/>
    <x v="11"/>
    <x v="9"/>
    <n v="5029.5"/>
    <n v="5031"/>
    <n v="5019"/>
    <n v="5028.5"/>
    <n v="4109279750"/>
    <n v="16355"/>
  </r>
  <r>
    <s v="DOLFUT"/>
    <x v="11"/>
    <x v="10"/>
    <n v="5033.5"/>
    <n v="5034"/>
    <n v="5019"/>
    <n v="5029.5"/>
    <n v="3160700375"/>
    <n v="12575"/>
  </r>
  <r>
    <s v="DOLFUT"/>
    <x v="11"/>
    <x v="11"/>
    <n v="5028"/>
    <n v="5033.5"/>
    <n v="5017"/>
    <n v="5033.5"/>
    <n v="1426951125"/>
    <n v="5680"/>
  </r>
  <r>
    <s v="DOLFUT"/>
    <x v="12"/>
    <x v="12"/>
    <n v="5011"/>
    <n v="5012.5"/>
    <n v="5004"/>
    <n v="5008.5"/>
    <n v="1180605625"/>
    <n v="4715"/>
  </r>
  <r>
    <s v="DOLFUT"/>
    <x v="12"/>
    <x v="13"/>
    <n v="5016"/>
    <n v="5016"/>
    <n v="5008.5"/>
    <n v="5011.5"/>
    <n v="843196875"/>
    <n v="3365"/>
  </r>
  <r>
    <s v="DOLFUT"/>
    <x v="12"/>
    <x v="14"/>
    <n v="5015"/>
    <n v="5016"/>
    <n v="5012.5"/>
    <n v="5016"/>
    <n v="2320098750"/>
    <n v="9255"/>
  </r>
  <r>
    <s v="DOLFUT"/>
    <x v="12"/>
    <x v="15"/>
    <n v="5013"/>
    <n v="5015.5"/>
    <n v="5011.5"/>
    <n v="5015"/>
    <n v="1126821500"/>
    <n v="4495"/>
  </r>
  <r>
    <s v="DOLFUT"/>
    <x v="12"/>
    <x v="16"/>
    <n v="5014.5"/>
    <n v="5014.5"/>
    <n v="5011.5"/>
    <n v="5013"/>
    <n v="2666931875"/>
    <n v="10640"/>
  </r>
  <r>
    <s v="DOLFUT"/>
    <x v="12"/>
    <x v="17"/>
    <n v="5015"/>
    <n v="5017"/>
    <n v="5012.5"/>
    <n v="5014"/>
    <n v="2109597250"/>
    <n v="8415"/>
  </r>
  <r>
    <s v="DOLFUT"/>
    <x v="12"/>
    <x v="18"/>
    <n v="5019"/>
    <n v="5020.5"/>
    <n v="5014.5"/>
    <n v="5015.5"/>
    <n v="1608085375"/>
    <n v="6410"/>
  </r>
  <r>
    <s v="DOLFUT"/>
    <x v="12"/>
    <x v="0"/>
    <n v="5016.5"/>
    <n v="5020"/>
    <n v="5015.5"/>
    <n v="5018.5"/>
    <n v="1050108875"/>
    <n v="4185"/>
  </r>
  <r>
    <s v="DOLFUT"/>
    <x v="12"/>
    <x v="1"/>
    <n v="5019"/>
    <n v="5020"/>
    <n v="5016.5"/>
    <n v="5017"/>
    <n v="2349606125"/>
    <n v="9365"/>
  </r>
  <r>
    <s v="DOLFUT"/>
    <x v="12"/>
    <x v="2"/>
    <n v="5026"/>
    <n v="5027.5"/>
    <n v="5018"/>
    <n v="5018.5"/>
    <n v="1921714750"/>
    <n v="7650"/>
  </r>
  <r>
    <s v="DOLFUT"/>
    <x v="12"/>
    <x v="3"/>
    <n v="5029"/>
    <n v="5030"/>
    <n v="5021.5"/>
    <n v="5026.5"/>
    <n v="2199053375"/>
    <n v="8750"/>
  </r>
  <r>
    <s v="DOLFUT"/>
    <x v="12"/>
    <x v="4"/>
    <n v="5025"/>
    <n v="5030"/>
    <n v="5019"/>
    <n v="5028"/>
    <n v="3205160250"/>
    <n v="12760"/>
  </r>
  <r>
    <s v="DOLFUT"/>
    <x v="12"/>
    <x v="5"/>
    <n v="5027.5"/>
    <n v="5030"/>
    <n v="5014.5"/>
    <n v="5025"/>
    <n v="3982270875"/>
    <n v="15860"/>
  </r>
  <r>
    <s v="DOLFUT"/>
    <x v="12"/>
    <x v="6"/>
    <n v="5032"/>
    <n v="5035.5"/>
    <n v="5020.5"/>
    <n v="5027.5"/>
    <n v="3856662000"/>
    <n v="15335"/>
  </r>
  <r>
    <s v="DOLFUT"/>
    <x v="12"/>
    <x v="7"/>
    <n v="5059"/>
    <n v="5059.5"/>
    <n v="5024"/>
    <n v="5031"/>
    <n v="6842518250"/>
    <n v="27165"/>
  </r>
  <r>
    <s v="DOLFUT"/>
    <x v="12"/>
    <x v="8"/>
    <n v="5066.5"/>
    <n v="5066.5"/>
    <n v="5054.5"/>
    <n v="5059"/>
    <n v="3222018500"/>
    <n v="12735"/>
  </r>
  <r>
    <s v="DOLFUT"/>
    <x v="12"/>
    <x v="9"/>
    <n v="5062"/>
    <n v="5070.5"/>
    <n v="5057.5"/>
    <n v="5066.5"/>
    <n v="4577795250"/>
    <n v="18080"/>
  </r>
  <r>
    <s v="DOLFUT"/>
    <x v="12"/>
    <x v="10"/>
    <n v="5046"/>
    <n v="5065.5"/>
    <n v="5043"/>
    <n v="5062"/>
    <n v="2714885375"/>
    <n v="10745"/>
  </r>
  <r>
    <s v="DOLFUT"/>
    <x v="12"/>
    <x v="11"/>
    <n v="5042"/>
    <n v="5050.5"/>
    <n v="5037"/>
    <n v="5045.5"/>
    <n v="3106464125"/>
    <n v="12320"/>
  </r>
  <r>
    <s v="DOLFUT"/>
    <x v="13"/>
    <x v="12"/>
    <n v="5063.5"/>
    <n v="5063.5"/>
    <n v="5057"/>
    <n v="5061"/>
    <n v="432517625"/>
    <n v="1710"/>
  </r>
  <r>
    <s v="DOLFUT"/>
    <x v="13"/>
    <x v="13"/>
    <n v="5053.5"/>
    <n v="5064.5"/>
    <n v="5053"/>
    <n v="5062"/>
    <n v="1045995000"/>
    <n v="4135"/>
  </r>
  <r>
    <s v="DOLFUT"/>
    <x v="13"/>
    <x v="14"/>
    <n v="5055.5"/>
    <n v="5058"/>
    <n v="5053"/>
    <n v="5053.5"/>
    <n v="2396877375"/>
    <n v="9485"/>
  </r>
  <r>
    <s v="DOLFUT"/>
    <x v="13"/>
    <x v="15"/>
    <n v="5060"/>
    <n v="5061.5"/>
    <n v="5054.5"/>
    <n v="5055.5"/>
    <n v="1906274500"/>
    <n v="7540"/>
  </r>
  <r>
    <s v="DOLFUT"/>
    <x v="13"/>
    <x v="16"/>
    <n v="5054.5"/>
    <n v="5061.5"/>
    <n v="5054"/>
    <n v="5059.5"/>
    <n v="2176994375"/>
    <n v="8610"/>
  </r>
  <r>
    <s v="DOLFUT"/>
    <x v="13"/>
    <x v="17"/>
    <n v="5051"/>
    <n v="5055.5"/>
    <n v="5049.5"/>
    <n v="5055"/>
    <n v="4768870000"/>
    <n v="18875"/>
  </r>
  <r>
    <s v="DOLFUT"/>
    <x v="13"/>
    <x v="18"/>
    <n v="5046"/>
    <n v="5058"/>
    <n v="5046"/>
    <n v="5050"/>
    <n v="4393944625"/>
    <n v="17390"/>
  </r>
  <r>
    <s v="DOLFUT"/>
    <x v="13"/>
    <x v="0"/>
    <n v="5045.5"/>
    <n v="5049"/>
    <n v="5044"/>
    <n v="5046.5"/>
    <n v="1439436125"/>
    <n v="5705"/>
  </r>
  <r>
    <s v="DOLFUT"/>
    <x v="13"/>
    <x v="1"/>
    <n v="5047.5"/>
    <n v="5049"/>
    <n v="5042"/>
    <n v="5045"/>
    <n v="2552844875"/>
    <n v="10120"/>
  </r>
  <r>
    <s v="DOLFUT"/>
    <x v="13"/>
    <x v="2"/>
    <n v="5051.5"/>
    <n v="5053"/>
    <n v="5045.5"/>
    <n v="5047.5"/>
    <n v="1238432000"/>
    <n v="4905"/>
  </r>
  <r>
    <s v="DOLFUT"/>
    <x v="13"/>
    <x v="3"/>
    <n v="5059"/>
    <n v="5063"/>
    <n v="5051"/>
    <n v="5051.5"/>
    <n v="3257470750"/>
    <n v="12880"/>
  </r>
  <r>
    <s v="DOLFUT"/>
    <x v="13"/>
    <x v="4"/>
    <n v="5069.5"/>
    <n v="5069.5"/>
    <n v="5057.5"/>
    <n v="5058.5"/>
    <n v="2104295250"/>
    <n v="8310"/>
  </r>
  <r>
    <s v="DOLFUT"/>
    <x v="13"/>
    <x v="5"/>
    <n v="5066"/>
    <n v="5073"/>
    <n v="5061"/>
    <n v="5069.5"/>
    <n v="3619203625"/>
    <n v="14285"/>
  </r>
  <r>
    <s v="DOLFUT"/>
    <x v="13"/>
    <x v="6"/>
    <n v="5052"/>
    <n v="5067"/>
    <n v="5051"/>
    <n v="5066"/>
    <n v="4707687875"/>
    <n v="18615"/>
  </r>
  <r>
    <s v="DOLFUT"/>
    <x v="13"/>
    <x v="7"/>
    <n v="5046.5"/>
    <n v="5057"/>
    <n v="5038"/>
    <n v="5052"/>
    <n v="3845341375"/>
    <n v="15235"/>
  </r>
  <r>
    <s v="DOLFUT"/>
    <x v="13"/>
    <x v="8"/>
    <n v="5057.5"/>
    <n v="5057.5"/>
    <n v="5044"/>
    <n v="5046"/>
    <n v="4237090500"/>
    <n v="16785"/>
  </r>
  <r>
    <s v="DOLFUT"/>
    <x v="13"/>
    <x v="9"/>
    <n v="5046"/>
    <n v="5059.5"/>
    <n v="5044"/>
    <n v="5058"/>
    <n v="6519013250"/>
    <n v="25815"/>
  </r>
  <r>
    <s v="DOLFUT"/>
    <x v="13"/>
    <x v="10"/>
    <n v="5026.5"/>
    <n v="5047.5"/>
    <n v="5024"/>
    <n v="5046"/>
    <n v="2523091000"/>
    <n v="10020"/>
  </r>
  <r>
    <s v="DOLFUT"/>
    <x v="13"/>
    <x v="11"/>
    <n v="5035.5"/>
    <n v="5041.5"/>
    <n v="5025.5"/>
    <n v="5026"/>
    <n v="3475155500"/>
    <n v="13805"/>
  </r>
  <r>
    <s v="DOLFUT"/>
    <x v="14"/>
    <x v="12"/>
    <n v="5007"/>
    <n v="5008.5"/>
    <n v="5002.5"/>
    <n v="5007.5"/>
    <n v="386720750"/>
    <n v="1545"/>
  </r>
  <r>
    <s v="DOLFUT"/>
    <x v="14"/>
    <x v="13"/>
    <n v="5013.5"/>
    <n v="5014"/>
    <n v="5005.5"/>
    <n v="5007.5"/>
    <n v="1224161875"/>
    <n v="4885"/>
  </r>
  <r>
    <s v="DOLFUT"/>
    <x v="14"/>
    <x v="14"/>
    <n v="5015"/>
    <n v="5016"/>
    <n v="5012"/>
    <n v="5014"/>
    <n v="3673358625"/>
    <n v="14655"/>
  </r>
  <r>
    <s v="DOLFUT"/>
    <x v="14"/>
    <x v="15"/>
    <n v="5024"/>
    <n v="5024"/>
    <n v="5012.5"/>
    <n v="5015"/>
    <n v="3785347250"/>
    <n v="15085"/>
  </r>
  <r>
    <s v="DOLFUT"/>
    <x v="14"/>
    <x v="16"/>
    <n v="5030"/>
    <n v="5030.5"/>
    <n v="5016.5"/>
    <n v="5023.5"/>
    <n v="6257059000"/>
    <n v="24915"/>
  </r>
  <r>
    <s v="DOLFUT"/>
    <x v="14"/>
    <x v="17"/>
    <n v="5028"/>
    <n v="5030"/>
    <n v="5026.5"/>
    <n v="5029.5"/>
    <n v="2867363125"/>
    <n v="11405"/>
  </r>
  <r>
    <s v="DOLFUT"/>
    <x v="14"/>
    <x v="18"/>
    <n v="5020"/>
    <n v="5031"/>
    <n v="5020"/>
    <n v="5028.5"/>
    <n v="4326969625"/>
    <n v="17220"/>
  </r>
  <r>
    <s v="DOLFUT"/>
    <x v="14"/>
    <x v="0"/>
    <n v="5019"/>
    <n v="5022"/>
    <n v="5018"/>
    <n v="5020"/>
    <n v="2365805625"/>
    <n v="9425"/>
  </r>
  <r>
    <s v="DOLFUT"/>
    <x v="14"/>
    <x v="1"/>
    <n v="5018.5"/>
    <n v="5022"/>
    <n v="5017.5"/>
    <n v="5018.5"/>
    <n v="1529832750"/>
    <n v="6095"/>
  </r>
  <r>
    <s v="DOLFUT"/>
    <x v="14"/>
    <x v="2"/>
    <n v="5024"/>
    <n v="5024.5"/>
    <n v="5016"/>
    <n v="5018"/>
    <n v="2514408625"/>
    <n v="10015"/>
  </r>
  <r>
    <s v="DOLFUT"/>
    <x v="14"/>
    <x v="3"/>
    <n v="5023.5"/>
    <n v="5024.5"/>
    <n v="5020"/>
    <n v="5023"/>
    <n v="2479550500"/>
    <n v="9875"/>
  </r>
  <r>
    <s v="DOLFUT"/>
    <x v="14"/>
    <x v="4"/>
    <n v="5029.5"/>
    <n v="5030"/>
    <n v="5019.5"/>
    <n v="5023.5"/>
    <n v="5914715875"/>
    <n v="23550"/>
  </r>
  <r>
    <s v="DOLFUT"/>
    <x v="14"/>
    <x v="5"/>
    <n v="5028"/>
    <n v="5034.5"/>
    <n v="5024.5"/>
    <n v="5029.5"/>
    <n v="5056229750"/>
    <n v="20110"/>
  </r>
  <r>
    <s v="DOLFUT"/>
    <x v="14"/>
    <x v="6"/>
    <n v="5031"/>
    <n v="5038.5"/>
    <n v="5027.5"/>
    <n v="5028"/>
    <n v="3305345625"/>
    <n v="13135"/>
  </r>
  <r>
    <s v="DOLFUT"/>
    <x v="14"/>
    <x v="7"/>
    <n v="5027"/>
    <n v="5036"/>
    <n v="5026"/>
    <n v="5032"/>
    <n v="3239750875"/>
    <n v="12880"/>
  </r>
  <r>
    <s v="DOLFUT"/>
    <x v="14"/>
    <x v="8"/>
    <n v="5033"/>
    <n v="5038"/>
    <n v="5026.5"/>
    <n v="5026.5"/>
    <n v="5148680625"/>
    <n v="20460"/>
  </r>
  <r>
    <s v="DOLFUT"/>
    <x v="14"/>
    <x v="9"/>
    <n v="5033.5"/>
    <n v="5035.5"/>
    <n v="5025"/>
    <n v="5033"/>
    <n v="3879613500"/>
    <n v="15425"/>
  </r>
  <r>
    <s v="DOLFUT"/>
    <x v="14"/>
    <x v="10"/>
    <n v="5051"/>
    <n v="5053"/>
    <n v="5032"/>
    <n v="5034"/>
    <n v="3754007500"/>
    <n v="14895"/>
  </r>
  <r>
    <s v="DOLFUT"/>
    <x v="14"/>
    <x v="11"/>
    <n v="5073"/>
    <n v="5073"/>
    <n v="5045.5"/>
    <n v="5050.5"/>
    <n v="3752113500"/>
    <n v="14835"/>
  </r>
  <r>
    <s v="DOLFUT"/>
    <x v="15"/>
    <x v="12"/>
    <n v="5074.5"/>
    <n v="5077.5"/>
    <n v="5072"/>
    <n v="5074.5"/>
    <n v="487113125"/>
    <n v="1920"/>
  </r>
  <r>
    <s v="DOLFUT"/>
    <x v="15"/>
    <x v="13"/>
    <n v="5081.5"/>
    <n v="5082"/>
    <n v="5073"/>
    <n v="5075"/>
    <n v="1387146375"/>
    <n v="5465"/>
  </r>
  <r>
    <s v="DOLFUT"/>
    <x v="15"/>
    <x v="14"/>
    <n v="5086"/>
    <n v="5086.5"/>
    <n v="5079"/>
    <n v="5082.5"/>
    <n v="2554701875"/>
    <n v="10055"/>
  </r>
  <r>
    <s v="DOLFUT"/>
    <x v="15"/>
    <x v="15"/>
    <n v="5083.5"/>
    <n v="5090"/>
    <n v="5082.5"/>
    <n v="5085.5"/>
    <n v="1745941000"/>
    <n v="6865"/>
  </r>
  <r>
    <s v="DOLFUT"/>
    <x v="15"/>
    <x v="16"/>
    <n v="5089"/>
    <n v="5092.5"/>
    <n v="5083"/>
    <n v="5083"/>
    <n v="2449137750"/>
    <n v="9625"/>
  </r>
  <r>
    <s v="DOLFUT"/>
    <x v="15"/>
    <x v="17"/>
    <n v="5085"/>
    <n v="5094"/>
    <n v="5084"/>
    <n v="5089"/>
    <n v="4055442125"/>
    <n v="15940"/>
  </r>
  <r>
    <s v="DOLFUT"/>
    <x v="15"/>
    <x v="18"/>
    <n v="5077.5"/>
    <n v="5086.5"/>
    <n v="5075.5"/>
    <n v="5085"/>
    <n v="2535682375"/>
    <n v="9980"/>
  </r>
  <r>
    <s v="DOLFUT"/>
    <x v="15"/>
    <x v="0"/>
    <n v="5087.5"/>
    <n v="5089"/>
    <n v="5077"/>
    <n v="5079"/>
    <n v="1711712500"/>
    <n v="6735"/>
  </r>
  <r>
    <s v="DOLFUT"/>
    <x v="15"/>
    <x v="1"/>
    <n v="5091.5"/>
    <n v="5093"/>
    <n v="5084.5"/>
    <n v="5087"/>
    <n v="1448891000"/>
    <n v="5695"/>
  </r>
  <r>
    <s v="DOLFUT"/>
    <x v="15"/>
    <x v="2"/>
    <n v="5090.5"/>
    <n v="5093"/>
    <n v="5086.5"/>
    <n v="5091"/>
    <n v="1453338000"/>
    <n v="5710"/>
  </r>
  <r>
    <s v="DOLFUT"/>
    <x v="15"/>
    <x v="3"/>
    <n v="5092.5"/>
    <n v="5101"/>
    <n v="5089.5"/>
    <n v="5090.5"/>
    <n v="3385061750"/>
    <n v="13290"/>
  </r>
  <r>
    <s v="DOLFUT"/>
    <x v="15"/>
    <x v="4"/>
    <n v="5089"/>
    <n v="5097.5"/>
    <n v="5085.5"/>
    <n v="5093"/>
    <n v="2064194125"/>
    <n v="8110"/>
  </r>
  <r>
    <s v="DOLFUT"/>
    <x v="15"/>
    <x v="5"/>
    <n v="5086"/>
    <n v="5094"/>
    <n v="5083.5"/>
    <n v="5089"/>
    <n v="3718631875"/>
    <n v="14620"/>
  </r>
  <r>
    <s v="DOLFUT"/>
    <x v="15"/>
    <x v="6"/>
    <n v="5068.5"/>
    <n v="5088"/>
    <n v="5064.5"/>
    <n v="5086"/>
    <n v="4655185375"/>
    <n v="18335"/>
  </r>
  <r>
    <s v="DOLFUT"/>
    <x v="15"/>
    <x v="7"/>
    <n v="5086.5"/>
    <n v="5091"/>
    <n v="5063.5"/>
    <n v="5069.5"/>
    <n v="8179556500"/>
    <n v="32220"/>
  </r>
  <r>
    <s v="DOLFUT"/>
    <x v="15"/>
    <x v="8"/>
    <n v="5066"/>
    <n v="5095"/>
    <n v="5064.5"/>
    <n v="5086"/>
    <n v="7595408500"/>
    <n v="29900"/>
  </r>
  <r>
    <s v="DOLFUT"/>
    <x v="15"/>
    <x v="9"/>
    <n v="5072.5"/>
    <n v="5077.5"/>
    <n v="5065"/>
    <n v="5066.5"/>
    <n v="6538285750"/>
    <n v="25785"/>
  </r>
  <r>
    <s v="DOLFUT"/>
    <x v="15"/>
    <x v="10"/>
    <n v="5060.5"/>
    <n v="5076.5"/>
    <n v="5060"/>
    <n v="5071.5"/>
    <n v="4179467750"/>
    <n v="16485"/>
  </r>
  <r>
    <s v="DOLFUT"/>
    <x v="15"/>
    <x v="11"/>
    <n v="5041"/>
    <n v="5071"/>
    <n v="5036.5"/>
    <n v="5061.5"/>
    <n v="6088440875"/>
    <n v="24080"/>
  </r>
  <r>
    <s v="DOLFUT"/>
    <x v="16"/>
    <x v="12"/>
    <n v="5001.5"/>
    <n v="5007.5"/>
    <n v="5001.5"/>
    <n v="5005"/>
    <n v="392787375"/>
    <n v="1570"/>
  </r>
  <r>
    <s v="DOLFUT"/>
    <x v="16"/>
    <x v="13"/>
    <n v="5003"/>
    <n v="5005"/>
    <n v="5001"/>
    <n v="5002"/>
    <n v="1869567875"/>
    <n v="7475"/>
  </r>
  <r>
    <s v="DOLFUT"/>
    <x v="16"/>
    <x v="14"/>
    <n v="5007"/>
    <n v="5008"/>
    <n v="5001"/>
    <n v="5002"/>
    <n v="2082389750"/>
    <n v="8320"/>
  </r>
  <r>
    <s v="DOLFUT"/>
    <x v="16"/>
    <x v="15"/>
    <n v="5008"/>
    <n v="5010.5"/>
    <n v="5007"/>
    <n v="5007.5"/>
    <n v="1587933250"/>
    <n v="6340"/>
  </r>
  <r>
    <s v="DOLFUT"/>
    <x v="16"/>
    <x v="16"/>
    <n v="5008.5"/>
    <n v="5009.5"/>
    <n v="5004.5"/>
    <n v="5008"/>
    <n v="3743213625"/>
    <n v="14950"/>
  </r>
  <r>
    <s v="DOLFUT"/>
    <x v="16"/>
    <x v="17"/>
    <n v="5005"/>
    <n v="5011"/>
    <n v="5005"/>
    <n v="5008.5"/>
    <n v="2049699625"/>
    <n v="8185"/>
  </r>
  <r>
    <s v="DOLFUT"/>
    <x v="16"/>
    <x v="18"/>
    <n v="5009"/>
    <n v="5011.5"/>
    <n v="5002.5"/>
    <n v="5005.5"/>
    <n v="4607531875"/>
    <n v="18410"/>
  </r>
  <r>
    <s v="DOLFUT"/>
    <x v="16"/>
    <x v="0"/>
    <n v="5007.5"/>
    <n v="5009"/>
    <n v="5001"/>
    <n v="5009"/>
    <n v="5515515500"/>
    <n v="22045"/>
  </r>
  <r>
    <s v="DOLFUT"/>
    <x v="16"/>
    <x v="1"/>
    <n v="5009.5"/>
    <n v="5009.5"/>
    <n v="5003"/>
    <n v="5007"/>
    <n v="1807960500"/>
    <n v="7225"/>
  </r>
  <r>
    <s v="DOLFUT"/>
    <x v="16"/>
    <x v="2"/>
    <n v="5010.5"/>
    <n v="5015.5"/>
    <n v="5009.5"/>
    <n v="5010"/>
    <n v="1394588000"/>
    <n v="5565"/>
  </r>
  <r>
    <s v="DOLFUT"/>
    <x v="16"/>
    <x v="3"/>
    <n v="4999"/>
    <n v="5012"/>
    <n v="4998.5"/>
    <n v="5010"/>
    <n v="2095878875"/>
    <n v="8375"/>
  </r>
  <r>
    <s v="DOLFUT"/>
    <x v="16"/>
    <x v="4"/>
    <n v="5001.5"/>
    <n v="5009"/>
    <n v="4998.5"/>
    <n v="4999.5"/>
    <n v="1738917125"/>
    <n v="6950"/>
  </r>
  <r>
    <s v="DOLFUT"/>
    <x v="16"/>
    <x v="5"/>
    <n v="5000.5"/>
    <n v="5010"/>
    <n v="4999.5"/>
    <n v="5001"/>
    <n v="2503649500"/>
    <n v="10005"/>
  </r>
  <r>
    <s v="DOLFUT"/>
    <x v="16"/>
    <x v="6"/>
    <n v="5000.5"/>
    <n v="5002"/>
    <n v="4992.5"/>
    <n v="5000.5"/>
    <n v="3232763625"/>
    <n v="12940"/>
  </r>
  <r>
    <s v="DOLFUT"/>
    <x v="16"/>
    <x v="7"/>
    <n v="5005"/>
    <n v="5008"/>
    <n v="4995"/>
    <n v="5000.5"/>
    <n v="2918017375"/>
    <n v="11670"/>
  </r>
  <r>
    <s v="DOLFUT"/>
    <x v="16"/>
    <x v="8"/>
    <n v="5003"/>
    <n v="5017.5"/>
    <n v="4998"/>
    <n v="5005"/>
    <n v="4471027875"/>
    <n v="17855"/>
  </r>
  <r>
    <s v="DOLFUT"/>
    <x v="16"/>
    <x v="9"/>
    <n v="5003.5"/>
    <n v="5004.5"/>
    <n v="4993"/>
    <n v="5002.5"/>
    <n v="4812215875"/>
    <n v="19255"/>
  </r>
  <r>
    <s v="DOLFUT"/>
    <x v="16"/>
    <x v="10"/>
    <n v="5003.5"/>
    <n v="5015.5"/>
    <n v="4995.5"/>
    <n v="5005"/>
    <n v="3083706375"/>
    <n v="12320"/>
  </r>
  <r>
    <s v="DOLFUT"/>
    <x v="16"/>
    <x v="11"/>
    <n v="5036"/>
    <n v="5050.5"/>
    <n v="4995"/>
    <n v="5003"/>
    <n v="5758317125"/>
    <n v="22970"/>
  </r>
  <r>
    <s v="DOLFUT"/>
    <x v="17"/>
    <x v="12"/>
    <n v="5032.5"/>
    <n v="5038"/>
    <n v="5025.5"/>
    <n v="5025.5"/>
    <n v="849263375"/>
    <n v="3375"/>
  </r>
  <r>
    <s v="DOLFUT"/>
    <x v="17"/>
    <x v="13"/>
    <n v="5035"/>
    <n v="5039.5"/>
    <n v="5022"/>
    <n v="5032.5"/>
    <n v="5639174250"/>
    <n v="22420"/>
  </r>
  <r>
    <s v="DOLFUT"/>
    <x v="17"/>
    <x v="14"/>
    <n v="5028"/>
    <n v="5036.5"/>
    <n v="5026"/>
    <n v="5034.5"/>
    <n v="5571796500"/>
    <n v="22155"/>
  </r>
  <r>
    <s v="DOLFUT"/>
    <x v="17"/>
    <x v="15"/>
    <n v="5025"/>
    <n v="5034.5"/>
    <n v="5020"/>
    <n v="5027.5"/>
    <n v="7382637500"/>
    <n v="29385"/>
  </r>
  <r>
    <s v="DOLFUT"/>
    <x v="17"/>
    <x v="16"/>
    <n v="5011"/>
    <n v="5025.5"/>
    <n v="5008"/>
    <n v="5025"/>
    <n v="4129498250"/>
    <n v="16465"/>
  </r>
  <r>
    <s v="DOLFUT"/>
    <x v="17"/>
    <x v="17"/>
    <n v="5010"/>
    <n v="5019"/>
    <n v="4992"/>
    <n v="5011"/>
    <n v="7911440875"/>
    <n v="31610"/>
  </r>
  <r>
    <s v="DOLFUT"/>
    <x v="17"/>
    <x v="18"/>
    <n v="4964.5"/>
    <n v="5025"/>
    <n v="4963"/>
    <n v="5010"/>
    <n v="16540867250"/>
    <n v="66215"/>
  </r>
  <r>
    <s v="DOLFUT"/>
    <x v="17"/>
    <x v="0"/>
    <n v="4929"/>
    <n v="4967.5"/>
    <n v="4929"/>
    <n v="4964"/>
    <n v="5476166875"/>
    <n v="22135"/>
  </r>
  <r>
    <s v="DOLFUT"/>
    <x v="17"/>
    <x v="1"/>
    <n v="4929"/>
    <n v="4932"/>
    <n v="4927"/>
    <n v="4929"/>
    <n v="1335862125"/>
    <n v="5420"/>
  </r>
  <r>
    <s v="DOLFUT"/>
    <x v="17"/>
    <x v="2"/>
    <n v="4926"/>
    <n v="4929.5"/>
    <n v="4925"/>
    <n v="4929"/>
    <n v="2514007125"/>
    <n v="10205"/>
  </r>
  <r>
    <s v="DOLFUT"/>
    <x v="17"/>
    <x v="3"/>
    <n v="4928"/>
    <n v="4928"/>
    <n v="4923"/>
    <n v="4926.5"/>
    <n v="2317377000"/>
    <n v="9410"/>
  </r>
  <r>
    <s v="DOLFUT"/>
    <x v="17"/>
    <x v="4"/>
    <n v="4932.5"/>
    <n v="4933.5"/>
    <n v="4927"/>
    <n v="4927.5"/>
    <n v="2253512125"/>
    <n v="9140"/>
  </r>
  <r>
    <s v="DOLFUT"/>
    <x v="17"/>
    <x v="5"/>
    <n v="4933"/>
    <n v="4934"/>
    <n v="4930"/>
    <n v="4932.5"/>
    <n v="2896298500"/>
    <n v="11745"/>
  </r>
  <r>
    <s v="DOLFUT"/>
    <x v="17"/>
    <x v="6"/>
    <n v="4935.5"/>
    <n v="4938.5"/>
    <n v="4933"/>
    <n v="4933"/>
    <n v="2412172375"/>
    <n v="9775"/>
  </r>
  <r>
    <s v="DOLFUT"/>
    <x v="17"/>
    <x v="7"/>
    <n v="4937.5"/>
    <n v="4943.5"/>
    <n v="4935.5"/>
    <n v="4936"/>
    <n v="3028686875"/>
    <n v="12265"/>
  </r>
  <r>
    <s v="DOLFUT"/>
    <x v="17"/>
    <x v="8"/>
    <n v="4947.5"/>
    <n v="4956"/>
    <n v="4936"/>
    <n v="4937.5"/>
    <n v="5071925250"/>
    <n v="20510"/>
  </r>
  <r>
    <s v="DOLFUT"/>
    <x v="17"/>
    <x v="9"/>
    <n v="4940.5"/>
    <n v="4948"/>
    <n v="4935"/>
    <n v="4947.5"/>
    <n v="3505964750"/>
    <n v="14190"/>
  </r>
  <r>
    <s v="DOLFUT"/>
    <x v="17"/>
    <x v="10"/>
    <n v="4931.5"/>
    <n v="4945"/>
    <n v="4927"/>
    <n v="4940.5"/>
    <n v="4843941375"/>
    <n v="19625"/>
  </r>
  <r>
    <s v="DOLFUT"/>
    <x v="17"/>
    <x v="11"/>
    <n v="4913.5"/>
    <n v="4934.5"/>
    <n v="4912.5"/>
    <n v="4929.5"/>
    <n v="4061352000"/>
    <n v="16490"/>
  </r>
  <r>
    <s v="DOLFUT"/>
    <x v="18"/>
    <x v="12"/>
    <n v="4916.5"/>
    <n v="4916.5"/>
    <n v="4913"/>
    <n v="4913.5"/>
    <n v="212556875"/>
    <n v="865"/>
  </r>
  <r>
    <s v="DOLFUT"/>
    <x v="18"/>
    <x v="13"/>
    <n v="4917"/>
    <n v="4918"/>
    <n v="4915.5"/>
    <n v="4917"/>
    <n v="650248375"/>
    <n v="2645"/>
  </r>
  <r>
    <s v="DOLFUT"/>
    <x v="18"/>
    <x v="14"/>
    <n v="4917"/>
    <n v="4919"/>
    <n v="4916.5"/>
    <n v="4917"/>
    <n v="1858777500"/>
    <n v="7560"/>
  </r>
  <r>
    <s v="DOLFUT"/>
    <x v="18"/>
    <x v="15"/>
    <n v="4917.5"/>
    <n v="4917.5"/>
    <n v="4914.5"/>
    <n v="4917"/>
    <n v="1113415875"/>
    <n v="4530"/>
  </r>
  <r>
    <s v="DOLFUT"/>
    <x v="18"/>
    <x v="16"/>
    <n v="4915"/>
    <n v="4918"/>
    <n v="4912"/>
    <n v="4918"/>
    <n v="1325779625"/>
    <n v="5395"/>
  </r>
  <r>
    <s v="DOLFUT"/>
    <x v="18"/>
    <x v="17"/>
    <n v="4916"/>
    <n v="4917"/>
    <n v="4913.5"/>
    <n v="4915.5"/>
    <n v="2589401875"/>
    <n v="10535"/>
  </r>
  <r>
    <s v="DOLFUT"/>
    <x v="18"/>
    <x v="18"/>
    <n v="4918"/>
    <n v="4919.5"/>
    <n v="4915"/>
    <n v="4916.5"/>
    <n v="2539492875"/>
    <n v="10330"/>
  </r>
  <r>
    <s v="DOLFUT"/>
    <x v="18"/>
    <x v="0"/>
    <n v="4915.5"/>
    <n v="4919"/>
    <n v="4915"/>
    <n v="4918"/>
    <n v="1321429500"/>
    <n v="5375"/>
  </r>
  <r>
    <s v="DOLFUT"/>
    <x v="18"/>
    <x v="1"/>
    <n v="4922.5"/>
    <n v="4923"/>
    <n v="4911.5"/>
    <n v="4915"/>
    <n v="2413615500"/>
    <n v="9815"/>
  </r>
  <r>
    <s v="DOLFUT"/>
    <x v="18"/>
    <x v="2"/>
    <n v="4922.5"/>
    <n v="4924"/>
    <n v="4920.5"/>
    <n v="4923"/>
    <n v="1190036125"/>
    <n v="4835"/>
  </r>
  <r>
    <s v="DOLFUT"/>
    <x v="18"/>
    <x v="3"/>
    <n v="4924.5"/>
    <n v="4925.5"/>
    <n v="4919"/>
    <n v="4922.5"/>
    <n v="3307748250"/>
    <n v="13440"/>
  </r>
  <r>
    <s v="DOLFUT"/>
    <x v="18"/>
    <x v="4"/>
    <n v="4936.5"/>
    <n v="4936.5"/>
    <n v="4922.5"/>
    <n v="4924.5"/>
    <n v="5934204125"/>
    <n v="24090"/>
  </r>
  <r>
    <s v="DOLFUT"/>
    <x v="18"/>
    <x v="5"/>
    <n v="4927"/>
    <n v="4938.5"/>
    <n v="4925"/>
    <n v="4936.5"/>
    <n v="4172935125"/>
    <n v="16920"/>
  </r>
  <r>
    <s v="DOLFUT"/>
    <x v="18"/>
    <x v="6"/>
    <n v="4925.5"/>
    <n v="4929"/>
    <n v="4924.5"/>
    <n v="4927.5"/>
    <n v="1527438500"/>
    <n v="6200"/>
  </r>
  <r>
    <s v="DOLFUT"/>
    <x v="18"/>
    <x v="7"/>
    <n v="4924"/>
    <n v="4927"/>
    <n v="4921.5"/>
    <n v="4926"/>
    <n v="2219492625"/>
    <n v="9015"/>
  </r>
  <r>
    <s v="DOLFUT"/>
    <x v="18"/>
    <x v="8"/>
    <n v="4921.5"/>
    <n v="4926.5"/>
    <n v="4919.5"/>
    <n v="4925"/>
    <n v="2140081625"/>
    <n v="8695"/>
  </r>
  <r>
    <s v="DOLFUT"/>
    <x v="18"/>
    <x v="9"/>
    <n v="4913.5"/>
    <n v="4923"/>
    <n v="4912.5"/>
    <n v="4921"/>
    <n v="5859083750"/>
    <n v="23830"/>
  </r>
  <r>
    <s v="DOLFUT"/>
    <x v="18"/>
    <x v="10"/>
    <n v="4924.5"/>
    <n v="4926"/>
    <n v="4913.5"/>
    <n v="4914"/>
    <n v="3126292125"/>
    <n v="12715"/>
  </r>
  <r>
    <s v="DOLFUT"/>
    <x v="18"/>
    <x v="11"/>
    <n v="4930"/>
    <n v="4931.5"/>
    <n v="4921.5"/>
    <n v="4924.5"/>
    <n v="2378072750"/>
    <n v="9655"/>
  </r>
  <r>
    <s v="DOLFUT"/>
    <x v="19"/>
    <x v="12"/>
    <n v="4916.5"/>
    <n v="4916.5"/>
    <n v="4911"/>
    <n v="4912"/>
    <n v="523317625"/>
    <n v="2130"/>
  </r>
  <r>
    <s v="DOLFUT"/>
    <x v="19"/>
    <x v="13"/>
    <n v="4916.5"/>
    <n v="4918"/>
    <n v="4915.5"/>
    <n v="4916"/>
    <n v="265511250"/>
    <n v="1080"/>
  </r>
  <r>
    <s v="DOLFUT"/>
    <x v="19"/>
    <x v="14"/>
    <n v="4916"/>
    <n v="4918"/>
    <n v="4914"/>
    <n v="4917"/>
    <n v="994338500"/>
    <n v="4045"/>
  </r>
  <r>
    <s v="DOLFUT"/>
    <x v="19"/>
    <x v="15"/>
    <n v="4920.5"/>
    <n v="4921.5"/>
    <n v="4916"/>
    <n v="4916"/>
    <n v="1078393875"/>
    <n v="4385"/>
  </r>
  <r>
    <s v="DOLFUT"/>
    <x v="19"/>
    <x v="16"/>
    <n v="4917"/>
    <n v="4922.5"/>
    <n v="4916.5"/>
    <n v="4920.5"/>
    <n v="2221693500"/>
    <n v="9030"/>
  </r>
  <r>
    <s v="DOLFUT"/>
    <x v="19"/>
    <x v="17"/>
    <n v="4920"/>
    <n v="4920"/>
    <n v="4915.5"/>
    <n v="4917"/>
    <n v="2532974250"/>
    <n v="10300"/>
  </r>
  <r>
    <s v="DOLFUT"/>
    <x v="19"/>
    <x v="18"/>
    <n v="4920"/>
    <n v="4921.5"/>
    <n v="4917.5"/>
    <n v="4920"/>
    <n v="2345540125"/>
    <n v="9535"/>
  </r>
  <r>
    <s v="DOLFUT"/>
    <x v="19"/>
    <x v="0"/>
    <n v="4923"/>
    <n v="4923"/>
    <n v="4919.5"/>
    <n v="4920"/>
    <n v="2083827625"/>
    <n v="8470"/>
  </r>
  <r>
    <s v="DOLFUT"/>
    <x v="19"/>
    <x v="1"/>
    <n v="4924"/>
    <n v="4926.5"/>
    <n v="4922"/>
    <n v="4922.5"/>
    <n v="654939000"/>
    <n v="2660"/>
  </r>
  <r>
    <s v="DOLFUT"/>
    <x v="19"/>
    <x v="2"/>
    <n v="4925"/>
    <n v="4927"/>
    <n v="4922.5"/>
    <n v="4923.5"/>
    <n v="1451469000"/>
    <n v="5895"/>
  </r>
  <r>
    <s v="DOLFUT"/>
    <x v="19"/>
    <x v="3"/>
    <n v="4923"/>
    <n v="4927"/>
    <n v="4923"/>
    <n v="4925"/>
    <n v="1414550750"/>
    <n v="5745"/>
  </r>
  <r>
    <s v="DOLFUT"/>
    <x v="19"/>
    <x v="4"/>
    <n v="4923"/>
    <n v="4926.5"/>
    <n v="4921"/>
    <n v="4923"/>
    <n v="1344178625"/>
    <n v="5460"/>
  </r>
  <r>
    <s v="DOLFUT"/>
    <x v="19"/>
    <x v="5"/>
    <n v="4922.5"/>
    <n v="4925"/>
    <n v="4921"/>
    <n v="4922.5"/>
    <n v="1643132500"/>
    <n v="6675"/>
  </r>
  <r>
    <s v="DOLFUT"/>
    <x v="19"/>
    <x v="6"/>
    <n v="4914"/>
    <n v="4923"/>
    <n v="4911.5"/>
    <n v="4922"/>
    <n v="3679814875"/>
    <n v="14965"/>
  </r>
  <r>
    <s v="DOLFUT"/>
    <x v="19"/>
    <x v="7"/>
    <n v="4914"/>
    <n v="4917.5"/>
    <n v="4910"/>
    <n v="4914"/>
    <n v="2360328125"/>
    <n v="9605"/>
  </r>
  <r>
    <s v="DOLFUT"/>
    <x v="19"/>
    <x v="8"/>
    <n v="4917"/>
    <n v="4917.5"/>
    <n v="4911"/>
    <n v="4914"/>
    <n v="2279440250"/>
    <n v="9275"/>
  </r>
  <r>
    <s v="DOLFUT"/>
    <x v="19"/>
    <x v="9"/>
    <n v="4925.5"/>
    <n v="4926"/>
    <n v="4916.5"/>
    <n v="4917"/>
    <n v="2159177750"/>
    <n v="8775"/>
  </r>
  <r>
    <s v="DOLFUT"/>
    <x v="19"/>
    <x v="10"/>
    <n v="4920.5"/>
    <n v="4929.5"/>
    <n v="4916.5"/>
    <n v="4925.5"/>
    <n v="2345039125"/>
    <n v="9525"/>
  </r>
  <r>
    <s v="DOLFUT"/>
    <x v="19"/>
    <x v="11"/>
    <n v="4924.5"/>
    <n v="4928.5"/>
    <n v="4918"/>
    <n v="4920"/>
    <n v="1887397750"/>
    <n v="7665"/>
  </r>
  <r>
    <s v="DOLFUT"/>
    <x v="20"/>
    <x v="12"/>
    <n v="4916"/>
    <n v="4919.5"/>
    <n v="4913.5"/>
    <n v="4915"/>
    <n v="227368250"/>
    <n v="925"/>
  </r>
  <r>
    <s v="DOLFUT"/>
    <x v="20"/>
    <x v="13"/>
    <n v="4917.5"/>
    <n v="4918.5"/>
    <n v="4914"/>
    <n v="4916"/>
    <n v="1406090000"/>
    <n v="5720"/>
  </r>
  <r>
    <s v="DOLFUT"/>
    <x v="20"/>
    <x v="14"/>
    <n v="4922"/>
    <n v="4922"/>
    <n v="4917.5"/>
    <n v="4918"/>
    <n v="1383706500"/>
    <n v="5625"/>
  </r>
  <r>
    <s v="DOLFUT"/>
    <x v="20"/>
    <x v="15"/>
    <n v="4921.5"/>
    <n v="4922.5"/>
    <n v="4920.5"/>
    <n v="4922.5"/>
    <n v="1769305750"/>
    <n v="7190"/>
  </r>
  <r>
    <s v="DOLFUT"/>
    <x v="20"/>
    <x v="16"/>
    <n v="4920"/>
    <n v="4922"/>
    <n v="4917"/>
    <n v="4921.5"/>
    <n v="2045349125"/>
    <n v="8315"/>
  </r>
  <r>
    <s v="DOLFUT"/>
    <x v="20"/>
    <x v="17"/>
    <n v="4921.5"/>
    <n v="4923.5"/>
    <n v="4918.5"/>
    <n v="4920"/>
    <n v="1723607250"/>
    <n v="7005"/>
  </r>
  <r>
    <s v="DOLFUT"/>
    <x v="20"/>
    <x v="18"/>
    <n v="4923.5"/>
    <n v="4924"/>
    <n v="4919"/>
    <n v="4921.5"/>
    <n v="1704101000"/>
    <n v="6925"/>
  </r>
  <r>
    <s v="DOLFUT"/>
    <x v="20"/>
    <x v="0"/>
    <n v="4924"/>
    <n v="4928.5"/>
    <n v="4922"/>
    <n v="4923"/>
    <n v="2689907250"/>
    <n v="10925"/>
  </r>
  <r>
    <s v="DOLFUT"/>
    <x v="20"/>
    <x v="1"/>
    <n v="4923.5"/>
    <n v="4924"/>
    <n v="4922"/>
    <n v="4924"/>
    <n v="3344305500"/>
    <n v="13585"/>
  </r>
  <r>
    <s v="DOLFUT"/>
    <x v="20"/>
    <x v="2"/>
    <n v="4925.5"/>
    <n v="4926.5"/>
    <n v="4921"/>
    <n v="4923.5"/>
    <n v="1185434375"/>
    <n v="4815"/>
  </r>
  <r>
    <s v="DOLFUT"/>
    <x v="20"/>
    <x v="3"/>
    <n v="4925"/>
    <n v="4927"/>
    <n v="4923.5"/>
    <n v="4925.5"/>
    <n v="2167041500"/>
    <n v="8800"/>
  </r>
  <r>
    <s v="DOLFUT"/>
    <x v="20"/>
    <x v="4"/>
    <n v="4920"/>
    <n v="4925.5"/>
    <n v="4919.5"/>
    <n v="4924.5"/>
    <n v="2492361500"/>
    <n v="10125"/>
  </r>
  <r>
    <s v="DOLFUT"/>
    <x v="20"/>
    <x v="5"/>
    <n v="4922.5"/>
    <n v="4925"/>
    <n v="4919"/>
    <n v="4920"/>
    <n v="3502540750"/>
    <n v="14230"/>
  </r>
  <r>
    <s v="DOLFUT"/>
    <x v="20"/>
    <x v="6"/>
    <n v="4926"/>
    <n v="4926"/>
    <n v="4919"/>
    <n v="4922"/>
    <n v="2755995000"/>
    <n v="11200"/>
  </r>
  <r>
    <s v="DOLFUT"/>
    <x v="20"/>
    <x v="7"/>
    <n v="4922"/>
    <n v="4929.5"/>
    <n v="4920.5"/>
    <n v="4925.5"/>
    <n v="3076564250"/>
    <n v="12495"/>
  </r>
  <r>
    <s v="DOLFUT"/>
    <x v="20"/>
    <x v="8"/>
    <n v="4923"/>
    <n v="4926"/>
    <n v="4917.5"/>
    <n v="4922"/>
    <n v="7631257250"/>
    <n v="31015"/>
  </r>
  <r>
    <s v="DOLFUT"/>
    <x v="20"/>
    <x v="9"/>
    <n v="4926.5"/>
    <n v="4936"/>
    <n v="4921"/>
    <n v="4923"/>
    <n v="4091178875"/>
    <n v="16605"/>
  </r>
  <r>
    <s v="DOLFUT"/>
    <x v="20"/>
    <x v="10"/>
    <n v="4934"/>
    <n v="4939.5"/>
    <n v="4920"/>
    <n v="4926"/>
    <n v="3816923625"/>
    <n v="15500"/>
  </r>
  <r>
    <s v="DOLFUT"/>
    <x v="20"/>
    <x v="11"/>
    <n v="4940"/>
    <n v="4941.5"/>
    <n v="4931.5"/>
    <n v="4932.5"/>
    <n v="2081312750"/>
    <n v="8430"/>
  </r>
  <r>
    <s v="DOLFUT"/>
    <x v="21"/>
    <x v="12"/>
    <n v="4953"/>
    <n v="4959"/>
    <n v="4953"/>
    <n v="4959"/>
    <n v="413748125"/>
    <n v="1670"/>
  </r>
  <r>
    <s v="DOLFUT"/>
    <x v="21"/>
    <x v="13"/>
    <n v="4942.5"/>
    <n v="4953"/>
    <n v="4938.5"/>
    <n v="4953"/>
    <n v="1367420000"/>
    <n v="5530"/>
  </r>
  <r>
    <s v="DOLFUT"/>
    <x v="21"/>
    <x v="14"/>
    <n v="4951"/>
    <n v="4952"/>
    <n v="4939.5"/>
    <n v="4942.5"/>
    <n v="2652428125"/>
    <n v="10730"/>
  </r>
  <r>
    <s v="DOLFUT"/>
    <x v="21"/>
    <x v="15"/>
    <n v="4950.5"/>
    <n v="4956"/>
    <n v="4946.5"/>
    <n v="4951"/>
    <n v="2091608500"/>
    <n v="8450"/>
  </r>
  <r>
    <s v="DOLFUT"/>
    <x v="21"/>
    <x v="16"/>
    <n v="4950.5"/>
    <n v="4953"/>
    <n v="4947.5"/>
    <n v="4950.5"/>
    <n v="1903471250"/>
    <n v="7690"/>
  </r>
  <r>
    <s v="DOLFUT"/>
    <x v="21"/>
    <x v="17"/>
    <n v="4945.5"/>
    <n v="4952"/>
    <n v="4944.5"/>
    <n v="4950.5"/>
    <n v="1755988500"/>
    <n v="7095"/>
  </r>
  <r>
    <s v="DOLFUT"/>
    <x v="21"/>
    <x v="18"/>
    <n v="4947.5"/>
    <n v="4950.5"/>
    <n v="4942.5"/>
    <n v="4946"/>
    <n v="2280536250"/>
    <n v="9220"/>
  </r>
  <r>
    <s v="DOLFUT"/>
    <x v="21"/>
    <x v="0"/>
    <n v="4955.5"/>
    <n v="4959.5"/>
    <n v="4947.5"/>
    <n v="4947.5"/>
    <n v="2730201250"/>
    <n v="11025"/>
  </r>
  <r>
    <s v="DOLFUT"/>
    <x v="21"/>
    <x v="1"/>
    <n v="4951.5"/>
    <n v="4959"/>
    <n v="4949.5"/>
    <n v="4956"/>
    <n v="1909505375"/>
    <n v="7710"/>
  </r>
  <r>
    <s v="DOLFUT"/>
    <x v="21"/>
    <x v="2"/>
    <n v="4948.5"/>
    <n v="4952.5"/>
    <n v="4947.5"/>
    <n v="4951"/>
    <n v="749929750"/>
    <n v="3030"/>
  </r>
  <r>
    <s v="DOLFUT"/>
    <x v="21"/>
    <x v="3"/>
    <n v="4957"/>
    <n v="4958"/>
    <n v="4947.5"/>
    <n v="4948.5"/>
    <n v="1339819125"/>
    <n v="5410"/>
  </r>
  <r>
    <s v="DOLFUT"/>
    <x v="21"/>
    <x v="4"/>
    <n v="4951.5"/>
    <n v="4958"/>
    <n v="4949"/>
    <n v="4957"/>
    <n v="2657913000"/>
    <n v="10735"/>
  </r>
  <r>
    <s v="DOLFUT"/>
    <x v="21"/>
    <x v="5"/>
    <n v="4946"/>
    <n v="4954.5"/>
    <n v="4943.5"/>
    <n v="4951.5"/>
    <n v="1739353875"/>
    <n v="7030"/>
  </r>
  <r>
    <s v="DOLFUT"/>
    <x v="21"/>
    <x v="6"/>
    <n v="4943.5"/>
    <n v="4951.5"/>
    <n v="4941"/>
    <n v="4945.5"/>
    <n v="5221432375"/>
    <n v="21105"/>
  </r>
  <r>
    <s v="DOLFUT"/>
    <x v="21"/>
    <x v="7"/>
    <n v="4945.5"/>
    <n v="4950.5"/>
    <n v="4939.5"/>
    <n v="4944"/>
    <n v="6754200500"/>
    <n v="27310"/>
  </r>
  <r>
    <s v="DOLFUT"/>
    <x v="21"/>
    <x v="8"/>
    <n v="4935.5"/>
    <n v="4945"/>
    <n v="4934"/>
    <n v="4945"/>
    <n v="5509809000"/>
    <n v="22305"/>
  </r>
  <r>
    <s v="DOLFUT"/>
    <x v="21"/>
    <x v="9"/>
    <n v="4930"/>
    <n v="4935.5"/>
    <n v="4927.5"/>
    <n v="4935.5"/>
    <n v="4547358250"/>
    <n v="18440"/>
  </r>
  <r>
    <s v="DOLFUT"/>
    <x v="21"/>
    <x v="10"/>
    <n v="4942"/>
    <n v="4943"/>
    <n v="4924.5"/>
    <n v="4930"/>
    <n v="5305219250"/>
    <n v="21510"/>
  </r>
  <r>
    <s v="DOLFUT"/>
    <x v="21"/>
    <x v="11"/>
    <n v="4933.5"/>
    <n v="4948"/>
    <n v="4930.5"/>
    <n v="4942"/>
    <n v="2689564875"/>
    <n v="10885"/>
  </r>
  <r>
    <s v="DOLFUT"/>
    <x v="22"/>
    <x v="12"/>
    <n v="4953"/>
    <n v="4956"/>
    <n v="4950"/>
    <n v="4952.5"/>
    <n v="444392125"/>
    <n v="1795"/>
  </r>
  <r>
    <s v="DOLFUT"/>
    <x v="22"/>
    <x v="13"/>
    <n v="4952.5"/>
    <n v="4958"/>
    <n v="4951.5"/>
    <n v="4953.5"/>
    <n v="1095190875"/>
    <n v="4420"/>
  </r>
  <r>
    <s v="DOLFUT"/>
    <x v="22"/>
    <x v="14"/>
    <n v="4949.5"/>
    <n v="4953"/>
    <n v="4948.5"/>
    <n v="4952"/>
    <n v="1448127625"/>
    <n v="5850"/>
  </r>
  <r>
    <s v="DOLFUT"/>
    <x v="22"/>
    <x v="15"/>
    <n v="4948.5"/>
    <n v="4953"/>
    <n v="4948.5"/>
    <n v="4950"/>
    <n v="3592317250"/>
    <n v="14510"/>
  </r>
  <r>
    <s v="DOLFUT"/>
    <x v="22"/>
    <x v="16"/>
    <n v="4953"/>
    <n v="4953"/>
    <n v="4947"/>
    <n v="4949"/>
    <n v="2232030750"/>
    <n v="9020"/>
  </r>
  <r>
    <s v="DOLFUT"/>
    <x v="22"/>
    <x v="17"/>
    <n v="4955.5"/>
    <n v="4956.5"/>
    <n v="4952.5"/>
    <n v="4953"/>
    <n v="2099247750"/>
    <n v="8475"/>
  </r>
  <r>
    <s v="DOLFUT"/>
    <x v="22"/>
    <x v="18"/>
    <n v="4946.5"/>
    <n v="4956.5"/>
    <n v="4946.5"/>
    <n v="4956"/>
    <n v="2602337125"/>
    <n v="10510"/>
  </r>
  <r>
    <s v="DOLFUT"/>
    <x v="22"/>
    <x v="0"/>
    <n v="4953.5"/>
    <n v="4955.5"/>
    <n v="4946.5"/>
    <n v="4946.5"/>
    <n v="2468960625"/>
    <n v="9970"/>
  </r>
  <r>
    <s v="DOLFUT"/>
    <x v="22"/>
    <x v="1"/>
    <n v="4961"/>
    <n v="4961"/>
    <n v="4953"/>
    <n v="4954"/>
    <n v="820414750"/>
    <n v="3310"/>
  </r>
  <r>
    <s v="DOLFUT"/>
    <x v="22"/>
    <x v="2"/>
    <n v="4953"/>
    <n v="4963"/>
    <n v="4952"/>
    <n v="4960.5"/>
    <n v="1036150875"/>
    <n v="4180"/>
  </r>
  <r>
    <s v="DOLFUT"/>
    <x v="22"/>
    <x v="3"/>
    <n v="4957"/>
    <n v="4959"/>
    <n v="4952.5"/>
    <n v="4952.5"/>
    <n v="3439816250"/>
    <n v="13880"/>
  </r>
  <r>
    <s v="DOLFUT"/>
    <x v="22"/>
    <x v="4"/>
    <n v="4957"/>
    <n v="4958.5"/>
    <n v="4953"/>
    <n v="4957"/>
    <n v="1752104625"/>
    <n v="7070"/>
  </r>
  <r>
    <s v="DOLFUT"/>
    <x v="22"/>
    <x v="5"/>
    <n v="4953.5"/>
    <n v="4957"/>
    <n v="4952.5"/>
    <n v="4957"/>
    <n v="1803563375"/>
    <n v="7280"/>
  </r>
  <r>
    <s v="DOLFUT"/>
    <x v="22"/>
    <x v="6"/>
    <n v="4961"/>
    <n v="4961"/>
    <n v="4946.5"/>
    <n v="4953"/>
    <n v="2966854375"/>
    <n v="11980"/>
  </r>
  <r>
    <s v="DOLFUT"/>
    <x v="22"/>
    <x v="7"/>
    <n v="4959"/>
    <n v="4964.5"/>
    <n v="4953"/>
    <n v="4961"/>
    <n v="6798846125"/>
    <n v="27425"/>
  </r>
  <r>
    <s v="DOLFUT"/>
    <x v="22"/>
    <x v="8"/>
    <n v="4951"/>
    <n v="4959"/>
    <n v="4947.5"/>
    <n v="4959"/>
    <n v="6312751625"/>
    <n v="25490"/>
  </r>
  <r>
    <s v="DOLFUT"/>
    <x v="22"/>
    <x v="9"/>
    <n v="4956.5"/>
    <n v="4961"/>
    <n v="4945.5"/>
    <n v="4951"/>
    <n v="5230877750"/>
    <n v="21120"/>
  </r>
  <r>
    <s v="DOLFUT"/>
    <x v="22"/>
    <x v="10"/>
    <n v="4937.5"/>
    <n v="4958"/>
    <n v="4934"/>
    <n v="4956.5"/>
    <n v="5624891125"/>
    <n v="22730"/>
  </r>
  <r>
    <s v="DOLFUT"/>
    <x v="22"/>
    <x v="11"/>
    <n v="4916.5"/>
    <n v="4957"/>
    <n v="4916.5"/>
    <n v="4937.5"/>
    <n v="6464998250"/>
    <n v="26185"/>
  </r>
  <r>
    <s v="DOLFUT"/>
    <x v="23"/>
    <x v="12"/>
    <n v="4942.5"/>
    <n v="4942.5"/>
    <n v="4938"/>
    <n v="4941"/>
    <n v="275427250"/>
    <n v="1115"/>
  </r>
  <r>
    <s v="DOLFUT"/>
    <x v="23"/>
    <x v="13"/>
    <n v="4943.5"/>
    <n v="4945"/>
    <n v="4941.5"/>
    <n v="4943"/>
    <n v="1296365375"/>
    <n v="5245"/>
  </r>
  <r>
    <s v="DOLFUT"/>
    <x v="23"/>
    <x v="14"/>
    <n v="4944.5"/>
    <n v="4945.5"/>
    <n v="4942"/>
    <n v="4943.5"/>
    <n v="1039512625"/>
    <n v="4205"/>
  </r>
  <r>
    <s v="DOLFUT"/>
    <x v="23"/>
    <x v="15"/>
    <n v="4943.5"/>
    <n v="4946.5"/>
    <n v="4943"/>
    <n v="4944"/>
    <n v="1934740500"/>
    <n v="7825"/>
  </r>
  <r>
    <s v="DOLFUT"/>
    <x v="23"/>
    <x v="16"/>
    <n v="4942.5"/>
    <n v="4944.5"/>
    <n v="4942.5"/>
    <n v="4943.5"/>
    <n v="1183983250"/>
    <n v="4790"/>
  </r>
  <r>
    <s v="DOLFUT"/>
    <x v="23"/>
    <x v="17"/>
    <n v="4938.5"/>
    <n v="4943.5"/>
    <n v="4938"/>
    <n v="4942.5"/>
    <n v="2304951875"/>
    <n v="9330"/>
  </r>
  <r>
    <s v="DOLFUT"/>
    <x v="23"/>
    <x v="18"/>
    <n v="4946"/>
    <n v="4947"/>
    <n v="4938"/>
    <n v="4938.5"/>
    <n v="2516962125"/>
    <n v="10185"/>
  </r>
  <r>
    <s v="DOLFUT"/>
    <x v="23"/>
    <x v="0"/>
    <n v="4946"/>
    <n v="4947.5"/>
    <n v="4944.5"/>
    <n v="4946"/>
    <n v="2269895500"/>
    <n v="9180"/>
  </r>
  <r>
    <s v="DOLFUT"/>
    <x v="23"/>
    <x v="1"/>
    <n v="4944"/>
    <n v="4947.5"/>
    <n v="4943.5"/>
    <n v="4946.5"/>
    <n v="1294493125"/>
    <n v="5235"/>
  </r>
  <r>
    <s v="DOLFUT"/>
    <x v="23"/>
    <x v="2"/>
    <n v="4947.5"/>
    <n v="4947.5"/>
    <n v="4940"/>
    <n v="4943.5"/>
    <n v="6480386125"/>
    <n v="26220"/>
  </r>
  <r>
    <s v="DOLFUT"/>
    <x v="23"/>
    <x v="3"/>
    <n v="4942.5"/>
    <n v="4948"/>
    <n v="4941.5"/>
    <n v="4947.5"/>
    <n v="2383256125"/>
    <n v="9640"/>
  </r>
  <r>
    <s v="DOLFUT"/>
    <x v="23"/>
    <x v="4"/>
    <n v="4948"/>
    <n v="4948.5"/>
    <n v="4942"/>
    <n v="4942.5"/>
    <n v="2948447000"/>
    <n v="11925"/>
  </r>
  <r>
    <s v="DOLFUT"/>
    <x v="23"/>
    <x v="5"/>
    <n v="4955.5"/>
    <n v="4957"/>
    <n v="4947"/>
    <n v="4948.5"/>
    <n v="4095300125"/>
    <n v="16540"/>
  </r>
  <r>
    <s v="DOLFUT"/>
    <x v="23"/>
    <x v="6"/>
    <n v="4955"/>
    <n v="4957.5"/>
    <n v="4954"/>
    <n v="4955.5"/>
    <n v="4348804875"/>
    <n v="17550"/>
  </r>
  <r>
    <s v="DOLFUT"/>
    <x v="23"/>
    <x v="7"/>
    <n v="4960.5"/>
    <n v="4961"/>
    <n v="4953"/>
    <n v="4955"/>
    <n v="6471911500"/>
    <n v="26110"/>
  </r>
  <r>
    <s v="DOLFUT"/>
    <x v="23"/>
    <x v="8"/>
    <n v="4961"/>
    <n v="4965"/>
    <n v="4959"/>
    <n v="4960.5"/>
    <n v="4169543500"/>
    <n v="16805"/>
  </r>
  <r>
    <s v="DOLFUT"/>
    <x v="23"/>
    <x v="9"/>
    <n v="4969"/>
    <n v="4969.5"/>
    <n v="4959"/>
    <n v="4961"/>
    <n v="7223704000"/>
    <n v="29100"/>
  </r>
  <r>
    <s v="DOLFUT"/>
    <x v="23"/>
    <x v="10"/>
    <n v="4970.5"/>
    <n v="4976"/>
    <n v="4968.5"/>
    <n v="4969.5"/>
    <n v="2478492500"/>
    <n v="9970"/>
  </r>
  <r>
    <s v="DOLFUT"/>
    <x v="23"/>
    <x v="11"/>
    <n v="4980"/>
    <n v="4985"/>
    <n v="4969"/>
    <n v="4970.5"/>
    <n v="3402215500"/>
    <n v="13665"/>
  </r>
  <r>
    <s v="DOLFUT"/>
    <x v="24"/>
    <x v="12"/>
    <n v="4996.5"/>
    <n v="4999"/>
    <n v="4995"/>
    <n v="4999"/>
    <n v="390956250"/>
    <n v="1565"/>
  </r>
  <r>
    <s v="DOLFUT"/>
    <x v="24"/>
    <x v="13"/>
    <n v="5004"/>
    <n v="5005.5"/>
    <n v="4996"/>
    <n v="4996"/>
    <n v="653764500"/>
    <n v="2615"/>
  </r>
  <r>
    <s v="DOLFUT"/>
    <x v="24"/>
    <x v="14"/>
    <n v="5002"/>
    <n v="5007"/>
    <n v="4999.5"/>
    <n v="5004"/>
    <n v="1041773125"/>
    <n v="4165"/>
  </r>
  <r>
    <s v="DOLFUT"/>
    <x v="24"/>
    <x v="15"/>
    <n v="5001.5"/>
    <n v="5003"/>
    <n v="5000"/>
    <n v="5002"/>
    <n v="2400665125"/>
    <n v="9600"/>
  </r>
  <r>
    <s v="DOLFUT"/>
    <x v="24"/>
    <x v="16"/>
    <n v="5000.5"/>
    <n v="5004"/>
    <n v="4998.5"/>
    <n v="5001.5"/>
    <n v="1678002125"/>
    <n v="6710"/>
  </r>
  <r>
    <s v="DOLFUT"/>
    <x v="24"/>
    <x v="17"/>
    <n v="5000.5"/>
    <n v="5005"/>
    <n v="5000"/>
    <n v="5001.5"/>
    <n v="1928613750"/>
    <n v="7710"/>
  </r>
  <r>
    <s v="DOLFUT"/>
    <x v="24"/>
    <x v="18"/>
    <n v="5001.5"/>
    <n v="5004.5"/>
    <n v="4998"/>
    <n v="5000.5"/>
    <n v="4333301625"/>
    <n v="17325"/>
  </r>
  <r>
    <s v="DOLFUT"/>
    <x v="24"/>
    <x v="0"/>
    <n v="5005"/>
    <n v="5006"/>
    <n v="5000.5"/>
    <n v="5002"/>
    <n v="2975349125"/>
    <n v="11895"/>
  </r>
  <r>
    <s v="DOLFUT"/>
    <x v="24"/>
    <x v="1"/>
    <n v="5016"/>
    <n v="5016"/>
    <n v="5002"/>
    <n v="5004.5"/>
    <n v="2223246750"/>
    <n v="8880"/>
  </r>
  <r>
    <s v="DOLFUT"/>
    <x v="24"/>
    <x v="2"/>
    <n v="5006"/>
    <n v="5017"/>
    <n v="5003"/>
    <n v="5016.5"/>
    <n v="3961368500"/>
    <n v="15815"/>
  </r>
  <r>
    <s v="DOLFUT"/>
    <x v="24"/>
    <x v="3"/>
    <n v="5001.5"/>
    <n v="5012.5"/>
    <n v="4999.5"/>
    <n v="5006"/>
    <n v="3971225625"/>
    <n v="15865"/>
  </r>
  <r>
    <s v="DOLFUT"/>
    <x v="24"/>
    <x v="4"/>
    <n v="4987"/>
    <n v="5003.5"/>
    <n v="4987"/>
    <n v="5002"/>
    <n v="3834854750"/>
    <n v="15355"/>
  </r>
  <r>
    <s v="DOLFUT"/>
    <x v="24"/>
    <x v="5"/>
    <n v="4986"/>
    <n v="4994.5"/>
    <n v="4982"/>
    <n v="4986.5"/>
    <n v="4039779875"/>
    <n v="16200"/>
  </r>
  <r>
    <s v="DOLFUT"/>
    <x v="24"/>
    <x v="6"/>
    <n v="4986.5"/>
    <n v="4987"/>
    <n v="4981.5"/>
    <n v="4986"/>
    <n v="4923127750"/>
    <n v="19755"/>
  </r>
  <r>
    <s v="DOLFUT"/>
    <x v="24"/>
    <x v="7"/>
    <n v="4991"/>
    <n v="4994.5"/>
    <n v="4984"/>
    <n v="4986.5"/>
    <n v="2587180750"/>
    <n v="10370"/>
  </r>
  <r>
    <s v="DOLFUT"/>
    <x v="24"/>
    <x v="8"/>
    <n v="4994.5"/>
    <n v="4995.5"/>
    <n v="4982"/>
    <n v="4991.5"/>
    <n v="2592412375"/>
    <n v="10395"/>
  </r>
  <r>
    <s v="DOLFUT"/>
    <x v="24"/>
    <x v="9"/>
    <n v="4987"/>
    <n v="4995"/>
    <n v="4986"/>
    <n v="4995"/>
    <n v="2972762875"/>
    <n v="11915"/>
  </r>
  <r>
    <s v="DOLFUT"/>
    <x v="24"/>
    <x v="10"/>
    <n v="4986"/>
    <n v="4989.5"/>
    <n v="4981.5"/>
    <n v="4986.5"/>
    <n v="1963480875"/>
    <n v="7875"/>
  </r>
  <r>
    <s v="DOLFUT"/>
    <x v="24"/>
    <x v="11"/>
    <n v="4996"/>
    <n v="5002"/>
    <n v="4983.5"/>
    <n v="4985.5"/>
    <n v="2329577625"/>
    <n v="9330"/>
  </r>
  <r>
    <s v="DOLFUT"/>
    <x v="25"/>
    <x v="12"/>
    <n v="4990"/>
    <n v="4995"/>
    <n v="4980.5"/>
    <n v="4980.5"/>
    <n v="2084028625"/>
    <n v="8350"/>
  </r>
  <r>
    <s v="DOLFUT"/>
    <x v="25"/>
    <x v="13"/>
    <n v="4992"/>
    <n v="4994.5"/>
    <n v="4989.5"/>
    <n v="4991"/>
    <n v="2491356625"/>
    <n v="9980"/>
  </r>
  <r>
    <s v="DOLFUT"/>
    <x v="25"/>
    <x v="14"/>
    <n v="4988.5"/>
    <n v="4993"/>
    <n v="4986.5"/>
    <n v="4991"/>
    <n v="1547826375"/>
    <n v="6205"/>
  </r>
  <r>
    <s v="DOLFUT"/>
    <x v="25"/>
    <x v="15"/>
    <n v="4992.5"/>
    <n v="4993"/>
    <n v="4987"/>
    <n v="4988.5"/>
    <n v="1751691875"/>
    <n v="7020"/>
  </r>
  <r>
    <s v="DOLFUT"/>
    <x v="25"/>
    <x v="16"/>
    <n v="4991.5"/>
    <n v="4993"/>
    <n v="4987.5"/>
    <n v="4992"/>
    <n v="3597113250"/>
    <n v="14415"/>
  </r>
  <r>
    <s v="DOLFUT"/>
    <x v="25"/>
    <x v="17"/>
    <n v="4999"/>
    <n v="4999"/>
    <n v="4990"/>
    <n v="4991.5"/>
    <n v="4257448875"/>
    <n v="17050"/>
  </r>
  <r>
    <s v="DOLFUT"/>
    <x v="25"/>
    <x v="18"/>
    <n v="5001.5"/>
    <n v="5001.5"/>
    <n v="4997"/>
    <n v="4999"/>
    <n v="7308553125"/>
    <n v="29245"/>
  </r>
  <r>
    <s v="DOLFUT"/>
    <x v="25"/>
    <x v="0"/>
    <n v="5005"/>
    <n v="5005"/>
    <n v="4998.5"/>
    <n v="5002"/>
    <n v="3247147375"/>
    <n v="12985"/>
  </r>
  <r>
    <s v="DOLFUT"/>
    <x v="25"/>
    <x v="1"/>
    <n v="5013"/>
    <n v="5014"/>
    <n v="5003.5"/>
    <n v="5005"/>
    <n v="1874012500"/>
    <n v="7485"/>
  </r>
  <r>
    <s v="DOLFUT"/>
    <x v="25"/>
    <x v="2"/>
    <n v="5017"/>
    <n v="5017.5"/>
    <n v="5011"/>
    <n v="5013"/>
    <n v="1554478125"/>
    <n v="6200"/>
  </r>
  <r>
    <s v="DOLFUT"/>
    <x v="25"/>
    <x v="3"/>
    <n v="5015.5"/>
    <n v="5021.5"/>
    <n v="5015"/>
    <n v="5017.5"/>
    <n v="1756350500"/>
    <n v="7000"/>
  </r>
  <r>
    <s v="DOLFUT"/>
    <x v="25"/>
    <x v="4"/>
    <n v="5011"/>
    <n v="5015.5"/>
    <n v="5006.5"/>
    <n v="5015.5"/>
    <n v="4434572375"/>
    <n v="17700"/>
  </r>
  <r>
    <s v="DOLFUT"/>
    <x v="25"/>
    <x v="5"/>
    <n v="5018.5"/>
    <n v="5020.5"/>
    <n v="5008.5"/>
    <n v="5011"/>
    <n v="5195783625"/>
    <n v="20720"/>
  </r>
  <r>
    <s v="DOLFUT"/>
    <x v="25"/>
    <x v="6"/>
    <n v="5017"/>
    <n v="5023.5"/>
    <n v="5010"/>
    <n v="5018.5"/>
    <n v="5092344125"/>
    <n v="20305"/>
  </r>
  <r>
    <s v="DOLFUT"/>
    <x v="25"/>
    <x v="7"/>
    <n v="5032"/>
    <n v="5035"/>
    <n v="5016"/>
    <n v="5017"/>
    <n v="5746003625"/>
    <n v="22850"/>
  </r>
  <r>
    <s v="DOLFUT"/>
    <x v="25"/>
    <x v="8"/>
    <n v="5023"/>
    <n v="5031.5"/>
    <n v="5018.5"/>
    <n v="5031.5"/>
    <n v="7487251500"/>
    <n v="29795"/>
  </r>
  <r>
    <s v="DOLFUT"/>
    <x v="25"/>
    <x v="9"/>
    <n v="5025"/>
    <n v="5030"/>
    <n v="5020.5"/>
    <n v="5022.5"/>
    <n v="6224579500"/>
    <n v="24770"/>
  </r>
  <r>
    <s v="DOLFUT"/>
    <x v="25"/>
    <x v="10"/>
    <n v="5019"/>
    <n v="5025.5"/>
    <n v="5012"/>
    <n v="5025"/>
    <n v="5409814625"/>
    <n v="21560"/>
  </r>
  <r>
    <s v="DOLFUT"/>
    <x v="25"/>
    <x v="11"/>
    <n v="5028"/>
    <n v="5030"/>
    <n v="5008"/>
    <n v="5019.5"/>
    <n v="3638202750"/>
    <n v="14505"/>
  </r>
  <r>
    <s v="DOLFUT"/>
    <x v="26"/>
    <x v="12"/>
    <n v="5000"/>
    <n v="5005"/>
    <n v="4991"/>
    <n v="4994"/>
    <n v="553612375"/>
    <n v="2215"/>
  </r>
  <r>
    <s v="DOLFUT"/>
    <x v="26"/>
    <x v="13"/>
    <n v="5006"/>
    <n v="5006"/>
    <n v="4996"/>
    <n v="4999"/>
    <n v="991547875"/>
    <n v="3965"/>
  </r>
  <r>
    <s v="DOLFUT"/>
    <x v="26"/>
    <x v="14"/>
    <n v="5004.5"/>
    <n v="5011.5"/>
    <n v="5000.5"/>
    <n v="5006.5"/>
    <n v="1188880000"/>
    <n v="4750"/>
  </r>
  <r>
    <s v="DOLFUT"/>
    <x v="26"/>
    <x v="15"/>
    <n v="5009"/>
    <n v="5010.5"/>
    <n v="5003"/>
    <n v="5004.5"/>
    <n v="7911204625"/>
    <n v="31600"/>
  </r>
  <r>
    <s v="DOLFUT"/>
    <x v="26"/>
    <x v="16"/>
    <n v="5011"/>
    <n v="5015.5"/>
    <n v="5005.5"/>
    <n v="5009"/>
    <n v="4115157500"/>
    <n v="16420"/>
  </r>
  <r>
    <s v="DOLFUT"/>
    <x v="26"/>
    <x v="17"/>
    <n v="5004.5"/>
    <n v="5016"/>
    <n v="4998.5"/>
    <n v="5011.5"/>
    <n v="7243941375"/>
    <n v="28930"/>
  </r>
  <r>
    <s v="DOLFUT"/>
    <x v="26"/>
    <x v="18"/>
    <n v="4999"/>
    <n v="5008"/>
    <n v="4997.5"/>
    <n v="5005"/>
    <n v="4646464750"/>
    <n v="18570"/>
  </r>
  <r>
    <s v="DOLFUT"/>
    <x v="26"/>
    <x v="0"/>
    <n v="5001"/>
    <n v="5002.5"/>
    <n v="4995.5"/>
    <n v="4998"/>
    <n v="6454764875"/>
    <n v="25825"/>
  </r>
  <r>
    <s v="DOLFUT"/>
    <x v="26"/>
    <x v="1"/>
    <n v="5005"/>
    <n v="5006"/>
    <n v="4999.5"/>
    <n v="5001"/>
    <n v="3059487125"/>
    <n v="12230"/>
  </r>
  <r>
    <s v="DOLFUT"/>
    <x v="26"/>
    <x v="2"/>
    <n v="5002.5"/>
    <n v="5006.5"/>
    <n v="5002"/>
    <n v="5005.5"/>
    <n v="1875377250"/>
    <n v="7495"/>
  </r>
  <r>
    <s v="DOLFUT"/>
    <x v="26"/>
    <x v="3"/>
    <n v="5001.5"/>
    <n v="5003"/>
    <n v="4999"/>
    <n v="5002"/>
    <n v="3273356000"/>
    <n v="13090"/>
  </r>
  <r>
    <s v="DOLFUT"/>
    <x v="26"/>
    <x v="4"/>
    <n v="5000.5"/>
    <n v="5007.5"/>
    <n v="4997.5"/>
    <n v="5001"/>
    <n v="2414624375"/>
    <n v="9655"/>
  </r>
  <r>
    <s v="DOLFUT"/>
    <x v="26"/>
    <x v="5"/>
    <n v="4997.5"/>
    <n v="5005"/>
    <n v="4996.5"/>
    <n v="5000.5"/>
    <n v="3184205375"/>
    <n v="12735"/>
  </r>
  <r>
    <s v="DOLFUT"/>
    <x v="26"/>
    <x v="6"/>
    <n v="5001.5"/>
    <n v="5003"/>
    <n v="4997"/>
    <n v="4997.5"/>
    <n v="2208675750"/>
    <n v="8835"/>
  </r>
  <r>
    <s v="DOLFUT"/>
    <x v="26"/>
    <x v="7"/>
    <n v="5005"/>
    <n v="5008.5"/>
    <n v="4996"/>
    <n v="5001"/>
    <n v="6753205625"/>
    <n v="27005"/>
  </r>
  <r>
    <s v="DOLFUT"/>
    <x v="26"/>
    <x v="8"/>
    <n v="5000"/>
    <n v="5006.5"/>
    <n v="4999"/>
    <n v="5005"/>
    <n v="7909360500"/>
    <n v="31615"/>
  </r>
  <r>
    <s v="DOLFUT"/>
    <x v="26"/>
    <x v="9"/>
    <n v="4996"/>
    <n v="5000"/>
    <n v="4992.5"/>
    <n v="5000"/>
    <n v="2018531000"/>
    <n v="8080"/>
  </r>
  <r>
    <s v="DOLFUT"/>
    <x v="26"/>
    <x v="10"/>
    <n v="4992.5"/>
    <n v="5003"/>
    <n v="4992.5"/>
    <n v="4996.5"/>
    <n v="4082254125"/>
    <n v="16335"/>
  </r>
  <r>
    <s v="DOLFUT"/>
    <x v="26"/>
    <x v="11"/>
    <n v="4982.5"/>
    <n v="4993.5"/>
    <n v="4978"/>
    <n v="4993"/>
    <n v="1757952625"/>
    <n v="7050"/>
  </r>
  <r>
    <s v="DOLFUT"/>
    <x v="27"/>
    <x v="12"/>
    <n v="4978"/>
    <n v="4981"/>
    <n v="4975.5"/>
    <n v="4976.5"/>
    <n v="1526789500"/>
    <n v="6135"/>
  </r>
  <r>
    <s v="DOLFUT"/>
    <x v="27"/>
    <x v="13"/>
    <n v="4979"/>
    <n v="4981"/>
    <n v="4976"/>
    <n v="4979"/>
    <n v="1753416125"/>
    <n v="7045"/>
  </r>
  <r>
    <s v="DOLFUT"/>
    <x v="27"/>
    <x v="14"/>
    <n v="4985"/>
    <n v="4986"/>
    <n v="4979"/>
    <n v="4979"/>
    <n v="2122917500"/>
    <n v="8520"/>
  </r>
  <r>
    <s v="DOLFUT"/>
    <x v="27"/>
    <x v="15"/>
    <n v="4982.5"/>
    <n v="4985.5"/>
    <n v="4982"/>
    <n v="4984.5"/>
    <n v="1500066500"/>
    <n v="6020"/>
  </r>
  <r>
    <s v="DOLFUT"/>
    <x v="27"/>
    <x v="16"/>
    <n v="4980.5"/>
    <n v="4983.5"/>
    <n v="4980"/>
    <n v="4983"/>
    <n v="2748859625"/>
    <n v="11035"/>
  </r>
  <r>
    <s v="DOLFUT"/>
    <x v="27"/>
    <x v="17"/>
    <n v="4977"/>
    <n v="4981.5"/>
    <n v="4975"/>
    <n v="4981"/>
    <n v="4540339750"/>
    <n v="18240"/>
  </r>
  <r>
    <s v="DOLFUT"/>
    <x v="27"/>
    <x v="18"/>
    <n v="4986.5"/>
    <n v="4988"/>
    <n v="4976.5"/>
    <n v="4977"/>
    <n v="7235811500"/>
    <n v="29045"/>
  </r>
  <r>
    <s v="DOLFUT"/>
    <x v="27"/>
    <x v="0"/>
    <n v="4985"/>
    <n v="4987"/>
    <n v="4982"/>
    <n v="4986.5"/>
    <n v="2568052875"/>
    <n v="10305"/>
  </r>
  <r>
    <s v="DOLFUT"/>
    <x v="27"/>
    <x v="1"/>
    <n v="4981.5"/>
    <n v="4987.5"/>
    <n v="4980.5"/>
    <n v="4985.5"/>
    <n v="3329496750"/>
    <n v="13360"/>
  </r>
  <r>
    <s v="DOLFUT"/>
    <x v="27"/>
    <x v="2"/>
    <n v="4986.5"/>
    <n v="4989"/>
    <n v="4980"/>
    <n v="4981.5"/>
    <n v="3716589750"/>
    <n v="14920"/>
  </r>
  <r>
    <s v="DOLFUT"/>
    <x v="27"/>
    <x v="3"/>
    <n v="4990"/>
    <n v="4991"/>
    <n v="4983"/>
    <n v="4987"/>
    <n v="2708020000"/>
    <n v="10860"/>
  </r>
  <r>
    <s v="DOLFUT"/>
    <x v="27"/>
    <x v="4"/>
    <n v="5000.5"/>
    <n v="5002"/>
    <n v="4990"/>
    <n v="4990"/>
    <n v="2802701250"/>
    <n v="11220"/>
  </r>
  <r>
    <s v="DOLFUT"/>
    <x v="27"/>
    <x v="5"/>
    <n v="5014.5"/>
    <n v="5014.5"/>
    <n v="4997.5"/>
    <n v="5000"/>
    <n v="3543505500"/>
    <n v="14155"/>
  </r>
  <r>
    <s v="DOLFUT"/>
    <x v="27"/>
    <x v="6"/>
    <n v="5001.5"/>
    <n v="5018.5"/>
    <n v="4996.5"/>
    <n v="5014"/>
    <n v="8022731625"/>
    <n v="32045"/>
  </r>
  <r>
    <s v="DOLFUT"/>
    <x v="27"/>
    <x v="7"/>
    <n v="4990"/>
    <n v="5002.5"/>
    <n v="4987.5"/>
    <n v="5001.5"/>
    <n v="8593148750"/>
    <n v="34420"/>
  </r>
  <r>
    <s v="DOLFUT"/>
    <x v="27"/>
    <x v="8"/>
    <n v="4988"/>
    <n v="4994.5"/>
    <n v="4986.5"/>
    <n v="4989.5"/>
    <n v="4477566750"/>
    <n v="17950"/>
  </r>
  <r>
    <s v="DOLFUT"/>
    <x v="27"/>
    <x v="9"/>
    <n v="4983.5"/>
    <n v="4994.5"/>
    <n v="4983.5"/>
    <n v="4988"/>
    <n v="6433869250"/>
    <n v="25795"/>
  </r>
  <r>
    <s v="DOLFUT"/>
    <x v="27"/>
    <x v="10"/>
    <n v="4999"/>
    <n v="5003.5"/>
    <n v="4983.5"/>
    <n v="4983.5"/>
    <n v="2813556750"/>
    <n v="11275"/>
  </r>
  <r>
    <s v="DOLFUT"/>
    <x v="27"/>
    <x v="11"/>
    <n v="4999"/>
    <n v="5012"/>
    <n v="4996.5"/>
    <n v="4999"/>
    <n v="2951725375"/>
    <n v="11795"/>
  </r>
  <r>
    <s v="DOLFUT"/>
    <x v="28"/>
    <x v="12"/>
    <n v="4987.5"/>
    <n v="4988.5"/>
    <n v="4984.5"/>
    <n v="4987.5"/>
    <n v="360238625"/>
    <n v="1445"/>
  </r>
  <r>
    <s v="DOLFUT"/>
    <x v="28"/>
    <x v="13"/>
    <n v="4987"/>
    <n v="4989"/>
    <n v="4986.5"/>
    <n v="4987.5"/>
    <n v="1402736125"/>
    <n v="5625"/>
  </r>
  <r>
    <s v="DOLFUT"/>
    <x v="28"/>
    <x v="14"/>
    <n v="4987"/>
    <n v="4988.5"/>
    <n v="4984.5"/>
    <n v="4988"/>
    <n v="1789180875"/>
    <n v="7175"/>
  </r>
  <r>
    <s v="DOLFUT"/>
    <x v="28"/>
    <x v="15"/>
    <n v="4984.5"/>
    <n v="4987.5"/>
    <n v="4984.5"/>
    <n v="4987"/>
    <n v="1813809125"/>
    <n v="7275"/>
  </r>
  <r>
    <s v="DOLFUT"/>
    <x v="28"/>
    <x v="16"/>
    <n v="4981.5"/>
    <n v="4985"/>
    <n v="4980"/>
    <n v="4984.5"/>
    <n v="2902461125"/>
    <n v="11650"/>
  </r>
  <r>
    <s v="DOLFUT"/>
    <x v="28"/>
    <x v="17"/>
    <n v="4972.5"/>
    <n v="4982.5"/>
    <n v="4972.5"/>
    <n v="4981"/>
    <n v="2264373375"/>
    <n v="9095"/>
  </r>
  <r>
    <s v="DOLFUT"/>
    <x v="28"/>
    <x v="18"/>
    <n v="4976.5"/>
    <n v="4977"/>
    <n v="4971.5"/>
    <n v="4973"/>
    <n v="1973287875"/>
    <n v="7935"/>
  </r>
  <r>
    <s v="DOLFUT"/>
    <x v="28"/>
    <x v="0"/>
    <n v="4978"/>
    <n v="4978"/>
    <n v="4975"/>
    <n v="4976.5"/>
    <n v="1520382375"/>
    <n v="6110"/>
  </r>
  <r>
    <s v="DOLFUT"/>
    <x v="28"/>
    <x v="1"/>
    <n v="4978"/>
    <n v="4982.5"/>
    <n v="4977.5"/>
    <n v="4978"/>
    <n v="3096705500"/>
    <n v="12435"/>
  </r>
  <r>
    <s v="DOLFUT"/>
    <x v="28"/>
    <x v="2"/>
    <n v="4974"/>
    <n v="4979.5"/>
    <n v="4972"/>
    <n v="4978.5"/>
    <n v="1545120750"/>
    <n v="6210"/>
  </r>
  <r>
    <s v="DOLFUT"/>
    <x v="28"/>
    <x v="3"/>
    <n v="4974.5"/>
    <n v="4976"/>
    <n v="4973.5"/>
    <n v="4974"/>
    <n v="3599572000"/>
    <n v="14470"/>
  </r>
  <r>
    <s v="DOLFUT"/>
    <x v="28"/>
    <x v="4"/>
    <n v="4977.5"/>
    <n v="4979"/>
    <n v="4974"/>
    <n v="4974.5"/>
    <n v="1731951125"/>
    <n v="6960"/>
  </r>
  <r>
    <s v="DOLFUT"/>
    <x v="28"/>
    <x v="5"/>
    <n v="4972.5"/>
    <n v="4979"/>
    <n v="4972"/>
    <n v="4977.5"/>
    <n v="4360945750"/>
    <n v="17530"/>
  </r>
  <r>
    <s v="DOLFUT"/>
    <x v="28"/>
    <x v="6"/>
    <n v="4978"/>
    <n v="4980.5"/>
    <n v="4972.5"/>
    <n v="4972.5"/>
    <n v="4978147125"/>
    <n v="20010"/>
  </r>
  <r>
    <s v="DOLFUT"/>
    <x v="28"/>
    <x v="7"/>
    <n v="4977"/>
    <n v="4981"/>
    <n v="4976.5"/>
    <n v="4978"/>
    <n v="5799362875"/>
    <n v="23295"/>
  </r>
  <r>
    <s v="DOLFUT"/>
    <x v="28"/>
    <x v="8"/>
    <n v="4974.5"/>
    <n v="4981.5"/>
    <n v="4973"/>
    <n v="4976.5"/>
    <n v="4379152000"/>
    <n v="17595"/>
  </r>
  <r>
    <s v="DOLFUT"/>
    <x v="28"/>
    <x v="9"/>
    <n v="4978"/>
    <n v="4979.5"/>
    <n v="4968.5"/>
    <n v="4974"/>
    <n v="8402827125"/>
    <n v="33795"/>
  </r>
  <r>
    <s v="DOLFUT"/>
    <x v="28"/>
    <x v="10"/>
    <n v="4973"/>
    <n v="4979.5"/>
    <n v="4971"/>
    <n v="4978.5"/>
    <n v="8591850250"/>
    <n v="34550"/>
  </r>
  <r>
    <s v="DOLFUT"/>
    <x v="28"/>
    <x v="11"/>
    <n v="4989"/>
    <n v="4989"/>
    <n v="4970"/>
    <n v="4973"/>
    <n v="3211840250"/>
    <n v="12905"/>
  </r>
  <r>
    <s v="DOLFUT"/>
    <x v="29"/>
    <x v="12"/>
    <n v="4988"/>
    <n v="4996"/>
    <n v="4985"/>
    <n v="4995.5"/>
    <n v="2540058625"/>
    <n v="10185"/>
  </r>
  <r>
    <s v="DOLFUT"/>
    <x v="29"/>
    <x v="13"/>
    <n v="4999.5"/>
    <n v="4999.5"/>
    <n v="4985"/>
    <n v="4987"/>
    <n v="2330290625"/>
    <n v="9340"/>
  </r>
  <r>
    <s v="DOLFUT"/>
    <x v="29"/>
    <x v="14"/>
    <n v="5006"/>
    <n v="5006.5"/>
    <n v="4997"/>
    <n v="4999.5"/>
    <n v="2718326750"/>
    <n v="10870"/>
  </r>
  <r>
    <s v="DOLFUT"/>
    <x v="29"/>
    <x v="15"/>
    <n v="5005.5"/>
    <n v="5007.5"/>
    <n v="5003"/>
    <n v="5006"/>
    <n v="1731673375"/>
    <n v="6920"/>
  </r>
  <r>
    <s v="DOLFUT"/>
    <x v="29"/>
    <x v="16"/>
    <n v="5008"/>
    <n v="5008"/>
    <n v="5001"/>
    <n v="5005.5"/>
    <n v="2298214000"/>
    <n v="9185"/>
  </r>
  <r>
    <s v="DOLFUT"/>
    <x v="29"/>
    <x v="17"/>
    <n v="5015.5"/>
    <n v="5015.5"/>
    <n v="5006.5"/>
    <n v="5008.5"/>
    <n v="2360743375"/>
    <n v="9425"/>
  </r>
  <r>
    <s v="DOLFUT"/>
    <x v="29"/>
    <x v="18"/>
    <n v="5015"/>
    <n v="5018"/>
    <n v="5013"/>
    <n v="5016"/>
    <n v="4025235500"/>
    <n v="16055"/>
  </r>
  <r>
    <s v="DOLFUT"/>
    <x v="29"/>
    <x v="0"/>
    <n v="5014"/>
    <n v="5015"/>
    <n v="5010"/>
    <n v="5015"/>
    <n v="1359680250"/>
    <n v="5425"/>
  </r>
  <r>
    <s v="DOLFUT"/>
    <x v="29"/>
    <x v="1"/>
    <n v="5016"/>
    <n v="5017"/>
    <n v="5012"/>
    <n v="5014"/>
    <n v="1172066000"/>
    <n v="4675"/>
  </r>
  <r>
    <s v="DOLFUT"/>
    <x v="29"/>
    <x v="2"/>
    <n v="5012"/>
    <n v="5020"/>
    <n v="5010"/>
    <n v="5016"/>
    <n v="2001652750"/>
    <n v="7980"/>
  </r>
  <r>
    <s v="DOLFUT"/>
    <x v="29"/>
    <x v="3"/>
    <n v="5006"/>
    <n v="5016.5"/>
    <n v="5003.5"/>
    <n v="5012.5"/>
    <n v="3345260000"/>
    <n v="13360"/>
  </r>
  <r>
    <s v="DOLFUT"/>
    <x v="29"/>
    <x v="4"/>
    <n v="5012"/>
    <n v="5013"/>
    <n v="5004"/>
    <n v="5005.5"/>
    <n v="5221421125"/>
    <n v="20850"/>
  </r>
  <r>
    <s v="DOLFUT"/>
    <x v="29"/>
    <x v="5"/>
    <n v="5020"/>
    <n v="5020.5"/>
    <n v="5011.5"/>
    <n v="5011.5"/>
    <n v="3426802625"/>
    <n v="13665"/>
  </r>
  <r>
    <s v="DOLFUT"/>
    <x v="29"/>
    <x v="6"/>
    <n v="5027.5"/>
    <n v="5027.5"/>
    <n v="5020"/>
    <n v="5020"/>
    <n v="2965973500"/>
    <n v="11810"/>
  </r>
  <r>
    <s v="DOLFUT"/>
    <x v="29"/>
    <x v="7"/>
    <n v="5024.5"/>
    <n v="5028"/>
    <n v="5018"/>
    <n v="5027.5"/>
    <n v="7657440875"/>
    <n v="30485"/>
  </r>
  <r>
    <s v="DOLFUT"/>
    <x v="29"/>
    <x v="8"/>
    <n v="5020.5"/>
    <n v="5032"/>
    <n v="5019.5"/>
    <n v="5024"/>
    <n v="4472995000"/>
    <n v="17800"/>
  </r>
  <r>
    <s v="DOLFUT"/>
    <x v="29"/>
    <x v="9"/>
    <n v="5012.5"/>
    <n v="5021.5"/>
    <n v="5010.5"/>
    <n v="5021"/>
    <n v="3453712875"/>
    <n v="13775"/>
  </r>
  <r>
    <s v="DOLFUT"/>
    <x v="29"/>
    <x v="10"/>
    <n v="5008"/>
    <n v="5027"/>
    <n v="5007.5"/>
    <n v="5013"/>
    <n v="4507896875"/>
    <n v="17965"/>
  </r>
  <r>
    <s v="DOLFUT"/>
    <x v="29"/>
    <x v="11"/>
    <n v="5011"/>
    <n v="5019"/>
    <n v="5001.5"/>
    <n v="5007.5"/>
    <n v="4818015875"/>
    <n v="19240"/>
  </r>
  <r>
    <s v="DOLFUT"/>
    <x v="30"/>
    <x v="12"/>
    <n v="5027.5"/>
    <n v="5040.5"/>
    <n v="5024.5"/>
    <n v="5039"/>
    <n v="1305018875"/>
    <n v="5185"/>
  </r>
  <r>
    <s v="DOLFUT"/>
    <x v="30"/>
    <x v="13"/>
    <n v="5017.5"/>
    <n v="5031.5"/>
    <n v="5016"/>
    <n v="5028.5"/>
    <n v="3267536000"/>
    <n v="13015"/>
  </r>
  <r>
    <s v="DOLFUT"/>
    <x v="30"/>
    <x v="14"/>
    <n v="5011.5"/>
    <n v="5018.5"/>
    <n v="5003.5"/>
    <n v="5018"/>
    <n v="3597922375"/>
    <n v="14360"/>
  </r>
  <r>
    <s v="DOLFUT"/>
    <x v="30"/>
    <x v="15"/>
    <n v="5016.5"/>
    <n v="5025.5"/>
    <n v="5010.5"/>
    <n v="5011"/>
    <n v="2992956250"/>
    <n v="11930"/>
  </r>
  <r>
    <s v="DOLFUT"/>
    <x v="30"/>
    <x v="16"/>
    <n v="4997.5"/>
    <n v="5017.5"/>
    <n v="4996.5"/>
    <n v="5016.5"/>
    <n v="5597213625"/>
    <n v="22365"/>
  </r>
  <r>
    <s v="DOLFUT"/>
    <x v="30"/>
    <x v="17"/>
    <n v="4980"/>
    <n v="4999"/>
    <n v="4980"/>
    <n v="4997"/>
    <n v="4511017625"/>
    <n v="18085"/>
  </r>
  <r>
    <s v="DOLFUT"/>
    <x v="30"/>
    <x v="18"/>
    <n v="4987"/>
    <n v="4989.5"/>
    <n v="4979"/>
    <n v="4980"/>
    <n v="4310209750"/>
    <n v="17300"/>
  </r>
  <r>
    <s v="DOLFUT"/>
    <x v="30"/>
    <x v="0"/>
    <n v="4976.5"/>
    <n v="5002"/>
    <n v="4973.5"/>
    <n v="4987.5"/>
    <n v="10250022000"/>
    <n v="41085"/>
  </r>
  <r>
    <s v="DOLFUT"/>
    <x v="30"/>
    <x v="1"/>
    <n v="4964"/>
    <n v="4984"/>
    <n v="4963.5"/>
    <n v="4977"/>
    <n v="7161374625"/>
    <n v="28790"/>
  </r>
  <r>
    <s v="DOLFUT"/>
    <x v="30"/>
    <x v="2"/>
    <n v="4964"/>
    <n v="4966"/>
    <n v="4962"/>
    <n v="4964"/>
    <n v="1941157000"/>
    <n v="7820"/>
  </r>
  <r>
    <s v="DOLFUT"/>
    <x v="30"/>
    <x v="3"/>
    <n v="4962"/>
    <n v="4965"/>
    <n v="4960.5"/>
    <n v="4963.5"/>
    <n v="12669956130"/>
    <n v="51065"/>
  </r>
  <r>
    <s v="DOLFUT"/>
    <x v="30"/>
    <x v="4"/>
    <n v="4949"/>
    <n v="4962.5"/>
    <n v="4949"/>
    <n v="4962"/>
    <n v="8899808000"/>
    <n v="35930"/>
  </r>
  <r>
    <s v="DOLFUT"/>
    <x v="30"/>
    <x v="5"/>
    <n v="4962.5"/>
    <n v="4962.5"/>
    <n v="4947.5"/>
    <n v="4949"/>
    <n v="16943300380"/>
    <n v="68430"/>
  </r>
  <r>
    <s v="DOLFUT"/>
    <x v="30"/>
    <x v="6"/>
    <n v="4959.5"/>
    <n v="4966.5"/>
    <n v="4958.5"/>
    <n v="4962"/>
    <n v="7657682500"/>
    <n v="30865"/>
  </r>
  <r>
    <s v="DOLFUT"/>
    <x v="30"/>
    <x v="7"/>
    <n v="4962"/>
    <n v="4966.5"/>
    <n v="4955.5"/>
    <n v="4959.5"/>
    <n v="8053615875"/>
    <n v="32470"/>
  </r>
  <r>
    <s v="DOLFUT"/>
    <x v="30"/>
    <x v="8"/>
    <n v="4966"/>
    <n v="4967.5"/>
    <n v="4958.5"/>
    <n v="4961.5"/>
    <n v="6382029875"/>
    <n v="25720"/>
  </r>
  <r>
    <s v="DOLFUT"/>
    <x v="30"/>
    <x v="9"/>
    <n v="4960"/>
    <n v="4971"/>
    <n v="4959"/>
    <n v="4965.5"/>
    <n v="12107447130"/>
    <n v="48765"/>
  </r>
  <r>
    <s v="DOLFUT"/>
    <x v="30"/>
    <x v="10"/>
    <n v="4969"/>
    <n v="4970"/>
    <n v="4954"/>
    <n v="4959.5"/>
    <n v="13037070500"/>
    <n v="52570"/>
  </r>
  <r>
    <s v="DOLFUT"/>
    <x v="30"/>
    <x v="11"/>
    <n v="4974"/>
    <n v="4980.5"/>
    <n v="4965"/>
    <n v="4968.5"/>
    <n v="4718768750"/>
    <n v="18980"/>
  </r>
  <r>
    <s v="DOLFUT"/>
    <x v="31"/>
    <x v="12"/>
    <n v="4972.5"/>
    <n v="4976.5"/>
    <n v="4972.5"/>
    <n v="4972.5"/>
    <n v="478866875"/>
    <n v="1925"/>
  </r>
  <r>
    <s v="DOLFUT"/>
    <x v="31"/>
    <x v="13"/>
    <n v="4982"/>
    <n v="4982"/>
    <n v="4969"/>
    <n v="4971.5"/>
    <n v="3010211500"/>
    <n v="12100"/>
  </r>
  <r>
    <s v="DOLFUT"/>
    <x v="31"/>
    <x v="14"/>
    <n v="4982"/>
    <n v="4986.5"/>
    <n v="4981.5"/>
    <n v="4982"/>
    <n v="1619512000"/>
    <n v="6500"/>
  </r>
  <r>
    <s v="DOLFUT"/>
    <x v="31"/>
    <x v="15"/>
    <n v="4981"/>
    <n v="4983"/>
    <n v="4980"/>
    <n v="4982"/>
    <n v="1890398375"/>
    <n v="7590"/>
  </r>
  <r>
    <s v="DOLFUT"/>
    <x v="31"/>
    <x v="16"/>
    <n v="4976"/>
    <n v="4980.5"/>
    <n v="4976"/>
    <n v="4980.5"/>
    <n v="5708868000"/>
    <n v="22935"/>
  </r>
  <r>
    <s v="DOLFUT"/>
    <x v="31"/>
    <x v="17"/>
    <n v="4975"/>
    <n v="4977.5"/>
    <n v="4974.5"/>
    <n v="4975.5"/>
    <n v="1882181625"/>
    <n v="7565"/>
  </r>
  <r>
    <s v="DOLFUT"/>
    <x v="31"/>
    <x v="18"/>
    <n v="4974.5"/>
    <n v="4975.5"/>
    <n v="4971.5"/>
    <n v="4975"/>
    <n v="1668555750"/>
    <n v="6710"/>
  </r>
  <r>
    <s v="DOLFUT"/>
    <x v="31"/>
    <x v="0"/>
    <n v="4973.5"/>
    <n v="4975"/>
    <n v="4972"/>
    <n v="4974"/>
    <n v="1324194750"/>
    <n v="5325"/>
  </r>
  <r>
    <s v="DOLFUT"/>
    <x v="31"/>
    <x v="1"/>
    <n v="4981.5"/>
    <n v="4981.5"/>
    <n v="4973.5"/>
    <n v="4973.5"/>
    <n v="3806245375"/>
    <n v="15290"/>
  </r>
  <r>
    <s v="DOLFUT"/>
    <x v="31"/>
    <x v="2"/>
    <n v="4979"/>
    <n v="4983"/>
    <n v="4978.5"/>
    <n v="4981.5"/>
    <n v="2404326750"/>
    <n v="9655"/>
  </r>
  <r>
    <s v="DOLFUT"/>
    <x v="31"/>
    <x v="3"/>
    <n v="4975.5"/>
    <n v="4979"/>
    <n v="4972"/>
    <n v="4979"/>
    <n v="3765965875"/>
    <n v="15140"/>
  </r>
  <r>
    <s v="DOLFUT"/>
    <x v="31"/>
    <x v="4"/>
    <n v="4976"/>
    <n v="4981"/>
    <n v="4975"/>
    <n v="4976"/>
    <n v="2622831500"/>
    <n v="10540"/>
  </r>
  <r>
    <s v="DOLFUT"/>
    <x v="31"/>
    <x v="5"/>
    <n v="4974"/>
    <n v="4978.5"/>
    <n v="4972.5"/>
    <n v="4976"/>
    <n v="4516129125"/>
    <n v="18155"/>
  </r>
  <r>
    <s v="DOLFUT"/>
    <x v="31"/>
    <x v="6"/>
    <n v="4966.5"/>
    <n v="4980"/>
    <n v="4966"/>
    <n v="4974"/>
    <n v="3639908625"/>
    <n v="14635"/>
  </r>
  <r>
    <s v="DOLFUT"/>
    <x v="31"/>
    <x v="7"/>
    <n v="4967.5"/>
    <n v="4969.5"/>
    <n v="4963.5"/>
    <n v="4967"/>
    <n v="3581846875"/>
    <n v="14425"/>
  </r>
  <r>
    <s v="DOLFUT"/>
    <x v="31"/>
    <x v="8"/>
    <n v="4969.5"/>
    <n v="4974.5"/>
    <n v="4967"/>
    <n v="4967.5"/>
    <n v="4025810625"/>
    <n v="16200"/>
  </r>
  <r>
    <s v="DOLFUT"/>
    <x v="31"/>
    <x v="9"/>
    <n v="4981.5"/>
    <n v="4985.5"/>
    <n v="4966"/>
    <n v="4970"/>
    <n v="7209531500"/>
    <n v="28975"/>
  </r>
  <r>
    <s v="DOLFUT"/>
    <x v="31"/>
    <x v="10"/>
    <n v="4991"/>
    <n v="4992.5"/>
    <n v="4979.5"/>
    <n v="4981.5"/>
    <n v="3629191125"/>
    <n v="14560"/>
  </r>
  <r>
    <s v="DOLFUT"/>
    <x v="31"/>
    <x v="11"/>
    <n v="4976"/>
    <n v="4998"/>
    <n v="4973"/>
    <n v="4991.5"/>
    <n v="4025349875"/>
    <n v="16145"/>
  </r>
  <r>
    <s v="DOLFUT"/>
    <x v="32"/>
    <x v="12"/>
    <n v="4975"/>
    <n v="4975"/>
    <n v="4960.5"/>
    <n v="4962.5"/>
    <n v="785046375"/>
    <n v="3160"/>
  </r>
  <r>
    <s v="DOLFUT"/>
    <x v="32"/>
    <x v="13"/>
    <n v="4983"/>
    <n v="4983.5"/>
    <n v="4974.5"/>
    <n v="4975.5"/>
    <n v="2741323375"/>
    <n v="11010"/>
  </r>
  <r>
    <s v="DOLFUT"/>
    <x v="32"/>
    <x v="14"/>
    <n v="4984.5"/>
    <n v="4985"/>
    <n v="4983"/>
    <n v="4983"/>
    <n v="851007625"/>
    <n v="3415"/>
  </r>
  <r>
    <s v="DOLFUT"/>
    <x v="32"/>
    <x v="15"/>
    <n v="4984.5"/>
    <n v="4986"/>
    <n v="4983.5"/>
    <n v="4984.5"/>
    <n v="1016845000"/>
    <n v="4080"/>
  </r>
  <r>
    <s v="DOLFUT"/>
    <x v="32"/>
    <x v="16"/>
    <n v="4987.5"/>
    <n v="4987.5"/>
    <n v="4982"/>
    <n v="4985"/>
    <n v="2086109125"/>
    <n v="8370"/>
  </r>
  <r>
    <s v="DOLFUT"/>
    <x v="32"/>
    <x v="17"/>
    <n v="4982.5"/>
    <n v="4988"/>
    <n v="4982"/>
    <n v="4987"/>
    <n v="3046562625"/>
    <n v="12225"/>
  </r>
  <r>
    <s v="DOLFUT"/>
    <x v="32"/>
    <x v="18"/>
    <n v="4990.5"/>
    <n v="4990.5"/>
    <n v="4981.5"/>
    <n v="4983"/>
    <n v="6399892375"/>
    <n v="25680"/>
  </r>
  <r>
    <s v="DOLFUT"/>
    <x v="32"/>
    <x v="0"/>
    <n v="4994.5"/>
    <n v="4995.5"/>
    <n v="4991"/>
    <n v="4991"/>
    <n v="3127113250"/>
    <n v="12525"/>
  </r>
  <r>
    <s v="DOLFUT"/>
    <x v="32"/>
    <x v="1"/>
    <n v="4994.5"/>
    <n v="4995.5"/>
    <n v="4992"/>
    <n v="4994"/>
    <n v="2026269750"/>
    <n v="8115"/>
  </r>
  <r>
    <s v="DOLFUT"/>
    <x v="32"/>
    <x v="2"/>
    <n v="4993"/>
    <n v="4996"/>
    <n v="4993"/>
    <n v="4995"/>
    <n v="1439675875"/>
    <n v="5765"/>
  </r>
  <r>
    <s v="DOLFUT"/>
    <x v="32"/>
    <x v="3"/>
    <n v="4993"/>
    <n v="4995.5"/>
    <n v="4992.5"/>
    <n v="4993"/>
    <n v="1478081875"/>
    <n v="5920"/>
  </r>
  <r>
    <s v="DOLFUT"/>
    <x v="32"/>
    <x v="4"/>
    <n v="4991.5"/>
    <n v="4994.5"/>
    <n v="4988.5"/>
    <n v="4992.5"/>
    <n v="1544985625"/>
    <n v="6190"/>
  </r>
  <r>
    <s v="DOLFUT"/>
    <x v="32"/>
    <x v="5"/>
    <n v="4994.5"/>
    <n v="4997.5"/>
    <n v="4989.5"/>
    <n v="4991"/>
    <n v="3223082750"/>
    <n v="12910"/>
  </r>
  <r>
    <s v="DOLFUT"/>
    <x v="32"/>
    <x v="6"/>
    <n v="4993"/>
    <n v="4999.5"/>
    <n v="4992"/>
    <n v="4995"/>
    <n v="3528774750"/>
    <n v="14130"/>
  </r>
  <r>
    <s v="DOLFUT"/>
    <x v="32"/>
    <x v="7"/>
    <n v="4991.5"/>
    <n v="4997.5"/>
    <n v="4990.5"/>
    <n v="4994"/>
    <n v="3900752875"/>
    <n v="15620"/>
  </r>
  <r>
    <s v="DOLFUT"/>
    <x v="32"/>
    <x v="8"/>
    <n v="4985"/>
    <n v="4993.5"/>
    <n v="4984"/>
    <n v="4991"/>
    <n v="2072897750"/>
    <n v="8310"/>
  </r>
  <r>
    <s v="DOLFUT"/>
    <x v="32"/>
    <x v="9"/>
    <n v="4994.5"/>
    <n v="4999"/>
    <n v="4984.5"/>
    <n v="4985"/>
    <n v="1661372000"/>
    <n v="6655"/>
  </r>
  <r>
    <s v="DOLFUT"/>
    <x v="32"/>
    <x v="10"/>
    <n v="4995.5"/>
    <n v="4998"/>
    <n v="4991.5"/>
    <n v="4994"/>
    <n v="2158851875"/>
    <n v="8645"/>
  </r>
  <r>
    <s v="DOLFUT"/>
    <x v="32"/>
    <x v="11"/>
    <n v="4991"/>
    <n v="4997.5"/>
    <n v="4989.5"/>
    <n v="4996"/>
    <n v="1560423250"/>
    <n v="6250"/>
  </r>
  <r>
    <s v="DOLFUT"/>
    <x v="33"/>
    <x v="12"/>
    <n v="4991"/>
    <n v="4994"/>
    <n v="4990"/>
    <n v="4990"/>
    <n v="660131375"/>
    <n v="2645"/>
  </r>
  <r>
    <s v="DOLFUT"/>
    <x v="33"/>
    <x v="13"/>
    <n v="4991"/>
    <n v="4992"/>
    <n v="4989.5"/>
    <n v="4991"/>
    <n v="1185328000"/>
    <n v="4750"/>
  </r>
  <r>
    <s v="DOLFUT"/>
    <x v="33"/>
    <x v="14"/>
    <n v="4995.5"/>
    <n v="4998"/>
    <n v="4989.5"/>
    <n v="4991"/>
    <n v="3444605750"/>
    <n v="13800"/>
  </r>
  <r>
    <s v="DOLFUT"/>
    <x v="33"/>
    <x v="15"/>
    <n v="4995"/>
    <n v="4996"/>
    <n v="4992.5"/>
    <n v="4996"/>
    <n v="1126156125"/>
    <n v="4510"/>
  </r>
  <r>
    <s v="DOLFUT"/>
    <x v="33"/>
    <x v="16"/>
    <n v="4998.5"/>
    <n v="4999.5"/>
    <n v="4993"/>
    <n v="4995.5"/>
    <n v="1351277375"/>
    <n v="5410"/>
  </r>
  <r>
    <s v="DOLFUT"/>
    <x v="33"/>
    <x v="17"/>
    <n v="5001.5"/>
    <n v="5004"/>
    <n v="4997"/>
    <n v="4997.5"/>
    <n v="3943832000"/>
    <n v="15770"/>
  </r>
  <r>
    <s v="DOLFUT"/>
    <x v="33"/>
    <x v="18"/>
    <n v="4999"/>
    <n v="5003"/>
    <n v="4998.5"/>
    <n v="5001.5"/>
    <n v="2067828875"/>
    <n v="8270"/>
  </r>
  <r>
    <s v="DOLFUT"/>
    <x v="33"/>
    <x v="0"/>
    <n v="4999.5"/>
    <n v="5002.5"/>
    <n v="4999"/>
    <n v="4999"/>
    <n v="922647500"/>
    <n v="3690"/>
  </r>
  <r>
    <s v="DOLFUT"/>
    <x v="33"/>
    <x v="1"/>
    <n v="4997"/>
    <n v="5004.5"/>
    <n v="4997"/>
    <n v="5000"/>
    <n v="2970113000"/>
    <n v="11880"/>
  </r>
  <r>
    <s v="DOLFUT"/>
    <x v="33"/>
    <x v="2"/>
    <n v="4994.5"/>
    <n v="4998.5"/>
    <n v="4994"/>
    <n v="4997"/>
    <n v="998124625"/>
    <n v="3995"/>
  </r>
  <r>
    <s v="DOLFUT"/>
    <x v="33"/>
    <x v="3"/>
    <n v="4994"/>
    <n v="4996"/>
    <n v="4992"/>
    <n v="4995"/>
    <n v="1951239000"/>
    <n v="7815"/>
  </r>
  <r>
    <s v="DOLFUT"/>
    <x v="33"/>
    <x v="4"/>
    <n v="5000.5"/>
    <n v="5000.5"/>
    <n v="4992.5"/>
    <n v="4995"/>
    <n v="2530271500"/>
    <n v="10130"/>
  </r>
  <r>
    <s v="DOLFUT"/>
    <x v="33"/>
    <x v="5"/>
    <n v="4991"/>
    <n v="5004"/>
    <n v="4988"/>
    <n v="5000"/>
    <n v="4040484750"/>
    <n v="16170"/>
  </r>
  <r>
    <s v="DOLFUT"/>
    <x v="33"/>
    <x v="6"/>
    <n v="4978"/>
    <n v="4991.5"/>
    <n v="4977"/>
    <n v="4990.5"/>
    <n v="6232355375"/>
    <n v="25010"/>
  </r>
  <r>
    <s v="DOLFUT"/>
    <x v="33"/>
    <x v="7"/>
    <n v="4974.5"/>
    <n v="4980"/>
    <n v="4971"/>
    <n v="4977.5"/>
    <n v="4129617875"/>
    <n v="16600"/>
  </r>
  <r>
    <s v="DOLFUT"/>
    <x v="33"/>
    <x v="8"/>
    <n v="4976"/>
    <n v="4983"/>
    <n v="4973"/>
    <n v="4974.5"/>
    <n v="6691032250"/>
    <n v="26880"/>
  </r>
  <r>
    <s v="DOLFUT"/>
    <x v="33"/>
    <x v="9"/>
    <n v="4967"/>
    <n v="4978.5"/>
    <n v="4962.5"/>
    <n v="4976"/>
    <n v="11671947880"/>
    <n v="47005"/>
  </r>
  <r>
    <s v="DOLFUT"/>
    <x v="33"/>
    <x v="10"/>
    <n v="4975.5"/>
    <n v="4977.5"/>
    <n v="4965.5"/>
    <n v="4967"/>
    <n v="8536879125"/>
    <n v="34335"/>
  </r>
  <r>
    <s v="DOLFUT"/>
    <x v="33"/>
    <x v="11"/>
    <n v="4999.5"/>
    <n v="4999.5"/>
    <n v="4974"/>
    <n v="4976"/>
    <n v="6634950750"/>
    <n v="26625"/>
  </r>
  <r>
    <s v="DOLFUT"/>
    <x v="34"/>
    <x v="12"/>
    <n v="5006.5"/>
    <n v="5008"/>
    <n v="5004"/>
    <n v="5007"/>
    <n v="200241875"/>
    <n v="800"/>
  </r>
  <r>
    <s v="DOLFUT"/>
    <x v="34"/>
    <x v="13"/>
    <n v="5008"/>
    <n v="5008"/>
    <n v="5005"/>
    <n v="5005.5"/>
    <n v="723406250"/>
    <n v="2890"/>
  </r>
  <r>
    <s v="DOLFUT"/>
    <x v="34"/>
    <x v="14"/>
    <n v="5006"/>
    <n v="5008.5"/>
    <n v="5006"/>
    <n v="5008"/>
    <n v="1032768875"/>
    <n v="4125"/>
  </r>
  <r>
    <s v="DOLFUT"/>
    <x v="34"/>
    <x v="15"/>
    <n v="5006.5"/>
    <n v="5007"/>
    <n v="5004.5"/>
    <n v="5006.5"/>
    <n v="1844631500"/>
    <n v="7370"/>
  </r>
  <r>
    <s v="DOLFUT"/>
    <x v="34"/>
    <x v="16"/>
    <n v="5007"/>
    <n v="5007.5"/>
    <n v="5004"/>
    <n v="5007"/>
    <n v="3038637250"/>
    <n v="12140"/>
  </r>
  <r>
    <s v="DOLFUT"/>
    <x v="34"/>
    <x v="17"/>
    <n v="5008"/>
    <n v="5010"/>
    <n v="5005"/>
    <n v="5007.5"/>
    <n v="2333302250"/>
    <n v="9320"/>
  </r>
  <r>
    <s v="DOLFUT"/>
    <x v="34"/>
    <x v="18"/>
    <n v="5015.5"/>
    <n v="5016"/>
    <n v="5006"/>
    <n v="5008.5"/>
    <n v="3370174750"/>
    <n v="13450"/>
  </r>
  <r>
    <s v="DOLFUT"/>
    <x v="34"/>
    <x v="0"/>
    <n v="5018"/>
    <n v="5019.5"/>
    <n v="5015"/>
    <n v="5015"/>
    <n v="3958639000"/>
    <n v="15780"/>
  </r>
  <r>
    <s v="DOLFUT"/>
    <x v="34"/>
    <x v="1"/>
    <n v="5020"/>
    <n v="5024"/>
    <n v="5017.5"/>
    <n v="5018.5"/>
    <n v="2130436125"/>
    <n v="8485"/>
  </r>
  <r>
    <s v="DOLFUT"/>
    <x v="34"/>
    <x v="2"/>
    <n v="5014.5"/>
    <n v="5022"/>
    <n v="5014.5"/>
    <n v="5019.5"/>
    <n v="2780368375"/>
    <n v="11080"/>
  </r>
  <r>
    <s v="DOLFUT"/>
    <x v="34"/>
    <x v="3"/>
    <n v="5015.5"/>
    <n v="5016"/>
    <n v="5010.5"/>
    <n v="5014"/>
    <n v="2638715125"/>
    <n v="10525"/>
  </r>
  <r>
    <s v="DOLFUT"/>
    <x v="34"/>
    <x v="4"/>
    <n v="5023.5"/>
    <n v="5023.5"/>
    <n v="5015"/>
    <n v="5015.5"/>
    <n v="4831636125"/>
    <n v="19255"/>
  </r>
  <r>
    <s v="DOLFUT"/>
    <x v="34"/>
    <x v="5"/>
    <n v="5025.5"/>
    <n v="5026"/>
    <n v="5020"/>
    <n v="5023"/>
    <n v="2580505500"/>
    <n v="10275"/>
  </r>
  <r>
    <s v="DOLFUT"/>
    <x v="34"/>
    <x v="6"/>
    <n v="5020.5"/>
    <n v="5028.5"/>
    <n v="5017.5"/>
    <n v="5025.5"/>
    <n v="2950185375"/>
    <n v="11750"/>
  </r>
  <r>
    <s v="DOLFUT"/>
    <x v="34"/>
    <x v="7"/>
    <n v="5010.5"/>
    <n v="5022.5"/>
    <n v="5007.5"/>
    <n v="5020.5"/>
    <n v="3939585875"/>
    <n v="15710"/>
  </r>
  <r>
    <s v="DOLFUT"/>
    <x v="34"/>
    <x v="8"/>
    <n v="5006.5"/>
    <n v="5013.5"/>
    <n v="5001.5"/>
    <n v="5010"/>
    <n v="4057185500"/>
    <n v="16200"/>
  </r>
  <r>
    <s v="DOLFUT"/>
    <x v="34"/>
    <x v="9"/>
    <n v="5007.5"/>
    <n v="5009.5"/>
    <n v="5002.5"/>
    <n v="5006.5"/>
    <n v="3656512250"/>
    <n v="14610"/>
  </r>
  <r>
    <s v="DOLFUT"/>
    <x v="34"/>
    <x v="10"/>
    <n v="5006.5"/>
    <n v="5008"/>
    <n v="4999.5"/>
    <n v="5007.5"/>
    <n v="2754152875"/>
    <n v="11010"/>
  </r>
  <r>
    <s v="DOLFUT"/>
    <x v="34"/>
    <x v="11"/>
    <n v="5010"/>
    <n v="5010"/>
    <n v="4999.5"/>
    <n v="5006.5"/>
    <n v="1585786625"/>
    <n v="6335"/>
  </r>
  <r>
    <s v="DOLFUT"/>
    <x v="35"/>
    <x v="12"/>
    <n v="5008"/>
    <n v="5008.5"/>
    <n v="5004.5"/>
    <n v="5004.5"/>
    <n v="236553000"/>
    <n v="945"/>
  </r>
  <r>
    <s v="DOLFUT"/>
    <x v="35"/>
    <x v="13"/>
    <n v="5008"/>
    <n v="5008.5"/>
    <n v="5005.5"/>
    <n v="5008"/>
    <n v="1039043875"/>
    <n v="4150"/>
  </r>
  <r>
    <s v="DOLFUT"/>
    <x v="35"/>
    <x v="14"/>
    <n v="5006.5"/>
    <n v="5009.5"/>
    <n v="5006"/>
    <n v="5008"/>
    <n v="966506500"/>
    <n v="3860"/>
  </r>
  <r>
    <s v="DOLFUT"/>
    <x v="35"/>
    <x v="15"/>
    <n v="5007"/>
    <n v="5008"/>
    <n v="5003.5"/>
    <n v="5007"/>
    <n v="1547949625"/>
    <n v="6185"/>
  </r>
  <r>
    <s v="DOLFUT"/>
    <x v="35"/>
    <x v="16"/>
    <n v="5005"/>
    <n v="5008"/>
    <n v="5004.5"/>
    <n v="5006.5"/>
    <n v="1986357250"/>
    <n v="7935"/>
  </r>
  <r>
    <s v="DOLFUT"/>
    <x v="35"/>
    <x v="17"/>
    <n v="5008.5"/>
    <n v="5009"/>
    <n v="5004.5"/>
    <n v="5005"/>
    <n v="2203030625"/>
    <n v="8800"/>
  </r>
  <r>
    <s v="DOLFUT"/>
    <x v="35"/>
    <x v="18"/>
    <n v="5011"/>
    <n v="5013"/>
    <n v="5006"/>
    <n v="5009"/>
    <n v="3223036375"/>
    <n v="12870"/>
  </r>
  <r>
    <s v="DOLFUT"/>
    <x v="35"/>
    <x v="0"/>
    <n v="5010.5"/>
    <n v="5012.5"/>
    <n v="5008"/>
    <n v="5011"/>
    <n v="1946534750"/>
    <n v="7770"/>
  </r>
  <r>
    <s v="DOLFUT"/>
    <x v="35"/>
    <x v="1"/>
    <n v="5009.5"/>
    <n v="5013"/>
    <n v="5008"/>
    <n v="5010.5"/>
    <n v="1898636500"/>
    <n v="7580"/>
  </r>
  <r>
    <s v="DOLFUT"/>
    <x v="35"/>
    <x v="2"/>
    <n v="5007"/>
    <n v="5012.5"/>
    <n v="5006.5"/>
    <n v="5009"/>
    <n v="2771385375"/>
    <n v="11065"/>
  </r>
  <r>
    <s v="DOLFUT"/>
    <x v="35"/>
    <x v="3"/>
    <n v="5012"/>
    <n v="5012.5"/>
    <n v="5007"/>
    <n v="5007"/>
    <n v="1303773375"/>
    <n v="5205"/>
  </r>
  <r>
    <s v="DOLFUT"/>
    <x v="35"/>
    <x v="4"/>
    <n v="5009.5"/>
    <n v="5015"/>
    <n v="5008.5"/>
    <n v="5012"/>
    <n v="1585050500"/>
    <n v="6325"/>
  </r>
  <r>
    <s v="DOLFUT"/>
    <x v="35"/>
    <x v="5"/>
    <n v="5007.5"/>
    <n v="5009.5"/>
    <n v="5003.5"/>
    <n v="5009"/>
    <n v="4339960000"/>
    <n v="17335"/>
  </r>
  <r>
    <s v="DOLFUT"/>
    <x v="35"/>
    <x v="6"/>
    <n v="5003"/>
    <n v="5010.5"/>
    <n v="5003"/>
    <n v="5007.5"/>
    <n v="1875068125"/>
    <n v="7490"/>
  </r>
  <r>
    <s v="DOLFUT"/>
    <x v="35"/>
    <x v="7"/>
    <n v="5006.5"/>
    <n v="5009.5"/>
    <n v="5002.5"/>
    <n v="5003.5"/>
    <n v="2784385500"/>
    <n v="11125"/>
  </r>
  <r>
    <s v="DOLFUT"/>
    <x v="35"/>
    <x v="8"/>
    <n v="5000"/>
    <n v="5011"/>
    <n v="4999.5"/>
    <n v="5006"/>
    <n v="2126263000"/>
    <n v="8495"/>
  </r>
  <r>
    <s v="DOLFUT"/>
    <x v="35"/>
    <x v="9"/>
    <n v="5008"/>
    <n v="5009"/>
    <n v="4999"/>
    <n v="5000.5"/>
    <n v="3741195250"/>
    <n v="14950"/>
  </r>
  <r>
    <s v="DOLFUT"/>
    <x v="35"/>
    <x v="10"/>
    <n v="5014.5"/>
    <n v="5014.5"/>
    <n v="5003.5"/>
    <n v="5008"/>
    <n v="2108294625"/>
    <n v="8420"/>
  </r>
  <r>
    <s v="DOLFUT"/>
    <x v="35"/>
    <x v="11"/>
    <n v="5008.5"/>
    <n v="5016.5"/>
    <n v="5005"/>
    <n v="5014"/>
    <n v="1755580250"/>
    <n v="7005"/>
  </r>
  <r>
    <s v="DOLFUT"/>
    <x v="36"/>
    <x v="12"/>
    <n v="5005"/>
    <n v="5006.5"/>
    <n v="4999.5"/>
    <n v="5001.5"/>
    <n v="310257125"/>
    <n v="1240"/>
  </r>
  <r>
    <s v="DOLFUT"/>
    <x v="36"/>
    <x v="13"/>
    <n v="5009.5"/>
    <n v="5009.5"/>
    <n v="5002.5"/>
    <n v="5005"/>
    <n v="917356750"/>
    <n v="3665"/>
  </r>
  <r>
    <s v="DOLFUT"/>
    <x v="36"/>
    <x v="14"/>
    <n v="5009.5"/>
    <n v="5010.5"/>
    <n v="5007.5"/>
    <n v="5009.5"/>
    <n v="1635551750"/>
    <n v="6530"/>
  </r>
  <r>
    <s v="DOLFUT"/>
    <x v="36"/>
    <x v="15"/>
    <n v="5007"/>
    <n v="5010.5"/>
    <n v="5006.5"/>
    <n v="5009"/>
    <n v="991609500"/>
    <n v="3960"/>
  </r>
  <r>
    <s v="DOLFUT"/>
    <x v="36"/>
    <x v="16"/>
    <n v="5008"/>
    <n v="5009.5"/>
    <n v="5004.5"/>
    <n v="5006.5"/>
    <n v="2128187125"/>
    <n v="8500"/>
  </r>
  <r>
    <s v="DOLFUT"/>
    <x v="36"/>
    <x v="17"/>
    <n v="5010"/>
    <n v="5011"/>
    <n v="5007"/>
    <n v="5008"/>
    <n v="1694344125"/>
    <n v="6765"/>
  </r>
  <r>
    <s v="DOLFUT"/>
    <x v="36"/>
    <x v="18"/>
    <n v="5004"/>
    <n v="5012.5"/>
    <n v="5003.5"/>
    <n v="5010.5"/>
    <n v="3676677500"/>
    <n v="14685"/>
  </r>
  <r>
    <s v="DOLFUT"/>
    <x v="36"/>
    <x v="0"/>
    <n v="5002"/>
    <n v="5006.5"/>
    <n v="5001"/>
    <n v="5005"/>
    <n v="1399546125"/>
    <n v="5595"/>
  </r>
  <r>
    <s v="DOLFUT"/>
    <x v="36"/>
    <x v="1"/>
    <n v="5004"/>
    <n v="5006.5"/>
    <n v="5000.5"/>
    <n v="5002.5"/>
    <n v="1631243375"/>
    <n v="6520"/>
  </r>
  <r>
    <s v="DOLFUT"/>
    <x v="36"/>
    <x v="2"/>
    <n v="5003"/>
    <n v="5007"/>
    <n v="5002.5"/>
    <n v="5004"/>
    <n v="1412500750"/>
    <n v="5645"/>
  </r>
  <r>
    <s v="DOLFUT"/>
    <x v="36"/>
    <x v="3"/>
    <n v="5003.5"/>
    <n v="5006.5"/>
    <n v="5001.5"/>
    <n v="5003"/>
    <n v="4400448000"/>
    <n v="17590"/>
  </r>
  <r>
    <s v="DOLFUT"/>
    <x v="36"/>
    <x v="4"/>
    <n v="4994"/>
    <n v="5005"/>
    <n v="4993.5"/>
    <n v="5003.5"/>
    <n v="5587792875"/>
    <n v="22345"/>
  </r>
  <r>
    <s v="DOLFUT"/>
    <x v="36"/>
    <x v="5"/>
    <n v="4990.5"/>
    <n v="4998.5"/>
    <n v="4989"/>
    <n v="4995"/>
    <n v="9199994375"/>
    <n v="36850"/>
  </r>
  <r>
    <s v="DOLFUT"/>
    <x v="36"/>
    <x v="6"/>
    <n v="4998"/>
    <n v="4998.5"/>
    <n v="4989"/>
    <n v="4990.5"/>
    <n v="3047641375"/>
    <n v="12205"/>
  </r>
  <r>
    <s v="DOLFUT"/>
    <x v="36"/>
    <x v="7"/>
    <n v="4990.5"/>
    <n v="4999"/>
    <n v="4988"/>
    <n v="4997.5"/>
    <n v="5892113625"/>
    <n v="23600"/>
  </r>
  <r>
    <s v="DOLFUT"/>
    <x v="36"/>
    <x v="8"/>
    <n v="4998"/>
    <n v="5001.5"/>
    <n v="4988"/>
    <n v="4990.5"/>
    <n v="6265356750"/>
    <n v="25105"/>
  </r>
  <r>
    <s v="DOLFUT"/>
    <x v="36"/>
    <x v="9"/>
    <n v="4992.5"/>
    <n v="5001.5"/>
    <n v="4991.5"/>
    <n v="4998"/>
    <n v="2727605250"/>
    <n v="10920"/>
  </r>
  <r>
    <s v="DOLFUT"/>
    <x v="36"/>
    <x v="10"/>
    <n v="4999"/>
    <n v="5005"/>
    <n v="4992.5"/>
    <n v="4992.5"/>
    <n v="4884203875"/>
    <n v="19540"/>
  </r>
  <r>
    <s v="DOLFUT"/>
    <x v="36"/>
    <x v="11"/>
    <n v="4993"/>
    <n v="5008"/>
    <n v="4991"/>
    <n v="4999.5"/>
    <n v="3334469875"/>
    <n v="13340"/>
  </r>
  <r>
    <s v="DOLFUT"/>
    <x v="37"/>
    <x v="12"/>
    <n v="5015"/>
    <n v="5019.5"/>
    <n v="5012.5"/>
    <n v="5019"/>
    <n v="432631375"/>
    <n v="1725"/>
  </r>
  <r>
    <s v="DOLFUT"/>
    <x v="37"/>
    <x v="13"/>
    <n v="5019.5"/>
    <n v="5019.5"/>
    <n v="5014"/>
    <n v="5014.5"/>
    <n v="683372875"/>
    <n v="2725"/>
  </r>
  <r>
    <s v="DOLFUT"/>
    <x v="37"/>
    <x v="14"/>
    <n v="5016"/>
    <n v="5022"/>
    <n v="5014"/>
    <n v="5019.5"/>
    <n v="2609583500"/>
    <n v="10400"/>
  </r>
  <r>
    <s v="DOLFUT"/>
    <x v="37"/>
    <x v="15"/>
    <n v="5015"/>
    <n v="5018.5"/>
    <n v="5014"/>
    <n v="5016.5"/>
    <n v="3440470375"/>
    <n v="13720"/>
  </r>
  <r>
    <s v="DOLFUT"/>
    <x v="37"/>
    <x v="16"/>
    <n v="5016"/>
    <n v="5018.5"/>
    <n v="5013.5"/>
    <n v="5015.5"/>
    <n v="3141615000"/>
    <n v="12525"/>
  </r>
  <r>
    <s v="DOLFUT"/>
    <x v="37"/>
    <x v="17"/>
    <n v="5020"/>
    <n v="5021"/>
    <n v="5015"/>
    <n v="5016"/>
    <n v="2054921125"/>
    <n v="8190"/>
  </r>
  <r>
    <s v="DOLFUT"/>
    <x v="37"/>
    <x v="18"/>
    <n v="5013"/>
    <n v="5021.5"/>
    <n v="5011"/>
    <n v="5019.5"/>
    <n v="2757232500"/>
    <n v="10995"/>
  </r>
  <r>
    <s v="DOLFUT"/>
    <x v="37"/>
    <x v="0"/>
    <n v="5009"/>
    <n v="5014.5"/>
    <n v="5007.5"/>
    <n v="5013.5"/>
    <n v="1829141375"/>
    <n v="7300"/>
  </r>
  <r>
    <s v="DOLFUT"/>
    <x v="37"/>
    <x v="1"/>
    <n v="5013.5"/>
    <n v="5014.5"/>
    <n v="5002"/>
    <n v="5009"/>
    <n v="4466344000"/>
    <n v="17835"/>
  </r>
  <r>
    <s v="DOLFUT"/>
    <x v="37"/>
    <x v="2"/>
    <n v="5038"/>
    <n v="5038.5"/>
    <n v="5010.5"/>
    <n v="5013.5"/>
    <n v="6078288125"/>
    <n v="24210"/>
  </r>
  <r>
    <s v="DOLFUT"/>
    <x v="37"/>
    <x v="3"/>
    <n v="5041.5"/>
    <n v="5044"/>
    <n v="5034.5"/>
    <n v="5037.5"/>
    <n v="2137753000"/>
    <n v="8485"/>
  </r>
  <r>
    <s v="DOLFUT"/>
    <x v="37"/>
    <x v="4"/>
    <n v="5047"/>
    <n v="5049"/>
    <n v="5040.5"/>
    <n v="5041.5"/>
    <n v="2661866125"/>
    <n v="10555"/>
  </r>
  <r>
    <s v="DOLFUT"/>
    <x v="37"/>
    <x v="5"/>
    <n v="5044.5"/>
    <n v="5048.5"/>
    <n v="5042.5"/>
    <n v="5046.5"/>
    <n v="2473451375"/>
    <n v="9805"/>
  </r>
  <r>
    <s v="DOLFUT"/>
    <x v="37"/>
    <x v="6"/>
    <n v="5049"/>
    <n v="5053"/>
    <n v="5043"/>
    <n v="5044"/>
    <n v="3044007750"/>
    <n v="12060"/>
  </r>
  <r>
    <s v="DOLFUT"/>
    <x v="37"/>
    <x v="7"/>
    <n v="5047.5"/>
    <n v="5054"/>
    <n v="5045"/>
    <n v="5049.5"/>
    <n v="2880312750"/>
    <n v="11410"/>
  </r>
  <r>
    <s v="DOLFUT"/>
    <x v="37"/>
    <x v="8"/>
    <n v="5045.5"/>
    <n v="5055.5"/>
    <n v="5040.5"/>
    <n v="5047.5"/>
    <n v="4937075750"/>
    <n v="19560"/>
  </r>
  <r>
    <s v="DOLFUT"/>
    <x v="37"/>
    <x v="9"/>
    <n v="5043"/>
    <n v="5050.5"/>
    <n v="5038"/>
    <n v="5046.5"/>
    <n v="3523848750"/>
    <n v="13970"/>
  </r>
  <r>
    <s v="DOLFUT"/>
    <x v="37"/>
    <x v="10"/>
    <n v="5046.5"/>
    <n v="5055"/>
    <n v="5043.5"/>
    <n v="5043.5"/>
    <n v="2603103500"/>
    <n v="10310"/>
  </r>
  <r>
    <s v="DOLFUT"/>
    <x v="37"/>
    <x v="11"/>
    <n v="5048"/>
    <n v="5062.5"/>
    <n v="5037"/>
    <n v="5046.5"/>
    <n v="4030766250"/>
    <n v="15970"/>
  </r>
  <r>
    <s v="DOLFUT"/>
    <x v="38"/>
    <x v="12"/>
    <n v="5025"/>
    <n v="5033"/>
    <n v="5023"/>
    <n v="5033"/>
    <n v="334248875"/>
    <n v="1330"/>
  </r>
  <r>
    <s v="DOLFUT"/>
    <x v="38"/>
    <x v="13"/>
    <n v="5032.5"/>
    <n v="5032.5"/>
    <n v="5024"/>
    <n v="5025.5"/>
    <n v="1659327375"/>
    <n v="6600"/>
  </r>
  <r>
    <s v="DOLFUT"/>
    <x v="38"/>
    <x v="14"/>
    <n v="5031.5"/>
    <n v="5035"/>
    <n v="5031"/>
    <n v="5032.5"/>
    <n v="1518479375"/>
    <n v="6035"/>
  </r>
  <r>
    <s v="DOLFUT"/>
    <x v="38"/>
    <x v="15"/>
    <n v="5029"/>
    <n v="5032"/>
    <n v="5028"/>
    <n v="5031.5"/>
    <n v="3237794625"/>
    <n v="12875"/>
  </r>
  <r>
    <s v="DOLFUT"/>
    <x v="38"/>
    <x v="16"/>
    <n v="5032"/>
    <n v="5032.5"/>
    <n v="5025.5"/>
    <n v="5029"/>
    <n v="2866700750"/>
    <n v="11400"/>
  </r>
  <r>
    <s v="DOLFUT"/>
    <x v="38"/>
    <x v="17"/>
    <n v="5035"/>
    <n v="5036"/>
    <n v="5031"/>
    <n v="5032.5"/>
    <n v="3281642125"/>
    <n v="13040"/>
  </r>
  <r>
    <s v="DOLFUT"/>
    <x v="38"/>
    <x v="18"/>
    <n v="5045"/>
    <n v="5047.5"/>
    <n v="5034"/>
    <n v="5035"/>
    <n v="3530694250"/>
    <n v="14005"/>
  </r>
  <r>
    <s v="DOLFUT"/>
    <x v="38"/>
    <x v="0"/>
    <n v="5048.5"/>
    <n v="5049"/>
    <n v="5040"/>
    <n v="5045"/>
    <n v="3812202000"/>
    <n v="15120"/>
  </r>
  <r>
    <s v="DOLFUT"/>
    <x v="38"/>
    <x v="1"/>
    <n v="5046"/>
    <n v="5051"/>
    <n v="5046"/>
    <n v="5048"/>
    <n v="2281369000"/>
    <n v="9040"/>
  </r>
  <r>
    <s v="DOLFUT"/>
    <x v="38"/>
    <x v="2"/>
    <n v="5051"/>
    <n v="5053"/>
    <n v="5042.5"/>
    <n v="5046"/>
    <n v="1659558625"/>
    <n v="6575"/>
  </r>
  <r>
    <s v="DOLFUT"/>
    <x v="38"/>
    <x v="3"/>
    <n v="5047"/>
    <n v="5050.5"/>
    <n v="5043.5"/>
    <n v="5050.5"/>
    <n v="1596299500"/>
    <n v="6325"/>
  </r>
  <r>
    <s v="DOLFUT"/>
    <x v="38"/>
    <x v="4"/>
    <n v="5038.5"/>
    <n v="5050"/>
    <n v="5037.5"/>
    <n v="5047"/>
    <n v="5694118000"/>
    <n v="22570"/>
  </r>
  <r>
    <s v="DOLFUT"/>
    <x v="38"/>
    <x v="5"/>
    <n v="5044.5"/>
    <n v="5049"/>
    <n v="5035.5"/>
    <n v="5039"/>
    <n v="4998498000"/>
    <n v="19830"/>
  </r>
  <r>
    <s v="DOLFUT"/>
    <x v="38"/>
    <x v="6"/>
    <n v="5032"/>
    <n v="5050"/>
    <n v="5030"/>
    <n v="5044"/>
    <n v="9063762125"/>
    <n v="35960"/>
  </r>
  <r>
    <s v="DOLFUT"/>
    <x v="38"/>
    <x v="7"/>
    <n v="5041.5"/>
    <n v="5044"/>
    <n v="5028"/>
    <n v="5032"/>
    <n v="3809493250"/>
    <n v="15135"/>
  </r>
  <r>
    <s v="DOLFUT"/>
    <x v="38"/>
    <x v="8"/>
    <n v="5040.5"/>
    <n v="5044.5"/>
    <n v="5033"/>
    <n v="5041"/>
    <n v="3478201625"/>
    <n v="13805"/>
  </r>
  <r>
    <s v="DOLFUT"/>
    <x v="38"/>
    <x v="9"/>
    <n v="5048"/>
    <n v="5052.5"/>
    <n v="5040.5"/>
    <n v="5041"/>
    <n v="3855489375"/>
    <n v="15280"/>
  </r>
  <r>
    <s v="DOLFUT"/>
    <x v="38"/>
    <x v="10"/>
    <n v="5078"/>
    <n v="5079.5"/>
    <n v="5047.5"/>
    <n v="5048.5"/>
    <n v="8232706000"/>
    <n v="32550"/>
  </r>
  <r>
    <s v="DOLFUT"/>
    <x v="38"/>
    <x v="11"/>
    <n v="5089.5"/>
    <n v="5089.5"/>
    <n v="5071.5"/>
    <n v="5077"/>
    <n v="2798066375"/>
    <n v="11025"/>
  </r>
  <r>
    <s v="DOLFUT"/>
    <x v="39"/>
    <x v="12"/>
    <n v="5080.5"/>
    <n v="5086"/>
    <n v="5079.5"/>
    <n v="5082.5"/>
    <n v="668273625"/>
    <n v="2630"/>
  </r>
  <r>
    <s v="DOLFUT"/>
    <x v="39"/>
    <x v="13"/>
    <n v="5081.5"/>
    <n v="5084"/>
    <n v="5080"/>
    <n v="5080.5"/>
    <n v="1616109500"/>
    <n v="6360"/>
  </r>
  <r>
    <s v="DOLFUT"/>
    <x v="39"/>
    <x v="14"/>
    <n v="5085.5"/>
    <n v="5089"/>
    <n v="5082"/>
    <n v="5082"/>
    <n v="2071002750"/>
    <n v="8145"/>
  </r>
  <r>
    <s v="DOLFUT"/>
    <x v="39"/>
    <x v="15"/>
    <n v="5088.5"/>
    <n v="5089"/>
    <n v="5085"/>
    <n v="5086"/>
    <n v="1740957000"/>
    <n v="6845"/>
  </r>
  <r>
    <s v="DOLFUT"/>
    <x v="39"/>
    <x v="16"/>
    <n v="5092.5"/>
    <n v="5094"/>
    <n v="5086.5"/>
    <n v="5089"/>
    <n v="1524240125"/>
    <n v="5990"/>
  </r>
  <r>
    <s v="DOLFUT"/>
    <x v="39"/>
    <x v="17"/>
    <n v="5093"/>
    <n v="5096"/>
    <n v="5090.5"/>
    <n v="5092.5"/>
    <n v="2212927000"/>
    <n v="8690"/>
  </r>
  <r>
    <s v="DOLFUT"/>
    <x v="39"/>
    <x v="18"/>
    <n v="5086"/>
    <n v="5094.5"/>
    <n v="5085.5"/>
    <n v="5093"/>
    <n v="3940852875"/>
    <n v="15485"/>
  </r>
  <r>
    <s v="DOLFUT"/>
    <x v="39"/>
    <x v="0"/>
    <n v="5085.5"/>
    <n v="5089"/>
    <n v="5081.5"/>
    <n v="5086"/>
    <n v="8074063500"/>
    <n v="31760"/>
  </r>
  <r>
    <s v="DOLFUT"/>
    <x v="39"/>
    <x v="1"/>
    <n v="5096.5"/>
    <n v="5097.5"/>
    <n v="5085.5"/>
    <n v="5086"/>
    <n v="3737423500"/>
    <n v="14680"/>
  </r>
  <r>
    <s v="DOLFUT"/>
    <x v="39"/>
    <x v="2"/>
    <n v="5095"/>
    <n v="5097.5"/>
    <n v="5093"/>
    <n v="5097"/>
    <n v="1422880875"/>
    <n v="5585"/>
  </r>
  <r>
    <s v="DOLFUT"/>
    <x v="39"/>
    <x v="3"/>
    <n v="5094"/>
    <n v="5101.5"/>
    <n v="5090.5"/>
    <n v="5094.5"/>
    <n v="3220493125"/>
    <n v="12640"/>
  </r>
  <r>
    <s v="DOLFUT"/>
    <x v="39"/>
    <x v="4"/>
    <n v="5100"/>
    <n v="5101"/>
    <n v="5092.5"/>
    <n v="5093.5"/>
    <n v="1769143250"/>
    <n v="6945"/>
  </r>
  <r>
    <s v="DOLFUT"/>
    <x v="39"/>
    <x v="5"/>
    <n v="5106"/>
    <n v="5109.5"/>
    <n v="5096"/>
    <n v="5100.5"/>
    <n v="3160037250"/>
    <n v="12390"/>
  </r>
  <r>
    <s v="DOLFUT"/>
    <x v="39"/>
    <x v="6"/>
    <n v="5106.5"/>
    <n v="5112"/>
    <n v="5103"/>
    <n v="5106"/>
    <n v="3087095125"/>
    <n v="12090"/>
  </r>
  <r>
    <s v="DOLFUT"/>
    <x v="39"/>
    <x v="7"/>
    <n v="5102"/>
    <n v="5107.5"/>
    <n v="5096"/>
    <n v="5106.5"/>
    <n v="4493479125"/>
    <n v="17615"/>
  </r>
  <r>
    <s v="DOLFUT"/>
    <x v="39"/>
    <x v="8"/>
    <n v="5112.5"/>
    <n v="5113"/>
    <n v="5097.5"/>
    <n v="5102"/>
    <n v="3825156500"/>
    <n v="14990"/>
  </r>
  <r>
    <s v="DOLFUT"/>
    <x v="39"/>
    <x v="9"/>
    <n v="5118.5"/>
    <n v="5121"/>
    <n v="5109.5"/>
    <n v="5113"/>
    <n v="2978905875"/>
    <n v="11645"/>
  </r>
  <r>
    <s v="DOLFUT"/>
    <x v="39"/>
    <x v="10"/>
    <n v="5125"/>
    <n v="5129.5"/>
    <n v="5118"/>
    <n v="5119"/>
    <n v="5835668625"/>
    <n v="22780"/>
  </r>
  <r>
    <s v="DOLFUT"/>
    <x v="39"/>
    <x v="11"/>
    <n v="5120"/>
    <n v="5129.5"/>
    <n v="5118"/>
    <n v="5126"/>
    <n v="1835498750"/>
    <n v="7165"/>
  </r>
  <r>
    <s v="DOLFUT"/>
    <x v="40"/>
    <x v="12"/>
    <n v="5123"/>
    <n v="5125"/>
    <n v="5118"/>
    <n v="5122.5"/>
    <n v="1004110375"/>
    <n v="3920"/>
  </r>
  <r>
    <s v="DOLFUT"/>
    <x v="40"/>
    <x v="13"/>
    <n v="5123.5"/>
    <n v="5124"/>
    <n v="5117"/>
    <n v="5123.5"/>
    <n v="1149692875"/>
    <n v="4490"/>
  </r>
  <r>
    <s v="DOLFUT"/>
    <x v="40"/>
    <x v="14"/>
    <n v="5127.5"/>
    <n v="5128.5"/>
    <n v="5122.5"/>
    <n v="5123.5"/>
    <n v="1785086125"/>
    <n v="6965"/>
  </r>
  <r>
    <s v="DOLFUT"/>
    <x v="40"/>
    <x v="15"/>
    <n v="5135.5"/>
    <n v="5135.5"/>
    <n v="5126"/>
    <n v="5127"/>
    <n v="2234003750"/>
    <n v="8710"/>
  </r>
  <r>
    <s v="DOLFUT"/>
    <x v="40"/>
    <x v="16"/>
    <n v="5139.5"/>
    <n v="5143"/>
    <n v="5132.5"/>
    <n v="5135.5"/>
    <n v="2458947125"/>
    <n v="9575"/>
  </r>
  <r>
    <s v="DOLFUT"/>
    <x v="40"/>
    <x v="17"/>
    <n v="5133"/>
    <n v="5140"/>
    <n v="5129"/>
    <n v="5139.5"/>
    <n v="2995574000"/>
    <n v="11665"/>
  </r>
  <r>
    <s v="DOLFUT"/>
    <x v="40"/>
    <x v="18"/>
    <n v="5120.5"/>
    <n v="5134"/>
    <n v="5120"/>
    <n v="5133.5"/>
    <n v="5554387750"/>
    <n v="21670"/>
  </r>
  <r>
    <s v="DOLFUT"/>
    <x v="40"/>
    <x v="0"/>
    <n v="5122.5"/>
    <n v="5125"/>
    <n v="5118"/>
    <n v="5119"/>
    <n v="3627285625"/>
    <n v="14165"/>
  </r>
  <r>
    <s v="DOLFUT"/>
    <x v="40"/>
    <x v="1"/>
    <n v="5116.5"/>
    <n v="5125"/>
    <n v="5113.5"/>
    <n v="5122.5"/>
    <n v="2384021750"/>
    <n v="9315"/>
  </r>
  <r>
    <s v="DOLFUT"/>
    <x v="40"/>
    <x v="2"/>
    <n v="5125"/>
    <n v="5126"/>
    <n v="5116"/>
    <n v="5116"/>
    <n v="1305513375"/>
    <n v="5100"/>
  </r>
  <r>
    <s v="DOLFUT"/>
    <x v="40"/>
    <x v="3"/>
    <n v="5118"/>
    <n v="5126"/>
    <n v="5116"/>
    <n v="5125.5"/>
    <n v="1448946750"/>
    <n v="5660"/>
  </r>
  <r>
    <s v="DOLFUT"/>
    <x v="40"/>
    <x v="4"/>
    <n v="5125.5"/>
    <n v="5125.5"/>
    <n v="5115.5"/>
    <n v="5117.5"/>
    <n v="1518217125"/>
    <n v="5930"/>
  </r>
  <r>
    <s v="DOLFUT"/>
    <x v="40"/>
    <x v="5"/>
    <n v="5127"/>
    <n v="5130"/>
    <n v="5120.5"/>
    <n v="5125"/>
    <n v="3978542375"/>
    <n v="15525"/>
  </r>
  <r>
    <s v="DOLFUT"/>
    <x v="40"/>
    <x v="6"/>
    <n v="5123"/>
    <n v="5132.5"/>
    <n v="5121.5"/>
    <n v="5127"/>
    <n v="5910978750"/>
    <n v="23060"/>
  </r>
  <r>
    <s v="DOLFUT"/>
    <x v="40"/>
    <x v="7"/>
    <n v="5113"/>
    <n v="5123.5"/>
    <n v="5108.5"/>
    <n v="5123.5"/>
    <n v="4007590875"/>
    <n v="15670"/>
  </r>
  <r>
    <s v="DOLFUT"/>
    <x v="40"/>
    <x v="8"/>
    <n v="5099.5"/>
    <n v="5116"/>
    <n v="5097.5"/>
    <n v="5112.5"/>
    <n v="5535993125"/>
    <n v="21675"/>
  </r>
  <r>
    <s v="DOLFUT"/>
    <x v="40"/>
    <x v="9"/>
    <n v="5099.5"/>
    <n v="5103"/>
    <n v="5089"/>
    <n v="5100"/>
    <n v="7043632125"/>
    <n v="27640"/>
  </r>
  <r>
    <s v="DOLFUT"/>
    <x v="40"/>
    <x v="10"/>
    <n v="5116"/>
    <n v="5118"/>
    <n v="5098.5"/>
    <n v="5099"/>
    <n v="3858195000"/>
    <n v="15100"/>
  </r>
  <r>
    <s v="DOLFUT"/>
    <x v="40"/>
    <x v="11"/>
    <n v="5118"/>
    <n v="5125"/>
    <n v="5094.5"/>
    <n v="5116.5"/>
    <n v="8626484375"/>
    <n v="33735"/>
  </r>
  <r>
    <s v="DOLFUT"/>
    <x v="41"/>
    <x v="12"/>
    <n v="5179.5"/>
    <n v="5181"/>
    <n v="5175"/>
    <n v="5178.5"/>
    <n v="379321125"/>
    <n v="1465"/>
  </r>
  <r>
    <s v="DOLFUT"/>
    <x v="41"/>
    <x v="13"/>
    <n v="5178"/>
    <n v="5181.5"/>
    <n v="5175.5"/>
    <n v="5180"/>
    <n v="907662750"/>
    <n v="3505"/>
  </r>
  <r>
    <s v="DOLFUT"/>
    <x v="41"/>
    <x v="14"/>
    <n v="5180.5"/>
    <n v="5181"/>
    <n v="5175"/>
    <n v="5178"/>
    <n v="1377303875"/>
    <n v="5320"/>
  </r>
  <r>
    <s v="DOLFUT"/>
    <x v="41"/>
    <x v="15"/>
    <n v="5186.5"/>
    <n v="5189.5"/>
    <n v="5176.5"/>
    <n v="5180"/>
    <n v="2774727625"/>
    <n v="10710"/>
  </r>
  <r>
    <s v="DOLFUT"/>
    <x v="41"/>
    <x v="16"/>
    <n v="5194"/>
    <n v="5195"/>
    <n v="5183"/>
    <n v="5186.5"/>
    <n v="3124251125"/>
    <n v="12040"/>
  </r>
  <r>
    <s v="DOLFUT"/>
    <x v="41"/>
    <x v="17"/>
    <n v="5187.5"/>
    <n v="5195"/>
    <n v="5184"/>
    <n v="5194.5"/>
    <n v="3301026000"/>
    <n v="12725"/>
  </r>
  <r>
    <s v="DOLFUT"/>
    <x v="41"/>
    <x v="18"/>
    <n v="5187.5"/>
    <n v="5190"/>
    <n v="5185.5"/>
    <n v="5187.5"/>
    <n v="1431835625"/>
    <n v="5520"/>
  </r>
  <r>
    <s v="DOLFUT"/>
    <x v="41"/>
    <x v="0"/>
    <n v="5195"/>
    <n v="5195"/>
    <n v="5187"/>
    <n v="5187.5"/>
    <n v="3434622875"/>
    <n v="13235"/>
  </r>
  <r>
    <s v="DOLFUT"/>
    <x v="41"/>
    <x v="1"/>
    <n v="5198"/>
    <n v="5199"/>
    <n v="5192.5"/>
    <n v="5195.5"/>
    <n v="3205124000"/>
    <n v="12340"/>
  </r>
  <r>
    <s v="DOLFUT"/>
    <x v="41"/>
    <x v="2"/>
    <n v="5192"/>
    <n v="5198"/>
    <n v="5189.5"/>
    <n v="5197.5"/>
    <n v="1595716250"/>
    <n v="6145"/>
  </r>
  <r>
    <s v="DOLFUT"/>
    <x v="41"/>
    <x v="3"/>
    <n v="5186.5"/>
    <n v="5195"/>
    <n v="5180.5"/>
    <n v="5191"/>
    <n v="3000559000"/>
    <n v="11565"/>
  </r>
  <r>
    <s v="DOLFUT"/>
    <x v="41"/>
    <x v="4"/>
    <n v="5186"/>
    <n v="5191"/>
    <n v="5184.5"/>
    <n v="5187"/>
    <n v="1399460625"/>
    <n v="5395"/>
  </r>
  <r>
    <s v="DOLFUT"/>
    <x v="41"/>
    <x v="5"/>
    <n v="5189"/>
    <n v="5194.5"/>
    <n v="5182.5"/>
    <n v="5186.5"/>
    <n v="2407807500"/>
    <n v="9280"/>
  </r>
  <r>
    <s v="DOLFUT"/>
    <x v="41"/>
    <x v="6"/>
    <n v="5188.5"/>
    <n v="5191"/>
    <n v="5178"/>
    <n v="5188.5"/>
    <n v="3333611250"/>
    <n v="12860"/>
  </r>
  <r>
    <s v="DOLFUT"/>
    <x v="41"/>
    <x v="7"/>
    <n v="5193"/>
    <n v="5199"/>
    <n v="5188"/>
    <n v="5189"/>
    <n v="2726939000"/>
    <n v="10500"/>
  </r>
  <r>
    <s v="DOLFUT"/>
    <x v="41"/>
    <x v="8"/>
    <n v="5183.5"/>
    <n v="5194.5"/>
    <n v="5180"/>
    <n v="5193"/>
    <n v="3632597375"/>
    <n v="14005"/>
  </r>
  <r>
    <s v="DOLFUT"/>
    <x v="41"/>
    <x v="9"/>
    <n v="5183"/>
    <n v="5184.5"/>
    <n v="5179"/>
    <n v="5183.5"/>
    <n v="3214988375"/>
    <n v="12410"/>
  </r>
  <r>
    <s v="DOLFUT"/>
    <x v="41"/>
    <x v="10"/>
    <n v="5177"/>
    <n v="5186.5"/>
    <n v="5173"/>
    <n v="5182.5"/>
    <n v="2652465625"/>
    <n v="10240"/>
  </r>
  <r>
    <s v="DOLFUT"/>
    <x v="41"/>
    <x v="11"/>
    <n v="5168"/>
    <n v="5183.5"/>
    <n v="5161"/>
    <n v="5177.5"/>
    <n v="3658892000"/>
    <n v="14150"/>
  </r>
  <r>
    <s v="DOLFUT"/>
    <x v="42"/>
    <x v="12"/>
    <n v="5172"/>
    <n v="5173.5"/>
    <n v="5166.5"/>
    <n v="5167"/>
    <n v="793794500"/>
    <n v="3070"/>
  </r>
  <r>
    <s v="DOLFUT"/>
    <x v="42"/>
    <x v="13"/>
    <n v="5172.5"/>
    <n v="5173"/>
    <n v="5171"/>
    <n v="5172"/>
    <n v="294813625"/>
    <n v="1140"/>
  </r>
  <r>
    <s v="DOLFUT"/>
    <x v="42"/>
    <x v="14"/>
    <n v="5175"/>
    <n v="5175.5"/>
    <n v="5172"/>
    <n v="5173"/>
    <n v="1845909875"/>
    <n v="7135"/>
  </r>
  <r>
    <s v="DOLFUT"/>
    <x v="42"/>
    <x v="15"/>
    <n v="5176"/>
    <n v="5177"/>
    <n v="5173.5"/>
    <n v="5175"/>
    <n v="2495906750"/>
    <n v="9645"/>
  </r>
  <r>
    <s v="DOLFUT"/>
    <x v="42"/>
    <x v="16"/>
    <n v="5173"/>
    <n v="5177"/>
    <n v="5171"/>
    <n v="5176"/>
    <n v="1113887125"/>
    <n v="4305"/>
  </r>
  <r>
    <s v="DOLFUT"/>
    <x v="42"/>
    <x v="17"/>
    <n v="5172"/>
    <n v="5177"/>
    <n v="5171.5"/>
    <n v="5173.5"/>
    <n v="2231286000"/>
    <n v="8625"/>
  </r>
  <r>
    <s v="DOLFUT"/>
    <x v="42"/>
    <x v="18"/>
    <n v="5181"/>
    <n v="5182"/>
    <n v="5171.5"/>
    <n v="5172"/>
    <n v="5703597500"/>
    <n v="22040"/>
  </r>
  <r>
    <s v="DOLFUT"/>
    <x v="42"/>
    <x v="0"/>
    <n v="5178.5"/>
    <n v="5182.5"/>
    <n v="5177.5"/>
    <n v="5180.5"/>
    <n v="2034343250"/>
    <n v="7855"/>
  </r>
  <r>
    <s v="DOLFUT"/>
    <x v="42"/>
    <x v="1"/>
    <n v="5182"/>
    <n v="5188"/>
    <n v="5178"/>
    <n v="5178.5"/>
    <n v="4207116250"/>
    <n v="16235"/>
  </r>
  <r>
    <s v="DOLFUT"/>
    <x v="42"/>
    <x v="2"/>
    <n v="5182"/>
    <n v="5183.5"/>
    <n v="5179"/>
    <n v="5182"/>
    <n v="1461012375"/>
    <n v="5640"/>
  </r>
  <r>
    <s v="DOLFUT"/>
    <x v="42"/>
    <x v="3"/>
    <n v="5182"/>
    <n v="5182.5"/>
    <n v="5178"/>
    <n v="5182"/>
    <n v="1641006000"/>
    <n v="6335"/>
  </r>
  <r>
    <s v="DOLFUT"/>
    <x v="42"/>
    <x v="4"/>
    <n v="5181.5"/>
    <n v="5183.5"/>
    <n v="5178.5"/>
    <n v="5182"/>
    <n v="1111257750"/>
    <n v="4290"/>
  </r>
  <r>
    <s v="DOLFUT"/>
    <x v="42"/>
    <x v="5"/>
    <n v="5182"/>
    <n v="5187.5"/>
    <n v="5179.5"/>
    <n v="5181.5"/>
    <n v="2629239250"/>
    <n v="10145"/>
  </r>
  <r>
    <s v="DOLFUT"/>
    <x v="42"/>
    <x v="6"/>
    <n v="5170.5"/>
    <n v="5183.5"/>
    <n v="5167.5"/>
    <n v="5181.5"/>
    <n v="4515829125"/>
    <n v="17450"/>
  </r>
  <r>
    <s v="DOLFUT"/>
    <x v="42"/>
    <x v="7"/>
    <n v="5177.5"/>
    <n v="5183.5"/>
    <n v="5170.5"/>
    <n v="5170.5"/>
    <n v="2709211875"/>
    <n v="10465"/>
  </r>
  <r>
    <s v="DOLFUT"/>
    <x v="42"/>
    <x v="8"/>
    <n v="5177"/>
    <n v="5179.5"/>
    <n v="5172"/>
    <n v="5177.5"/>
    <n v="3201548125"/>
    <n v="12370"/>
  </r>
  <r>
    <s v="DOLFUT"/>
    <x v="42"/>
    <x v="9"/>
    <n v="5180.5"/>
    <n v="5187.5"/>
    <n v="5176"/>
    <n v="5178.5"/>
    <n v="5192839500"/>
    <n v="20045"/>
  </r>
  <r>
    <s v="DOLFUT"/>
    <x v="42"/>
    <x v="10"/>
    <n v="5181.5"/>
    <n v="5186"/>
    <n v="5177"/>
    <n v="5180"/>
    <n v="2822799000"/>
    <n v="10895"/>
  </r>
  <r>
    <s v="DOLFUT"/>
    <x v="42"/>
    <x v="11"/>
    <n v="5184.5"/>
    <n v="5187"/>
    <n v="5176.5"/>
    <n v="5181.5"/>
    <n v="2642632000"/>
    <n v="10200"/>
  </r>
  <r>
    <s v="DOLFUT"/>
    <x v="43"/>
    <x v="12"/>
    <n v="5187.5"/>
    <n v="5194"/>
    <n v="5186.5"/>
    <n v="5192"/>
    <n v="578649375"/>
    <n v="2230"/>
  </r>
  <r>
    <s v="DOLFUT"/>
    <x v="43"/>
    <x v="13"/>
    <n v="5188.5"/>
    <n v="5188.5"/>
    <n v="5185.5"/>
    <n v="5188"/>
    <n v="552435125"/>
    <n v="2130"/>
  </r>
  <r>
    <s v="DOLFUT"/>
    <x v="43"/>
    <x v="14"/>
    <n v="5189"/>
    <n v="5190"/>
    <n v="5187"/>
    <n v="5188.5"/>
    <n v="6713006250"/>
    <n v="25875"/>
  </r>
  <r>
    <s v="DOLFUT"/>
    <x v="43"/>
    <x v="15"/>
    <n v="5192"/>
    <n v="5194"/>
    <n v="5188"/>
    <n v="5188.5"/>
    <n v="1400548375"/>
    <n v="5395"/>
  </r>
  <r>
    <s v="DOLFUT"/>
    <x v="43"/>
    <x v="16"/>
    <n v="5189.5"/>
    <n v="5192.5"/>
    <n v="5185"/>
    <n v="5191.5"/>
    <n v="1799314625"/>
    <n v="6935"/>
  </r>
  <r>
    <s v="DOLFUT"/>
    <x v="43"/>
    <x v="17"/>
    <n v="5194"/>
    <n v="5196"/>
    <n v="5186"/>
    <n v="5189.5"/>
    <n v="3465979750"/>
    <n v="13355"/>
  </r>
  <r>
    <s v="DOLFUT"/>
    <x v="43"/>
    <x v="18"/>
    <n v="5191"/>
    <n v="5195"/>
    <n v="5185.5"/>
    <n v="5193.5"/>
    <n v="2140973375"/>
    <n v="8250"/>
  </r>
  <r>
    <s v="DOLFUT"/>
    <x v="43"/>
    <x v="0"/>
    <n v="5186"/>
    <n v="5192.5"/>
    <n v="5185"/>
    <n v="5191"/>
    <n v="2661020750"/>
    <n v="10255"/>
  </r>
  <r>
    <s v="DOLFUT"/>
    <x v="43"/>
    <x v="1"/>
    <n v="5192.5"/>
    <n v="5194.5"/>
    <n v="5184"/>
    <n v="5186"/>
    <n v="2004134625"/>
    <n v="7725"/>
  </r>
  <r>
    <s v="DOLFUT"/>
    <x v="43"/>
    <x v="2"/>
    <n v="5190"/>
    <n v="5192.5"/>
    <n v="5186.5"/>
    <n v="5191.5"/>
    <n v="1694034625"/>
    <n v="6530"/>
  </r>
  <r>
    <s v="DOLFUT"/>
    <x v="43"/>
    <x v="3"/>
    <n v="5189"/>
    <n v="5194"/>
    <n v="5188"/>
    <n v="5190"/>
    <n v="1166525625"/>
    <n v="4495"/>
  </r>
  <r>
    <s v="DOLFUT"/>
    <x v="43"/>
    <x v="4"/>
    <n v="5182"/>
    <n v="5190"/>
    <n v="5180"/>
    <n v="5190"/>
    <n v="2999426375"/>
    <n v="11570"/>
  </r>
  <r>
    <s v="DOLFUT"/>
    <x v="43"/>
    <x v="5"/>
    <n v="5187.5"/>
    <n v="5190.5"/>
    <n v="5180.5"/>
    <n v="5182.5"/>
    <n v="6460130500"/>
    <n v="24910"/>
  </r>
  <r>
    <s v="DOLFUT"/>
    <x v="43"/>
    <x v="6"/>
    <n v="5196"/>
    <n v="5196"/>
    <n v="5169.5"/>
    <n v="5187.5"/>
    <n v="7820157125"/>
    <n v="30185"/>
  </r>
  <r>
    <s v="DOLFUT"/>
    <x v="43"/>
    <x v="7"/>
    <n v="5190"/>
    <n v="5198"/>
    <n v="5189"/>
    <n v="5195.5"/>
    <n v="4626303375"/>
    <n v="17820"/>
  </r>
  <r>
    <s v="DOLFUT"/>
    <x v="43"/>
    <x v="8"/>
    <n v="5200.5"/>
    <n v="5202.5"/>
    <n v="5186"/>
    <n v="5190.5"/>
    <n v="4513117375"/>
    <n v="17380"/>
  </r>
  <r>
    <s v="DOLFUT"/>
    <x v="43"/>
    <x v="9"/>
    <n v="5207.5"/>
    <n v="5215"/>
    <n v="5198.5"/>
    <n v="5201"/>
    <n v="3166515750"/>
    <n v="12160"/>
  </r>
  <r>
    <s v="DOLFUT"/>
    <x v="43"/>
    <x v="10"/>
    <n v="5212.5"/>
    <n v="5212.5"/>
    <n v="5200.5"/>
    <n v="5208"/>
    <n v="3820594250"/>
    <n v="14675"/>
  </r>
  <r>
    <s v="DOLFUT"/>
    <x v="43"/>
    <x v="11"/>
    <n v="5220"/>
    <n v="5225"/>
    <n v="5209"/>
    <n v="5212"/>
    <n v="3642753750"/>
    <n v="13970"/>
  </r>
  <r>
    <s v="DOLFUT"/>
    <x v="44"/>
    <x v="12"/>
    <n v="5187"/>
    <n v="5188.5"/>
    <n v="5184.5"/>
    <n v="5188"/>
    <n v="180232500"/>
    <n v="695"/>
  </r>
  <r>
    <s v="DOLFUT"/>
    <x v="44"/>
    <x v="13"/>
    <n v="5184.5"/>
    <n v="5187.5"/>
    <n v="5184.5"/>
    <n v="5187"/>
    <n v="1394854750"/>
    <n v="5380"/>
  </r>
  <r>
    <s v="DOLFUT"/>
    <x v="44"/>
    <x v="14"/>
    <n v="5189"/>
    <n v="5189.5"/>
    <n v="5182"/>
    <n v="5184.5"/>
    <n v="1613918125"/>
    <n v="6225"/>
  </r>
  <r>
    <s v="DOLFUT"/>
    <x v="44"/>
    <x v="15"/>
    <n v="5189.5"/>
    <n v="5190.5"/>
    <n v="5185"/>
    <n v="5189.5"/>
    <n v="4748262500"/>
    <n v="18305"/>
  </r>
  <r>
    <s v="DOLFUT"/>
    <x v="44"/>
    <x v="16"/>
    <n v="5192"/>
    <n v="5196.5"/>
    <n v="5188.5"/>
    <n v="5189"/>
    <n v="2729363500"/>
    <n v="10515"/>
  </r>
  <r>
    <s v="DOLFUT"/>
    <x v="44"/>
    <x v="17"/>
    <n v="5194"/>
    <n v="5195"/>
    <n v="5185"/>
    <n v="5191.5"/>
    <n v="2731192750"/>
    <n v="10525"/>
  </r>
  <r>
    <s v="DOLFUT"/>
    <x v="44"/>
    <x v="18"/>
    <n v="5187.5"/>
    <n v="5196"/>
    <n v="5186.5"/>
    <n v="5194"/>
    <n v="6864078750"/>
    <n v="26440"/>
  </r>
  <r>
    <s v="DOLFUT"/>
    <x v="44"/>
    <x v="0"/>
    <n v="5185"/>
    <n v="5188"/>
    <n v="5183"/>
    <n v="5187"/>
    <n v="2160858750"/>
    <n v="8335"/>
  </r>
  <r>
    <s v="DOLFUT"/>
    <x v="44"/>
    <x v="1"/>
    <n v="5181"/>
    <n v="5185.5"/>
    <n v="5179.5"/>
    <n v="5185"/>
    <n v="1405788000"/>
    <n v="5425"/>
  </r>
  <r>
    <s v="DOLFUT"/>
    <x v="44"/>
    <x v="2"/>
    <n v="5187"/>
    <n v="5188.5"/>
    <n v="5180"/>
    <n v="5181.5"/>
    <n v="1820668250"/>
    <n v="7025"/>
  </r>
  <r>
    <s v="DOLFUT"/>
    <x v="44"/>
    <x v="3"/>
    <n v="5183"/>
    <n v="5189"/>
    <n v="5181.5"/>
    <n v="5186.5"/>
    <n v="2544741875"/>
    <n v="9815"/>
  </r>
  <r>
    <s v="DOLFUT"/>
    <x v="44"/>
    <x v="4"/>
    <n v="5190"/>
    <n v="5191.5"/>
    <n v="5182.5"/>
    <n v="5182.5"/>
    <n v="1997019750"/>
    <n v="7700"/>
  </r>
  <r>
    <s v="DOLFUT"/>
    <x v="44"/>
    <x v="5"/>
    <n v="5185"/>
    <n v="5190"/>
    <n v="5181"/>
    <n v="5189.5"/>
    <n v="4259806375"/>
    <n v="16430"/>
  </r>
  <r>
    <s v="DOLFUT"/>
    <x v="44"/>
    <x v="6"/>
    <n v="5191.5"/>
    <n v="5196"/>
    <n v="5183.5"/>
    <n v="5186"/>
    <n v="4144555625"/>
    <n v="15970"/>
  </r>
  <r>
    <s v="DOLFUT"/>
    <x v="44"/>
    <x v="7"/>
    <n v="5200.5"/>
    <n v="5206"/>
    <n v="5190"/>
    <n v="5192"/>
    <n v="4913922750"/>
    <n v="18905"/>
  </r>
  <r>
    <s v="DOLFUT"/>
    <x v="44"/>
    <x v="8"/>
    <n v="5201"/>
    <n v="5209"/>
    <n v="5193.5"/>
    <n v="5201"/>
    <n v="4431464375"/>
    <n v="17045"/>
  </r>
  <r>
    <s v="DOLFUT"/>
    <x v="44"/>
    <x v="9"/>
    <n v="5202.5"/>
    <n v="5207"/>
    <n v="5194.5"/>
    <n v="5201"/>
    <n v="5285793000"/>
    <n v="20325"/>
  </r>
  <r>
    <s v="DOLFUT"/>
    <x v="44"/>
    <x v="10"/>
    <n v="5193"/>
    <n v="5206"/>
    <n v="5182"/>
    <n v="5202"/>
    <n v="6186849375"/>
    <n v="23820"/>
  </r>
  <r>
    <s v="DOLFUT"/>
    <x v="44"/>
    <x v="11"/>
    <n v="5188"/>
    <n v="5196"/>
    <n v="5183"/>
    <n v="5193.5"/>
    <n v="4245975000"/>
    <n v="16360"/>
  </r>
  <r>
    <s v="DOLFUT"/>
    <x v="45"/>
    <x v="12"/>
    <n v="5214"/>
    <n v="5215"/>
    <n v="5208.5"/>
    <n v="5209.5"/>
    <n v="1415869000"/>
    <n v="5435"/>
  </r>
  <r>
    <s v="DOLFUT"/>
    <x v="45"/>
    <x v="13"/>
    <n v="5216"/>
    <n v="5217"/>
    <n v="5208.5"/>
    <n v="5214"/>
    <n v="694713500"/>
    <n v="2665"/>
  </r>
  <r>
    <s v="DOLFUT"/>
    <x v="45"/>
    <x v="14"/>
    <n v="5211"/>
    <n v="5216.5"/>
    <n v="5209"/>
    <n v="5216.5"/>
    <n v="2411974250"/>
    <n v="9255"/>
  </r>
  <r>
    <s v="DOLFUT"/>
    <x v="45"/>
    <x v="15"/>
    <n v="5222"/>
    <n v="5222"/>
    <n v="5210"/>
    <n v="5211"/>
    <n v="2996105500"/>
    <n v="11490"/>
  </r>
  <r>
    <s v="DOLFUT"/>
    <x v="45"/>
    <x v="16"/>
    <n v="5224"/>
    <n v="5225.5"/>
    <n v="5220.5"/>
    <n v="5222.5"/>
    <n v="4010261625"/>
    <n v="15355"/>
  </r>
  <r>
    <s v="DOLFUT"/>
    <x v="45"/>
    <x v="17"/>
    <n v="5221"/>
    <n v="5227"/>
    <n v="5217.5"/>
    <n v="5224.5"/>
    <n v="6622407375"/>
    <n v="25355"/>
  </r>
  <r>
    <s v="DOLFUT"/>
    <x v="45"/>
    <x v="18"/>
    <n v="5222.5"/>
    <n v="5223.5"/>
    <n v="5216"/>
    <n v="5220.5"/>
    <n v="6204849750"/>
    <n v="23775"/>
  </r>
  <r>
    <s v="DOLFUT"/>
    <x v="45"/>
    <x v="0"/>
    <n v="5219"/>
    <n v="5225"/>
    <n v="5214"/>
    <n v="5223"/>
    <n v="4350803375"/>
    <n v="16670"/>
  </r>
  <r>
    <s v="DOLFUT"/>
    <x v="45"/>
    <x v="1"/>
    <n v="5226.5"/>
    <n v="5228"/>
    <n v="5213"/>
    <n v="5219"/>
    <n v="4759590500"/>
    <n v="18235"/>
  </r>
  <r>
    <s v="DOLFUT"/>
    <x v="45"/>
    <x v="2"/>
    <n v="5244.5"/>
    <n v="5244.5"/>
    <n v="5217"/>
    <n v="5227.5"/>
    <n v="6386635250"/>
    <n v="24435"/>
  </r>
  <r>
    <s v="DOLFUT"/>
    <x v="45"/>
    <x v="3"/>
    <n v="5245"/>
    <n v="5247"/>
    <n v="5239.5"/>
    <n v="5243.5"/>
    <n v="6055997250"/>
    <n v="23100"/>
  </r>
  <r>
    <s v="DOLFUT"/>
    <x v="45"/>
    <x v="4"/>
    <n v="5244.5"/>
    <n v="5250"/>
    <n v="5241.5"/>
    <n v="5244.5"/>
    <n v="7211769125"/>
    <n v="27495"/>
  </r>
  <r>
    <s v="DOLFUT"/>
    <x v="45"/>
    <x v="5"/>
    <n v="5253.5"/>
    <n v="5255"/>
    <n v="5240.5"/>
    <n v="5244.5"/>
    <n v="5615885000"/>
    <n v="21400"/>
  </r>
  <r>
    <s v="DOLFUT"/>
    <x v="45"/>
    <x v="6"/>
    <n v="5237.5"/>
    <n v="5259.5"/>
    <n v="5230"/>
    <n v="5253.5"/>
    <n v="10036584380"/>
    <n v="38260"/>
  </r>
  <r>
    <s v="DOLFUT"/>
    <x v="45"/>
    <x v="7"/>
    <n v="5245.5"/>
    <n v="5247"/>
    <n v="5237"/>
    <n v="5238"/>
    <n v="13326665500"/>
    <n v="50860"/>
  </r>
  <r>
    <s v="DOLFUT"/>
    <x v="45"/>
    <x v="8"/>
    <n v="5261.5"/>
    <n v="5266.5"/>
    <n v="5245.5"/>
    <n v="5246.5"/>
    <n v="7944902500"/>
    <n v="30240"/>
  </r>
  <r>
    <s v="DOLFUT"/>
    <x v="45"/>
    <x v="9"/>
    <n v="5264.5"/>
    <n v="5268"/>
    <n v="5252"/>
    <n v="5261.5"/>
    <n v="6678669250"/>
    <n v="25390"/>
  </r>
  <r>
    <s v="DOLFUT"/>
    <x v="45"/>
    <x v="10"/>
    <n v="5259.5"/>
    <n v="5271.5"/>
    <n v="5252"/>
    <n v="5264.5"/>
    <n v="6301908875"/>
    <n v="23965"/>
  </r>
  <r>
    <s v="DOLFUT"/>
    <x v="45"/>
    <x v="11"/>
    <n v="5260"/>
    <n v="5269"/>
    <n v="5252.5"/>
    <n v="5260"/>
    <n v="7863567375"/>
    <n v="29900"/>
  </r>
  <r>
    <s v="DOLFUT"/>
    <x v="46"/>
    <x v="12"/>
    <n v="5254.5"/>
    <n v="5263"/>
    <n v="5252.5"/>
    <n v="5258"/>
    <n v="396805750"/>
    <n v="1510"/>
  </r>
  <r>
    <s v="DOLFUT"/>
    <x v="46"/>
    <x v="13"/>
    <n v="5254"/>
    <n v="5257.5"/>
    <n v="5249.5"/>
    <n v="5254.5"/>
    <n v="1547933000"/>
    <n v="5895"/>
  </r>
  <r>
    <s v="DOLFUT"/>
    <x v="46"/>
    <x v="14"/>
    <n v="5247.5"/>
    <n v="5254"/>
    <n v="5247.5"/>
    <n v="5253"/>
    <n v="1055385250"/>
    <n v="4020"/>
  </r>
  <r>
    <s v="DOLFUT"/>
    <x v="46"/>
    <x v="15"/>
    <n v="5262.5"/>
    <n v="5263"/>
    <n v="5247"/>
    <n v="5247.5"/>
    <n v="6113137625"/>
    <n v="23270"/>
  </r>
  <r>
    <s v="DOLFUT"/>
    <x v="46"/>
    <x v="16"/>
    <n v="5252"/>
    <n v="5268.5"/>
    <n v="5251.5"/>
    <n v="5262.5"/>
    <n v="2893498875"/>
    <n v="11005"/>
  </r>
  <r>
    <s v="DOLFUT"/>
    <x v="46"/>
    <x v="17"/>
    <n v="5254.5"/>
    <n v="5254.5"/>
    <n v="5249"/>
    <n v="5252"/>
    <n v="3369999500"/>
    <n v="12835"/>
  </r>
  <r>
    <s v="DOLFUT"/>
    <x v="46"/>
    <x v="18"/>
    <n v="5253"/>
    <n v="5258"/>
    <n v="5248"/>
    <n v="5255"/>
    <n v="3578065500"/>
    <n v="13625"/>
  </r>
  <r>
    <s v="DOLFUT"/>
    <x v="46"/>
    <x v="0"/>
    <n v="5256"/>
    <n v="5261.5"/>
    <n v="5244.5"/>
    <n v="5253"/>
    <n v="4424554125"/>
    <n v="16850"/>
  </r>
  <r>
    <s v="DOLFUT"/>
    <x v="46"/>
    <x v="1"/>
    <n v="5248.5"/>
    <n v="5259.5"/>
    <n v="5245.5"/>
    <n v="5256"/>
    <n v="1640307250"/>
    <n v="6245"/>
  </r>
  <r>
    <s v="DOLFUT"/>
    <x v="46"/>
    <x v="2"/>
    <n v="5249"/>
    <n v="5250.5"/>
    <n v="5244"/>
    <n v="5249"/>
    <n v="4225689375"/>
    <n v="16110"/>
  </r>
  <r>
    <s v="DOLFUT"/>
    <x v="46"/>
    <x v="3"/>
    <n v="5238"/>
    <n v="5248.5"/>
    <n v="5237"/>
    <n v="5248.5"/>
    <n v="4244312000"/>
    <n v="16190"/>
  </r>
  <r>
    <s v="DOLFUT"/>
    <x v="46"/>
    <x v="4"/>
    <n v="5245"/>
    <n v="5245.5"/>
    <n v="5235.5"/>
    <n v="5238.5"/>
    <n v="2825960500"/>
    <n v="10790"/>
  </r>
  <r>
    <s v="DOLFUT"/>
    <x v="46"/>
    <x v="5"/>
    <n v="5235"/>
    <n v="5250.5"/>
    <n v="5232.5"/>
    <n v="5245"/>
    <n v="4947382750"/>
    <n v="18875"/>
  </r>
  <r>
    <s v="DOLFUT"/>
    <x v="46"/>
    <x v="6"/>
    <n v="5249"/>
    <n v="5251"/>
    <n v="5234.5"/>
    <n v="5234.5"/>
    <n v="8405753000"/>
    <n v="32050"/>
  </r>
  <r>
    <s v="DOLFUT"/>
    <x v="46"/>
    <x v="7"/>
    <n v="5243.5"/>
    <n v="5252.5"/>
    <n v="5237.5"/>
    <n v="5249.5"/>
    <n v="4857374625"/>
    <n v="18530"/>
  </r>
  <r>
    <s v="DOLFUT"/>
    <x v="46"/>
    <x v="8"/>
    <n v="5237"/>
    <n v="5247.5"/>
    <n v="5231.5"/>
    <n v="5244"/>
    <n v="4833955875"/>
    <n v="18450"/>
  </r>
  <r>
    <s v="DOLFUT"/>
    <x v="46"/>
    <x v="9"/>
    <n v="5229"/>
    <n v="5236"/>
    <n v="5225"/>
    <n v="5236"/>
    <n v="4449628750"/>
    <n v="17015"/>
  </r>
  <r>
    <s v="DOLFUT"/>
    <x v="46"/>
    <x v="10"/>
    <n v="5241.5"/>
    <n v="5242"/>
    <n v="5226"/>
    <n v="5229"/>
    <n v="4122654750"/>
    <n v="15760"/>
  </r>
  <r>
    <s v="DOLFUT"/>
    <x v="46"/>
    <x v="11"/>
    <n v="5230"/>
    <n v="5252.5"/>
    <n v="5230"/>
    <n v="5241"/>
    <n v="2612660000"/>
    <n v="9965"/>
  </r>
  <r>
    <s v="DOLFUT"/>
    <x v="47"/>
    <x v="12"/>
    <n v="5241"/>
    <n v="5244.5"/>
    <n v="5240"/>
    <n v="5242"/>
    <n v="183497875"/>
    <n v="700"/>
  </r>
  <r>
    <s v="DOLFUT"/>
    <x v="47"/>
    <x v="13"/>
    <n v="5241.5"/>
    <n v="5247"/>
    <n v="5240.5"/>
    <n v="5240.5"/>
    <n v="1105089375"/>
    <n v="4215"/>
  </r>
  <r>
    <s v="DOLFUT"/>
    <x v="47"/>
    <x v="14"/>
    <n v="5240.5"/>
    <n v="5244.5"/>
    <n v="5236"/>
    <n v="5241.5"/>
    <n v="2047844500"/>
    <n v="7815"/>
  </r>
  <r>
    <s v="DOLFUT"/>
    <x v="47"/>
    <x v="15"/>
    <n v="5244.5"/>
    <n v="5250.5"/>
    <n v="5239.5"/>
    <n v="5240.5"/>
    <n v="1737671500"/>
    <n v="6625"/>
  </r>
  <r>
    <s v="DOLFUT"/>
    <x v="47"/>
    <x v="16"/>
    <n v="5247.5"/>
    <n v="5250"/>
    <n v="5241.5"/>
    <n v="5245.5"/>
    <n v="2230449875"/>
    <n v="8505"/>
  </r>
  <r>
    <s v="DOLFUT"/>
    <x v="47"/>
    <x v="17"/>
    <n v="5248.5"/>
    <n v="5250.5"/>
    <n v="5239.5"/>
    <n v="5247"/>
    <n v="2758711125"/>
    <n v="10520"/>
  </r>
  <r>
    <s v="DOLFUT"/>
    <x v="47"/>
    <x v="18"/>
    <n v="5249.5"/>
    <n v="5255.5"/>
    <n v="5246"/>
    <n v="5249"/>
    <n v="3006150000"/>
    <n v="11450"/>
  </r>
  <r>
    <s v="DOLFUT"/>
    <x v="47"/>
    <x v="0"/>
    <n v="5254.5"/>
    <n v="5254.5"/>
    <n v="5243.5"/>
    <n v="5249.5"/>
    <n v="5494655375"/>
    <n v="20940"/>
  </r>
  <r>
    <s v="DOLFUT"/>
    <x v="47"/>
    <x v="1"/>
    <n v="5240"/>
    <n v="5255.5"/>
    <n v="5239"/>
    <n v="5254.5"/>
    <n v="2252869625"/>
    <n v="8585"/>
  </r>
  <r>
    <s v="DOLFUT"/>
    <x v="47"/>
    <x v="2"/>
    <n v="5239"/>
    <n v="5247"/>
    <n v="5235.5"/>
    <n v="5239.5"/>
    <n v="3124979625"/>
    <n v="11930"/>
  </r>
  <r>
    <s v="DOLFUT"/>
    <x v="47"/>
    <x v="3"/>
    <n v="5234.5"/>
    <n v="5242"/>
    <n v="5229.5"/>
    <n v="5239"/>
    <n v="3223284625"/>
    <n v="12315"/>
  </r>
  <r>
    <s v="DOLFUT"/>
    <x v="47"/>
    <x v="4"/>
    <n v="5227"/>
    <n v="5236.5"/>
    <n v="5223"/>
    <n v="5234.5"/>
    <n v="3635827375"/>
    <n v="13905"/>
  </r>
  <r>
    <s v="DOLFUT"/>
    <x v="47"/>
    <x v="5"/>
    <n v="5235.5"/>
    <n v="5236"/>
    <n v="5220"/>
    <n v="5227.5"/>
    <n v="10029390500"/>
    <n v="38380"/>
  </r>
  <r>
    <s v="DOLFUT"/>
    <x v="47"/>
    <x v="6"/>
    <n v="5244"/>
    <n v="5249.5"/>
    <n v="5233.5"/>
    <n v="5236"/>
    <n v="3325924000"/>
    <n v="12690"/>
  </r>
  <r>
    <s v="DOLFUT"/>
    <x v="47"/>
    <x v="7"/>
    <n v="5245.5"/>
    <n v="5248"/>
    <n v="5238.5"/>
    <n v="5243.5"/>
    <n v="4017828125"/>
    <n v="15325"/>
  </r>
  <r>
    <s v="DOLFUT"/>
    <x v="47"/>
    <x v="8"/>
    <n v="5258.5"/>
    <n v="5264"/>
    <n v="5235"/>
    <n v="5246"/>
    <n v="5202369375"/>
    <n v="19825"/>
  </r>
  <r>
    <s v="DOLFUT"/>
    <x v="47"/>
    <x v="9"/>
    <n v="5252"/>
    <n v="5262"/>
    <n v="5252"/>
    <n v="5260.5"/>
    <n v="4419025250"/>
    <n v="16810"/>
  </r>
  <r>
    <s v="DOLFUT"/>
    <x v="47"/>
    <x v="10"/>
    <n v="5264.5"/>
    <n v="5270"/>
    <n v="5249"/>
    <n v="5252"/>
    <n v="5147635125"/>
    <n v="19565"/>
  </r>
  <r>
    <s v="DOLFUT"/>
    <x v="47"/>
    <x v="11"/>
    <n v="5264"/>
    <n v="5282"/>
    <n v="5263.5"/>
    <n v="5265"/>
    <n v="3034810625"/>
    <n v="11515"/>
  </r>
  <r>
    <s v="DOLFUT"/>
    <x v="48"/>
    <x v="12"/>
    <n v="5245.5"/>
    <n v="5245.5"/>
    <n v="5241"/>
    <n v="5244"/>
    <n v="264765500"/>
    <n v="1010"/>
  </r>
  <r>
    <s v="DOLFUT"/>
    <x v="48"/>
    <x v="13"/>
    <n v="5251.5"/>
    <n v="5253.5"/>
    <n v="5243"/>
    <n v="5245"/>
    <n v="1536091125"/>
    <n v="5855"/>
  </r>
  <r>
    <s v="DOLFUT"/>
    <x v="48"/>
    <x v="14"/>
    <n v="5261"/>
    <n v="5265.5"/>
    <n v="5228"/>
    <n v="5251"/>
    <n v="5078201000"/>
    <n v="19350"/>
  </r>
  <r>
    <s v="DOLFUT"/>
    <x v="48"/>
    <x v="15"/>
    <n v="5250"/>
    <n v="5261"/>
    <n v="5249"/>
    <n v="5261"/>
    <n v="4447204375"/>
    <n v="16930"/>
  </r>
  <r>
    <s v="DOLFUT"/>
    <x v="48"/>
    <x v="16"/>
    <n v="5241"/>
    <n v="5255"/>
    <n v="5241"/>
    <n v="5250"/>
    <n v="4803679625"/>
    <n v="18310"/>
  </r>
  <r>
    <s v="DOLFUT"/>
    <x v="48"/>
    <x v="17"/>
    <n v="5246"/>
    <n v="5246.5"/>
    <n v="5238.5"/>
    <n v="5241"/>
    <n v="2300175625"/>
    <n v="8775"/>
  </r>
  <r>
    <s v="DOLFUT"/>
    <x v="48"/>
    <x v="18"/>
    <n v="5255.5"/>
    <n v="5255.5"/>
    <n v="5244"/>
    <n v="5245.5"/>
    <n v="4021220375"/>
    <n v="15320"/>
  </r>
  <r>
    <s v="DOLFUT"/>
    <x v="48"/>
    <x v="0"/>
    <n v="5250"/>
    <n v="5258.5"/>
    <n v="5247.5"/>
    <n v="5255.5"/>
    <n v="4680765375"/>
    <n v="17825"/>
  </r>
  <r>
    <s v="DOLFUT"/>
    <x v="48"/>
    <x v="1"/>
    <n v="5252"/>
    <n v="5253"/>
    <n v="5246"/>
    <n v="5250"/>
    <n v="2531442625"/>
    <n v="9645"/>
  </r>
  <r>
    <s v="DOLFUT"/>
    <x v="48"/>
    <x v="2"/>
    <n v="5244"/>
    <n v="5254.5"/>
    <n v="5243.5"/>
    <n v="5252"/>
    <n v="2530144875"/>
    <n v="9640"/>
  </r>
  <r>
    <s v="DOLFUT"/>
    <x v="48"/>
    <x v="3"/>
    <n v="5235"/>
    <n v="5245"/>
    <n v="5234.5"/>
    <n v="5243.5"/>
    <n v="1997101375"/>
    <n v="7625"/>
  </r>
  <r>
    <s v="DOLFUT"/>
    <x v="48"/>
    <x v="4"/>
    <n v="5238"/>
    <n v="5241"/>
    <n v="5234.5"/>
    <n v="5235.5"/>
    <n v="1454714250"/>
    <n v="5555"/>
  </r>
  <r>
    <s v="DOLFUT"/>
    <x v="48"/>
    <x v="5"/>
    <n v="5237.5"/>
    <n v="5242.5"/>
    <n v="5233"/>
    <n v="5237.5"/>
    <n v="3748149500"/>
    <n v="14315"/>
  </r>
  <r>
    <s v="DOLFUT"/>
    <x v="48"/>
    <x v="6"/>
    <n v="5231.5"/>
    <n v="5243.5"/>
    <n v="5227"/>
    <n v="5238"/>
    <n v="4336729500"/>
    <n v="16565"/>
  </r>
  <r>
    <s v="DOLFUT"/>
    <x v="48"/>
    <x v="7"/>
    <n v="5225.5"/>
    <n v="5239.5"/>
    <n v="5224"/>
    <n v="5232"/>
    <n v="4292327375"/>
    <n v="16415"/>
  </r>
  <r>
    <s v="DOLFUT"/>
    <x v="48"/>
    <x v="8"/>
    <n v="5236.5"/>
    <n v="5243"/>
    <n v="5225"/>
    <n v="5225.5"/>
    <n v="4672037500"/>
    <n v="17860"/>
  </r>
  <r>
    <s v="DOLFUT"/>
    <x v="48"/>
    <x v="9"/>
    <n v="5243"/>
    <n v="5245.5"/>
    <n v="5235.5"/>
    <n v="5236.5"/>
    <n v="7684943750"/>
    <n v="29335"/>
  </r>
  <r>
    <s v="DOLFUT"/>
    <x v="48"/>
    <x v="10"/>
    <n v="5260"/>
    <n v="5262.5"/>
    <n v="5242"/>
    <n v="5243.5"/>
    <n v="3588336625"/>
    <n v="13655"/>
  </r>
  <r>
    <s v="DOLFUT"/>
    <x v="48"/>
    <x v="11"/>
    <n v="5255.5"/>
    <n v="5269"/>
    <n v="5248"/>
    <n v="5259"/>
    <n v="3411214500"/>
    <n v="12975"/>
  </r>
  <r>
    <s v="DOLFUT"/>
    <x v="49"/>
    <x v="12"/>
    <n v="5234"/>
    <n v="5237"/>
    <n v="5232.5"/>
    <n v="5232.5"/>
    <n v="157044375"/>
    <n v="600"/>
  </r>
  <r>
    <s v="DOLFUT"/>
    <x v="49"/>
    <x v="13"/>
    <n v="5223.5"/>
    <n v="5235"/>
    <n v="5222"/>
    <n v="5233.5"/>
    <n v="1140210500"/>
    <n v="4360"/>
  </r>
  <r>
    <s v="DOLFUT"/>
    <x v="49"/>
    <x v="14"/>
    <n v="5225.5"/>
    <n v="5227"/>
    <n v="5221"/>
    <n v="5223.5"/>
    <n v="1543547500"/>
    <n v="5910"/>
  </r>
  <r>
    <s v="DOLFUT"/>
    <x v="49"/>
    <x v="15"/>
    <n v="5226"/>
    <n v="5233.5"/>
    <n v="5225"/>
    <n v="5225.5"/>
    <n v="4090307625"/>
    <n v="15645"/>
  </r>
  <r>
    <s v="DOLFUT"/>
    <x v="49"/>
    <x v="16"/>
    <n v="5224.5"/>
    <n v="5232.5"/>
    <n v="5224"/>
    <n v="5226.5"/>
    <n v="2242454250"/>
    <n v="8580"/>
  </r>
  <r>
    <s v="DOLFUT"/>
    <x v="49"/>
    <x v="17"/>
    <n v="5216"/>
    <n v="5234"/>
    <n v="5214.5"/>
    <n v="5224"/>
    <n v="6309331875"/>
    <n v="24170"/>
  </r>
  <r>
    <s v="DOLFUT"/>
    <x v="49"/>
    <x v="18"/>
    <n v="5219"/>
    <n v="5219.5"/>
    <n v="5210"/>
    <n v="5215.5"/>
    <n v="2896239125"/>
    <n v="11110"/>
  </r>
  <r>
    <s v="DOLFUT"/>
    <x v="49"/>
    <x v="0"/>
    <n v="5220.5"/>
    <n v="5222"/>
    <n v="5212.5"/>
    <n v="5218"/>
    <n v="4312188125"/>
    <n v="16535"/>
  </r>
  <r>
    <s v="DOLFUT"/>
    <x v="49"/>
    <x v="1"/>
    <n v="5222.5"/>
    <n v="5230"/>
    <n v="5218.5"/>
    <n v="5220"/>
    <n v="2101519125"/>
    <n v="8045"/>
  </r>
  <r>
    <s v="DOLFUT"/>
    <x v="49"/>
    <x v="2"/>
    <n v="5224"/>
    <n v="5225"/>
    <n v="5217"/>
    <n v="5223"/>
    <n v="2363996125"/>
    <n v="9055"/>
  </r>
  <r>
    <s v="DOLFUT"/>
    <x v="49"/>
    <x v="3"/>
    <n v="5225.5"/>
    <n v="5234"/>
    <n v="5220"/>
    <n v="5224"/>
    <n v="2646533625"/>
    <n v="10125"/>
  </r>
  <r>
    <s v="DOLFUT"/>
    <x v="49"/>
    <x v="4"/>
    <n v="5228.5"/>
    <n v="5235"/>
    <n v="5225.5"/>
    <n v="5226"/>
    <n v="2192741625"/>
    <n v="8385"/>
  </r>
  <r>
    <s v="DOLFUT"/>
    <x v="49"/>
    <x v="5"/>
    <n v="5216.5"/>
    <n v="5237"/>
    <n v="5215"/>
    <n v="5229"/>
    <n v="3393278625"/>
    <n v="12985"/>
  </r>
  <r>
    <s v="DOLFUT"/>
    <x v="49"/>
    <x v="6"/>
    <n v="5231.5"/>
    <n v="5232.5"/>
    <n v="5213"/>
    <n v="5216.5"/>
    <n v="5470951875"/>
    <n v="20940"/>
  </r>
  <r>
    <s v="DOLFUT"/>
    <x v="49"/>
    <x v="7"/>
    <n v="5249.5"/>
    <n v="5254"/>
    <n v="5227.5"/>
    <n v="5232.5"/>
    <n v="4928160000"/>
    <n v="18805"/>
  </r>
  <r>
    <s v="DOLFUT"/>
    <x v="49"/>
    <x v="8"/>
    <n v="5238.5"/>
    <n v="5254"/>
    <n v="5231.5"/>
    <n v="5249.5"/>
    <n v="4215701375"/>
    <n v="16080"/>
  </r>
  <r>
    <s v="DOLFUT"/>
    <x v="49"/>
    <x v="9"/>
    <n v="5236"/>
    <n v="5247"/>
    <n v="5232.5"/>
    <n v="5239.5"/>
    <n v="4389602625"/>
    <n v="16755"/>
  </r>
  <r>
    <s v="DOLFUT"/>
    <x v="49"/>
    <x v="10"/>
    <n v="5240.5"/>
    <n v="5250.5"/>
    <n v="5235.5"/>
    <n v="5236.5"/>
    <n v="3308133750"/>
    <n v="12620"/>
  </r>
  <r>
    <s v="DOLFUT"/>
    <x v="49"/>
    <x v="11"/>
    <n v="5222.5"/>
    <n v="5246.5"/>
    <n v="5219.5"/>
    <n v="5240"/>
    <n v="4043466250"/>
    <n v="15460"/>
  </r>
  <r>
    <s v="DOLFUT"/>
    <x v="50"/>
    <x v="12"/>
    <n v="5240.5"/>
    <n v="5244.5"/>
    <n v="5239.5"/>
    <n v="5242.5"/>
    <n v="300056125"/>
    <n v="1145"/>
  </r>
  <r>
    <s v="DOLFUT"/>
    <x v="50"/>
    <x v="13"/>
    <n v="5240.5"/>
    <n v="5244"/>
    <n v="5220.5"/>
    <n v="5242"/>
    <n v="2569964375"/>
    <n v="9820"/>
  </r>
  <r>
    <s v="DOLFUT"/>
    <x v="50"/>
    <x v="14"/>
    <n v="5262"/>
    <n v="5263"/>
    <n v="5229.5"/>
    <n v="5239"/>
    <n v="2928630750"/>
    <n v="11165"/>
  </r>
  <r>
    <s v="DOLFUT"/>
    <x v="50"/>
    <x v="15"/>
    <n v="5264"/>
    <n v="5267.5"/>
    <n v="5262.5"/>
    <n v="5262.5"/>
    <n v="5537835375"/>
    <n v="21035"/>
  </r>
  <r>
    <s v="DOLFUT"/>
    <x v="50"/>
    <x v="16"/>
    <n v="5268.5"/>
    <n v="5268.5"/>
    <n v="5258.5"/>
    <n v="5264"/>
    <n v="2090532125"/>
    <n v="7945"/>
  </r>
  <r>
    <s v="DOLFUT"/>
    <x v="50"/>
    <x v="17"/>
    <n v="5266.5"/>
    <n v="5274"/>
    <n v="5261.5"/>
    <n v="5269.5"/>
    <n v="3599766500"/>
    <n v="13665"/>
  </r>
  <r>
    <s v="DOLFUT"/>
    <x v="50"/>
    <x v="18"/>
    <n v="5274.5"/>
    <n v="5279.5"/>
    <n v="5266"/>
    <n v="5266"/>
    <n v="5480446000"/>
    <n v="20785"/>
  </r>
  <r>
    <s v="DOLFUT"/>
    <x v="50"/>
    <x v="0"/>
    <n v="5280"/>
    <n v="5286.5"/>
    <n v="5267.5"/>
    <n v="5274.5"/>
    <n v="7023097625"/>
    <n v="26610"/>
  </r>
  <r>
    <s v="DOLFUT"/>
    <x v="50"/>
    <x v="1"/>
    <n v="5268"/>
    <n v="5283.5"/>
    <n v="5267.5"/>
    <n v="5279.5"/>
    <n v="5854737875"/>
    <n v="22195"/>
  </r>
  <r>
    <s v="DOLFUT"/>
    <x v="50"/>
    <x v="2"/>
    <n v="5263"/>
    <n v="5270"/>
    <n v="5259.5"/>
    <n v="5268.5"/>
    <n v="3728736125"/>
    <n v="14165"/>
  </r>
  <r>
    <s v="DOLFUT"/>
    <x v="50"/>
    <x v="3"/>
    <n v="5275"/>
    <n v="5277.5"/>
    <n v="5260.5"/>
    <n v="5263"/>
    <n v="2971323125"/>
    <n v="11280"/>
  </r>
  <r>
    <s v="DOLFUT"/>
    <x v="50"/>
    <x v="4"/>
    <n v="5260"/>
    <n v="5274.5"/>
    <n v="5257"/>
    <n v="5274.5"/>
    <n v="3885226875"/>
    <n v="14760"/>
  </r>
  <r>
    <s v="DOLFUT"/>
    <x v="50"/>
    <x v="5"/>
    <n v="5269"/>
    <n v="5271.5"/>
    <n v="5251"/>
    <n v="5261"/>
    <n v="3520148250"/>
    <n v="13380"/>
  </r>
  <r>
    <s v="DOLFUT"/>
    <x v="50"/>
    <x v="6"/>
    <n v="5261.5"/>
    <n v="5280"/>
    <n v="5259.5"/>
    <n v="5269.5"/>
    <n v="6324738250"/>
    <n v="24005"/>
  </r>
  <r>
    <s v="DOLFUT"/>
    <x v="50"/>
    <x v="7"/>
    <n v="5267"/>
    <n v="5268"/>
    <n v="5255"/>
    <n v="5261"/>
    <n v="4366879250"/>
    <n v="16600"/>
  </r>
  <r>
    <s v="DOLFUT"/>
    <x v="50"/>
    <x v="8"/>
    <n v="5285.5"/>
    <n v="5286"/>
    <n v="5266.5"/>
    <n v="5267"/>
    <n v="4673611750"/>
    <n v="17715"/>
  </r>
  <r>
    <s v="DOLFUT"/>
    <x v="50"/>
    <x v="9"/>
    <n v="5274"/>
    <n v="5285.5"/>
    <n v="5260.5"/>
    <n v="5285"/>
    <n v="5065366375"/>
    <n v="19215"/>
  </r>
  <r>
    <s v="DOLFUT"/>
    <x v="50"/>
    <x v="10"/>
    <n v="5268"/>
    <n v="5287.5"/>
    <n v="5267"/>
    <n v="5274"/>
    <n v="4077665625"/>
    <n v="15450"/>
  </r>
  <r>
    <s v="DOLFUT"/>
    <x v="50"/>
    <x v="11"/>
    <n v="5261.5"/>
    <n v="5283"/>
    <n v="5254"/>
    <n v="5268"/>
    <n v="2460592875"/>
    <n v="9335"/>
  </r>
  <r>
    <s v="DOLFUT"/>
    <x v="51"/>
    <x v="12"/>
    <n v="5244.5"/>
    <n v="5248"/>
    <n v="5241"/>
    <n v="5246.5"/>
    <n v="308149625"/>
    <n v="1175"/>
  </r>
  <r>
    <s v="DOLFUT"/>
    <x v="51"/>
    <x v="13"/>
    <n v="5244"/>
    <n v="5246"/>
    <n v="5241"/>
    <n v="5244.5"/>
    <n v="839032625"/>
    <n v="3200"/>
  </r>
  <r>
    <s v="DOLFUT"/>
    <x v="51"/>
    <x v="14"/>
    <n v="5251.5"/>
    <n v="5252.5"/>
    <n v="5242"/>
    <n v="5244.5"/>
    <n v="1423543875"/>
    <n v="5425"/>
  </r>
  <r>
    <s v="DOLFUT"/>
    <x v="51"/>
    <x v="15"/>
    <n v="5242.5"/>
    <n v="5253.5"/>
    <n v="5241"/>
    <n v="5251"/>
    <n v="3309484625"/>
    <n v="12620"/>
  </r>
  <r>
    <s v="DOLFUT"/>
    <x v="51"/>
    <x v="16"/>
    <n v="5235"/>
    <n v="5245"/>
    <n v="5234"/>
    <n v="5243.5"/>
    <n v="2459399375"/>
    <n v="9385"/>
  </r>
  <r>
    <s v="DOLFUT"/>
    <x v="51"/>
    <x v="17"/>
    <n v="5243"/>
    <n v="5243.5"/>
    <n v="5228.5"/>
    <n v="5235"/>
    <n v="4744508250"/>
    <n v="18125"/>
  </r>
  <r>
    <s v="DOLFUT"/>
    <x v="51"/>
    <x v="18"/>
    <n v="5236"/>
    <n v="5252"/>
    <n v="5236"/>
    <n v="5243"/>
    <n v="3361395500"/>
    <n v="12825"/>
  </r>
  <r>
    <s v="DOLFUT"/>
    <x v="51"/>
    <x v="0"/>
    <n v="5246"/>
    <n v="5246.5"/>
    <n v="5234"/>
    <n v="5237"/>
    <n v="4402216375"/>
    <n v="16810"/>
  </r>
  <r>
    <s v="DOLFUT"/>
    <x v="51"/>
    <x v="1"/>
    <n v="5250.5"/>
    <n v="5254"/>
    <n v="5245"/>
    <n v="5246"/>
    <n v="2288417375"/>
    <n v="8720"/>
  </r>
  <r>
    <s v="DOLFUT"/>
    <x v="51"/>
    <x v="2"/>
    <n v="5268.5"/>
    <n v="5269"/>
    <n v="5247.5"/>
    <n v="5251.5"/>
    <n v="4094577375"/>
    <n v="15580"/>
  </r>
  <r>
    <s v="DOLFUT"/>
    <x v="51"/>
    <x v="3"/>
    <n v="5256.5"/>
    <n v="5269"/>
    <n v="5243"/>
    <n v="5268"/>
    <n v="4196718125"/>
    <n v="15970"/>
  </r>
  <r>
    <s v="DOLFUT"/>
    <x v="51"/>
    <x v="4"/>
    <n v="5240"/>
    <n v="5260"/>
    <n v="5239"/>
    <n v="5256"/>
    <n v="5941542750"/>
    <n v="22645"/>
  </r>
  <r>
    <s v="DOLFUT"/>
    <x v="51"/>
    <x v="5"/>
    <n v="5242"/>
    <n v="5243.5"/>
    <n v="5224.5"/>
    <n v="5239.5"/>
    <n v="5318223750"/>
    <n v="20320"/>
  </r>
  <r>
    <s v="DOLFUT"/>
    <x v="51"/>
    <x v="6"/>
    <n v="5237.5"/>
    <n v="5246.5"/>
    <n v="5233.5"/>
    <n v="5243"/>
    <n v="6568791500"/>
    <n v="25075"/>
  </r>
  <r>
    <s v="DOLFUT"/>
    <x v="51"/>
    <x v="7"/>
    <n v="5269"/>
    <n v="5270"/>
    <n v="5234"/>
    <n v="5237.5"/>
    <n v="9096516000"/>
    <n v="34650"/>
  </r>
  <r>
    <s v="DOLFUT"/>
    <x v="51"/>
    <x v="8"/>
    <n v="5275.5"/>
    <n v="5289.5"/>
    <n v="5263.5"/>
    <n v="5269.5"/>
    <n v="5712539875"/>
    <n v="21665"/>
  </r>
  <r>
    <s v="DOLFUT"/>
    <x v="51"/>
    <x v="9"/>
    <n v="5264.5"/>
    <n v="5281"/>
    <n v="5263.5"/>
    <n v="5276.5"/>
    <n v="5192360125"/>
    <n v="19690"/>
  </r>
  <r>
    <s v="DOLFUT"/>
    <x v="51"/>
    <x v="10"/>
    <n v="5285.5"/>
    <n v="5302"/>
    <n v="5263"/>
    <n v="5265.5"/>
    <n v="6833764875"/>
    <n v="25885"/>
  </r>
  <r>
    <s v="DOLFUT"/>
    <x v="51"/>
    <x v="11"/>
    <n v="5301"/>
    <n v="5324.5"/>
    <n v="5283"/>
    <n v="5285"/>
    <n v="8335968000"/>
    <n v="31440"/>
  </r>
  <r>
    <s v="DOLFUT"/>
    <x v="52"/>
    <x v="12"/>
    <n v="5325.5"/>
    <n v="5327.5"/>
    <n v="5281"/>
    <n v="5296.5"/>
    <n v="1455421875"/>
    <n v="5490"/>
  </r>
  <r>
    <s v="DOLFUT"/>
    <x v="52"/>
    <x v="13"/>
    <n v="5324"/>
    <n v="5331.5"/>
    <n v="5319"/>
    <n v="5325.5"/>
    <n v="1698787375"/>
    <n v="6380"/>
  </r>
  <r>
    <s v="DOLFUT"/>
    <x v="52"/>
    <x v="14"/>
    <n v="5323.5"/>
    <n v="5325.5"/>
    <n v="5318.5"/>
    <n v="5323.5"/>
    <n v="2023448125"/>
    <n v="7605"/>
  </r>
  <r>
    <s v="DOLFUT"/>
    <x v="52"/>
    <x v="15"/>
    <n v="5330"/>
    <n v="5337.5"/>
    <n v="5322"/>
    <n v="5323.5"/>
    <n v="5969616875"/>
    <n v="22395"/>
  </r>
  <r>
    <s v="DOLFUT"/>
    <x v="52"/>
    <x v="16"/>
    <n v="5333"/>
    <n v="5336"/>
    <n v="5324"/>
    <n v="5331"/>
    <n v="5372104250"/>
    <n v="20155"/>
  </r>
  <r>
    <s v="DOLFUT"/>
    <x v="52"/>
    <x v="17"/>
    <n v="5319.5"/>
    <n v="5333.5"/>
    <n v="5318"/>
    <n v="5333"/>
    <n v="5049379000"/>
    <n v="18955"/>
  </r>
  <r>
    <s v="DOLFUT"/>
    <x v="52"/>
    <x v="18"/>
    <n v="5313.5"/>
    <n v="5329.5"/>
    <n v="5308"/>
    <n v="5320.5"/>
    <n v="4400482750"/>
    <n v="16550"/>
  </r>
  <r>
    <s v="DOLFUT"/>
    <x v="52"/>
    <x v="0"/>
    <n v="5314.5"/>
    <n v="5325.5"/>
    <n v="5311.5"/>
    <n v="5314.5"/>
    <n v="4106960250"/>
    <n v="15445"/>
  </r>
  <r>
    <s v="DOLFUT"/>
    <x v="52"/>
    <x v="1"/>
    <n v="5304"/>
    <n v="5316"/>
    <n v="5298.5"/>
    <n v="5314.5"/>
    <n v="5081830000"/>
    <n v="19150"/>
  </r>
  <r>
    <s v="DOLFUT"/>
    <x v="52"/>
    <x v="2"/>
    <n v="5298"/>
    <n v="5309"/>
    <n v="5298"/>
    <n v="5305.5"/>
    <n v="2684144000"/>
    <n v="10125"/>
  </r>
  <r>
    <s v="DOLFUT"/>
    <x v="52"/>
    <x v="3"/>
    <n v="5303"/>
    <n v="5307"/>
    <n v="5281.5"/>
    <n v="5297.5"/>
    <n v="5410569125"/>
    <n v="20435"/>
  </r>
  <r>
    <s v="DOLFUT"/>
    <x v="52"/>
    <x v="4"/>
    <n v="5300"/>
    <n v="5307.5"/>
    <n v="5289"/>
    <n v="5303.5"/>
    <n v="4678334250"/>
    <n v="17655"/>
  </r>
  <r>
    <s v="DOLFUT"/>
    <x v="52"/>
    <x v="5"/>
    <n v="5311.5"/>
    <n v="5311.5"/>
    <n v="5287"/>
    <n v="5299.5"/>
    <n v="5644355625"/>
    <n v="21295"/>
  </r>
  <r>
    <s v="DOLFUT"/>
    <x v="52"/>
    <x v="6"/>
    <n v="5321"/>
    <n v="5321"/>
    <n v="5306.5"/>
    <n v="5312"/>
    <n v="5537881625"/>
    <n v="20850"/>
  </r>
  <r>
    <s v="DOLFUT"/>
    <x v="52"/>
    <x v="7"/>
    <n v="5300"/>
    <n v="5323"/>
    <n v="5297.5"/>
    <n v="5320.5"/>
    <n v="11452700750"/>
    <n v="43130"/>
  </r>
  <r>
    <s v="DOLFUT"/>
    <x v="52"/>
    <x v="8"/>
    <n v="5283.5"/>
    <n v="5301.5"/>
    <n v="5279"/>
    <n v="5299.5"/>
    <n v="8445380000"/>
    <n v="31925"/>
  </r>
  <r>
    <s v="DOLFUT"/>
    <x v="52"/>
    <x v="9"/>
    <n v="5257.5"/>
    <n v="5284"/>
    <n v="5256.5"/>
    <n v="5282.5"/>
    <n v="3107326000"/>
    <n v="11790"/>
  </r>
  <r>
    <s v="DOLFUT"/>
    <x v="52"/>
    <x v="10"/>
    <n v="5249.5"/>
    <n v="5268.5"/>
    <n v="5248"/>
    <n v="5258"/>
    <n v="4233956000"/>
    <n v="16095"/>
  </r>
  <r>
    <s v="DOLFUT"/>
    <x v="52"/>
    <x v="11"/>
    <n v="5261"/>
    <n v="5263"/>
    <n v="5246.5"/>
    <n v="5249.5"/>
    <n v="3236654875"/>
    <n v="12320"/>
  </r>
  <r>
    <s v="DOLFUT"/>
    <x v="53"/>
    <x v="12"/>
    <n v="5235.5"/>
    <n v="5241"/>
    <n v="5233"/>
    <n v="5238"/>
    <n v="219966250"/>
    <n v="840"/>
  </r>
  <r>
    <s v="DOLFUT"/>
    <x v="53"/>
    <x v="13"/>
    <n v="5237"/>
    <n v="5241.5"/>
    <n v="5234.5"/>
    <n v="5236"/>
    <n v="5548359375"/>
    <n v="21185"/>
  </r>
  <r>
    <s v="DOLFUT"/>
    <x v="53"/>
    <x v="14"/>
    <n v="5228.5"/>
    <n v="5238.5"/>
    <n v="5227"/>
    <n v="5236"/>
    <n v="4011999375"/>
    <n v="15335"/>
  </r>
  <r>
    <s v="DOLFUT"/>
    <x v="53"/>
    <x v="15"/>
    <n v="5228"/>
    <n v="5244.5"/>
    <n v="5222.5"/>
    <n v="5230.5"/>
    <n v="3717062125"/>
    <n v="14200"/>
  </r>
  <r>
    <s v="DOLFUT"/>
    <x v="53"/>
    <x v="16"/>
    <n v="5251.5"/>
    <n v="5251.5"/>
    <n v="5216"/>
    <n v="5228.5"/>
    <n v="6351835875"/>
    <n v="24295"/>
  </r>
  <r>
    <s v="DOLFUT"/>
    <x v="53"/>
    <x v="17"/>
    <n v="5261.5"/>
    <n v="5274"/>
    <n v="5250"/>
    <n v="5251"/>
    <n v="5453746000"/>
    <n v="20710"/>
  </r>
  <r>
    <s v="DOLFUT"/>
    <x v="53"/>
    <x v="18"/>
    <n v="5256"/>
    <n v="5265"/>
    <n v="5254.5"/>
    <n v="5261.5"/>
    <n v="2742335875"/>
    <n v="10430"/>
  </r>
  <r>
    <s v="DOLFUT"/>
    <x v="53"/>
    <x v="0"/>
    <n v="5252"/>
    <n v="5259.5"/>
    <n v="5248.5"/>
    <n v="5256"/>
    <n v="2196452125"/>
    <n v="8360"/>
  </r>
  <r>
    <s v="DOLFUT"/>
    <x v="53"/>
    <x v="1"/>
    <n v="5263.5"/>
    <n v="5274.5"/>
    <n v="5249.5"/>
    <n v="5253"/>
    <n v="3791848500"/>
    <n v="14420"/>
  </r>
  <r>
    <s v="DOLFUT"/>
    <x v="53"/>
    <x v="2"/>
    <n v="5258.5"/>
    <n v="5271.5"/>
    <n v="5257"/>
    <n v="5265"/>
    <n v="955402500"/>
    <n v="3630"/>
  </r>
  <r>
    <s v="DOLFUT"/>
    <x v="53"/>
    <x v="3"/>
    <n v="5260"/>
    <n v="5264.5"/>
    <n v="5249"/>
    <n v="5257.5"/>
    <n v="3007900875"/>
    <n v="11440"/>
  </r>
  <r>
    <s v="DOLFUT"/>
    <x v="53"/>
    <x v="4"/>
    <n v="5268"/>
    <n v="5281"/>
    <n v="5251"/>
    <n v="5260"/>
    <n v="3572823500"/>
    <n v="13565"/>
  </r>
  <r>
    <s v="DOLFUT"/>
    <x v="53"/>
    <x v="5"/>
    <n v="5263"/>
    <n v="5269"/>
    <n v="5247.5"/>
    <n v="5267.5"/>
    <n v="3891235125"/>
    <n v="14800"/>
  </r>
  <r>
    <s v="DOLFUT"/>
    <x v="53"/>
    <x v="6"/>
    <n v="5292"/>
    <n v="5292"/>
    <n v="5259"/>
    <n v="5262.5"/>
    <n v="4369280750"/>
    <n v="16575"/>
  </r>
  <r>
    <s v="DOLFUT"/>
    <x v="53"/>
    <x v="7"/>
    <n v="5277.5"/>
    <n v="5294"/>
    <n v="5271.5"/>
    <n v="5292.5"/>
    <n v="6123077625"/>
    <n v="23195"/>
  </r>
  <r>
    <s v="DOLFUT"/>
    <x v="53"/>
    <x v="8"/>
    <n v="5296.5"/>
    <n v="5308"/>
    <n v="5276.5"/>
    <n v="5279"/>
    <n v="6331867750"/>
    <n v="23935"/>
  </r>
  <r>
    <s v="DOLFUT"/>
    <x v="53"/>
    <x v="9"/>
    <n v="5296"/>
    <n v="5329"/>
    <n v="5287"/>
    <n v="5296.5"/>
    <n v="10227866880"/>
    <n v="38550"/>
  </r>
  <r>
    <s v="DOLFUT"/>
    <x v="53"/>
    <x v="10"/>
    <n v="5324"/>
    <n v="5327"/>
    <n v="5292.5"/>
    <n v="5297"/>
    <n v="6244499625"/>
    <n v="23540"/>
  </r>
  <r>
    <s v="DOLFUT"/>
    <x v="53"/>
    <x v="11"/>
    <n v="5256"/>
    <n v="5328.5"/>
    <n v="5255.5"/>
    <n v="5325"/>
    <n v="7548711250"/>
    <n v="28505"/>
  </r>
  <r>
    <s v="DOLFUT"/>
    <x v="54"/>
    <x v="12"/>
    <n v="5283"/>
    <n v="5289"/>
    <n v="5261"/>
    <n v="5261.5"/>
    <n v="1023517375"/>
    <n v="3880"/>
  </r>
  <r>
    <s v="DOLFUT"/>
    <x v="54"/>
    <x v="13"/>
    <n v="5277"/>
    <n v="5285"/>
    <n v="5272"/>
    <n v="5283"/>
    <n v="1522534875"/>
    <n v="5770"/>
  </r>
  <r>
    <s v="DOLFUT"/>
    <x v="54"/>
    <x v="14"/>
    <n v="5259.5"/>
    <n v="5278.5"/>
    <n v="5257.5"/>
    <n v="5277"/>
    <n v="2471420000"/>
    <n v="9385"/>
  </r>
  <r>
    <s v="DOLFUT"/>
    <x v="54"/>
    <x v="15"/>
    <n v="5244"/>
    <n v="5261"/>
    <n v="5237"/>
    <n v="5258.5"/>
    <n v="3055202750"/>
    <n v="11645"/>
  </r>
  <r>
    <s v="DOLFUT"/>
    <x v="54"/>
    <x v="16"/>
    <n v="5240"/>
    <n v="5246.5"/>
    <n v="5232.5"/>
    <n v="5244"/>
    <n v="4378391000"/>
    <n v="16715"/>
  </r>
  <r>
    <s v="DOLFUT"/>
    <x v="54"/>
    <x v="17"/>
    <n v="5227.5"/>
    <n v="5240.5"/>
    <n v="5223.5"/>
    <n v="5239"/>
    <n v="3066852125"/>
    <n v="11720"/>
  </r>
  <r>
    <s v="DOLFUT"/>
    <x v="54"/>
    <x v="18"/>
    <n v="5219"/>
    <n v="5231"/>
    <n v="5211.5"/>
    <n v="5226"/>
    <n v="3491956500"/>
    <n v="13375"/>
  </r>
  <r>
    <s v="DOLFUT"/>
    <x v="54"/>
    <x v="0"/>
    <n v="5225.5"/>
    <n v="5228.5"/>
    <n v="5214"/>
    <n v="5218"/>
    <n v="2511353250"/>
    <n v="9620"/>
  </r>
  <r>
    <s v="DOLFUT"/>
    <x v="54"/>
    <x v="1"/>
    <n v="5220.5"/>
    <n v="5228.5"/>
    <n v="5219.5"/>
    <n v="5225"/>
    <n v="3023802500"/>
    <n v="11575"/>
  </r>
  <r>
    <s v="DOLFUT"/>
    <x v="54"/>
    <x v="2"/>
    <n v="5209.5"/>
    <n v="5228.5"/>
    <n v="5209.5"/>
    <n v="5219.5"/>
    <n v="4911622125"/>
    <n v="18820"/>
  </r>
  <r>
    <s v="DOLFUT"/>
    <x v="54"/>
    <x v="3"/>
    <n v="5218.5"/>
    <n v="5220.5"/>
    <n v="5207.5"/>
    <n v="5209.5"/>
    <n v="2125884625"/>
    <n v="8155"/>
  </r>
  <r>
    <s v="DOLFUT"/>
    <x v="54"/>
    <x v="4"/>
    <n v="5219.5"/>
    <n v="5220"/>
    <n v="5213"/>
    <n v="5218"/>
    <n v="2365915125"/>
    <n v="9070"/>
  </r>
  <r>
    <s v="DOLFUT"/>
    <x v="54"/>
    <x v="5"/>
    <n v="5219.5"/>
    <n v="5222"/>
    <n v="5209"/>
    <n v="5219.5"/>
    <n v="3861861500"/>
    <n v="14805"/>
  </r>
  <r>
    <s v="DOLFUT"/>
    <x v="54"/>
    <x v="6"/>
    <n v="5238.5"/>
    <n v="5239.5"/>
    <n v="5218.5"/>
    <n v="5219.5"/>
    <n v="3354750500"/>
    <n v="12835"/>
  </r>
  <r>
    <s v="DOLFUT"/>
    <x v="54"/>
    <x v="7"/>
    <n v="5229"/>
    <n v="5241.5"/>
    <n v="5217"/>
    <n v="5239"/>
    <n v="4161301375"/>
    <n v="15925"/>
  </r>
  <r>
    <s v="DOLFUT"/>
    <x v="54"/>
    <x v="8"/>
    <n v="5235"/>
    <n v="5238.5"/>
    <n v="5228"/>
    <n v="5229"/>
    <n v="7126318625"/>
    <n v="27240"/>
  </r>
  <r>
    <s v="DOLFUT"/>
    <x v="54"/>
    <x v="9"/>
    <n v="5246"/>
    <n v="5248"/>
    <n v="5234"/>
    <n v="5234.5"/>
    <n v="4498001625"/>
    <n v="17165"/>
  </r>
  <r>
    <s v="DOLFUT"/>
    <x v="54"/>
    <x v="10"/>
    <n v="5227"/>
    <n v="5247"/>
    <n v="5225"/>
    <n v="5246"/>
    <n v="4959569375"/>
    <n v="18940"/>
  </r>
  <r>
    <s v="DOLFUT"/>
    <x v="54"/>
    <x v="11"/>
    <n v="5210"/>
    <n v="5229"/>
    <n v="5200.5"/>
    <n v="5226"/>
    <n v="5465868125"/>
    <n v="20945"/>
  </r>
  <r>
    <s v="DOLFUT"/>
    <x v="55"/>
    <x v="12"/>
    <n v="5210.5"/>
    <n v="5215.5"/>
    <n v="5208.5"/>
    <n v="5215"/>
    <n v="402673250"/>
    <n v="1545"/>
  </r>
  <r>
    <s v="DOLFUT"/>
    <x v="55"/>
    <x v="13"/>
    <n v="5215"/>
    <n v="5216"/>
    <n v="5208.5"/>
    <n v="5211.5"/>
    <n v="1930455875"/>
    <n v="7405"/>
  </r>
  <r>
    <s v="DOLFUT"/>
    <x v="55"/>
    <x v="14"/>
    <n v="5218"/>
    <n v="5219.5"/>
    <n v="5213"/>
    <n v="5215"/>
    <n v="1423981375"/>
    <n v="5460"/>
  </r>
  <r>
    <s v="DOLFUT"/>
    <x v="55"/>
    <x v="15"/>
    <n v="5222.5"/>
    <n v="5230"/>
    <n v="5216"/>
    <n v="5217.5"/>
    <n v="1534647125"/>
    <n v="5875"/>
  </r>
  <r>
    <s v="DOLFUT"/>
    <x v="55"/>
    <x v="16"/>
    <n v="5216"/>
    <n v="5223.5"/>
    <n v="5213.5"/>
    <n v="5222.5"/>
    <n v="4413354375"/>
    <n v="16915"/>
  </r>
  <r>
    <s v="DOLFUT"/>
    <x v="55"/>
    <x v="17"/>
    <n v="5208"/>
    <n v="5228.5"/>
    <n v="5207"/>
    <n v="5215.5"/>
    <n v="4788688875"/>
    <n v="18360"/>
  </r>
  <r>
    <s v="DOLFUT"/>
    <x v="55"/>
    <x v="18"/>
    <n v="5198.5"/>
    <n v="5209"/>
    <n v="5195.5"/>
    <n v="5208"/>
    <n v="3720044250"/>
    <n v="14305"/>
  </r>
  <r>
    <s v="DOLFUT"/>
    <x v="55"/>
    <x v="0"/>
    <n v="5218"/>
    <n v="5219.5"/>
    <n v="5198"/>
    <n v="5198.5"/>
    <n v="4592216125"/>
    <n v="17650"/>
  </r>
  <r>
    <s v="DOLFUT"/>
    <x v="55"/>
    <x v="1"/>
    <n v="5218.5"/>
    <n v="5223"/>
    <n v="5216.5"/>
    <n v="5218"/>
    <n v="5067680750"/>
    <n v="19415"/>
  </r>
  <r>
    <s v="DOLFUT"/>
    <x v="55"/>
    <x v="2"/>
    <n v="5212.5"/>
    <n v="5219"/>
    <n v="5211.5"/>
    <n v="5218"/>
    <n v="2912532500"/>
    <n v="11165"/>
  </r>
  <r>
    <s v="DOLFUT"/>
    <x v="55"/>
    <x v="3"/>
    <n v="5216"/>
    <n v="5220"/>
    <n v="5210.5"/>
    <n v="5213"/>
    <n v="2181023000"/>
    <n v="8365"/>
  </r>
  <r>
    <s v="DOLFUT"/>
    <x v="55"/>
    <x v="4"/>
    <n v="5232.5"/>
    <n v="5237"/>
    <n v="5216"/>
    <n v="5216"/>
    <n v="3955099625"/>
    <n v="15125"/>
  </r>
  <r>
    <s v="DOLFUT"/>
    <x v="55"/>
    <x v="5"/>
    <n v="5217.5"/>
    <n v="5235.5"/>
    <n v="5215"/>
    <n v="5232"/>
    <n v="3081899750"/>
    <n v="11800"/>
  </r>
  <r>
    <s v="DOLFUT"/>
    <x v="55"/>
    <x v="6"/>
    <n v="5222.5"/>
    <n v="5226"/>
    <n v="5215.5"/>
    <n v="5217.5"/>
    <n v="2552263875"/>
    <n v="9780"/>
  </r>
  <r>
    <s v="DOLFUT"/>
    <x v="55"/>
    <x v="7"/>
    <n v="5220"/>
    <n v="5224"/>
    <n v="5207.5"/>
    <n v="5222.5"/>
    <n v="4231258000"/>
    <n v="16220"/>
  </r>
  <r>
    <s v="DOLFUT"/>
    <x v="55"/>
    <x v="8"/>
    <n v="5216"/>
    <n v="5224.5"/>
    <n v="5211"/>
    <n v="5220"/>
    <n v="2940914875"/>
    <n v="11275"/>
  </r>
  <r>
    <s v="DOLFUT"/>
    <x v="55"/>
    <x v="9"/>
    <n v="5228.5"/>
    <n v="5231"/>
    <n v="5214.5"/>
    <n v="5215.5"/>
    <n v="5081403250"/>
    <n v="19465"/>
  </r>
  <r>
    <s v="DOLFUT"/>
    <x v="55"/>
    <x v="10"/>
    <n v="5224.5"/>
    <n v="5233"/>
    <n v="5215.5"/>
    <n v="5228"/>
    <n v="8335670375"/>
    <n v="31915"/>
  </r>
  <r>
    <s v="DOLFUT"/>
    <x v="55"/>
    <x v="11"/>
    <n v="5253"/>
    <n v="5261"/>
    <n v="5222"/>
    <n v="5225"/>
    <n v="4233134500"/>
    <n v="16170"/>
  </r>
  <r>
    <s v="DOLFUT"/>
    <x v="56"/>
    <x v="12"/>
    <n v="5252"/>
    <n v="5256"/>
    <n v="5251"/>
    <n v="5255"/>
    <n v="538484500"/>
    <n v="2050"/>
  </r>
  <r>
    <s v="DOLFUT"/>
    <x v="56"/>
    <x v="13"/>
    <n v="5253"/>
    <n v="5258"/>
    <n v="5251"/>
    <n v="5252.5"/>
    <n v="960095000"/>
    <n v="3655"/>
  </r>
  <r>
    <s v="DOLFUT"/>
    <x v="56"/>
    <x v="14"/>
    <n v="5250.5"/>
    <n v="5254"/>
    <n v="5248"/>
    <n v="5253.5"/>
    <n v="900619000"/>
    <n v="3430"/>
  </r>
  <r>
    <s v="DOLFUT"/>
    <x v="56"/>
    <x v="15"/>
    <n v="5250"/>
    <n v="5254"/>
    <n v="5247.5"/>
    <n v="5251"/>
    <n v="2167606375"/>
    <n v="8255"/>
  </r>
  <r>
    <s v="DOLFUT"/>
    <x v="56"/>
    <x v="16"/>
    <n v="5253"/>
    <n v="5253.5"/>
    <n v="5246.5"/>
    <n v="5250"/>
    <n v="3435184250"/>
    <n v="13085"/>
  </r>
  <r>
    <s v="DOLFUT"/>
    <x v="56"/>
    <x v="17"/>
    <n v="5259"/>
    <n v="5262"/>
    <n v="5248"/>
    <n v="5253"/>
    <n v="4264890125"/>
    <n v="16235"/>
  </r>
  <r>
    <s v="DOLFUT"/>
    <x v="56"/>
    <x v="18"/>
    <n v="5278.5"/>
    <n v="5279"/>
    <n v="5258.5"/>
    <n v="5259.5"/>
    <n v="3895846250"/>
    <n v="14790"/>
  </r>
  <r>
    <s v="DOLFUT"/>
    <x v="56"/>
    <x v="0"/>
    <n v="5276"/>
    <n v="5281.5"/>
    <n v="5273"/>
    <n v="5279"/>
    <n v="944776500"/>
    <n v="3580"/>
  </r>
  <r>
    <s v="DOLFUT"/>
    <x v="56"/>
    <x v="1"/>
    <n v="5283.5"/>
    <n v="5284"/>
    <n v="5273.5"/>
    <n v="5276"/>
    <n v="2169584125"/>
    <n v="8220"/>
  </r>
  <r>
    <s v="DOLFUT"/>
    <x v="56"/>
    <x v="2"/>
    <n v="5287.5"/>
    <n v="5294"/>
    <n v="5279"/>
    <n v="5284"/>
    <n v="1986058875"/>
    <n v="7515"/>
  </r>
  <r>
    <s v="DOLFUT"/>
    <x v="56"/>
    <x v="3"/>
    <n v="5287"/>
    <n v="5290"/>
    <n v="5276.5"/>
    <n v="5288"/>
    <n v="4258209000"/>
    <n v="16120"/>
  </r>
  <r>
    <s v="DOLFUT"/>
    <x v="56"/>
    <x v="4"/>
    <n v="5285.5"/>
    <n v="5292.5"/>
    <n v="5278.5"/>
    <n v="5286.5"/>
    <n v="1440330375"/>
    <n v="5450"/>
  </r>
  <r>
    <s v="DOLFUT"/>
    <x v="56"/>
    <x v="5"/>
    <n v="5290"/>
    <n v="5293"/>
    <n v="5284"/>
    <n v="5285.5"/>
    <n v="2586516750"/>
    <n v="9780"/>
  </r>
  <r>
    <s v="DOLFUT"/>
    <x v="56"/>
    <x v="6"/>
    <n v="5282"/>
    <n v="5302"/>
    <n v="5282"/>
    <n v="5290.5"/>
    <n v="3160114250"/>
    <n v="11935"/>
  </r>
  <r>
    <s v="DOLFUT"/>
    <x v="56"/>
    <x v="7"/>
    <n v="5277"/>
    <n v="5284"/>
    <n v="5273.5"/>
    <n v="5282.5"/>
    <n v="3191122625"/>
    <n v="12090"/>
  </r>
  <r>
    <s v="DOLFUT"/>
    <x v="56"/>
    <x v="8"/>
    <n v="5299.5"/>
    <n v="5299.5"/>
    <n v="5272"/>
    <n v="5276.5"/>
    <n v="4523790250"/>
    <n v="17120"/>
  </r>
  <r>
    <s v="DOLFUT"/>
    <x v="56"/>
    <x v="9"/>
    <n v="5283.5"/>
    <n v="5300"/>
    <n v="5278"/>
    <n v="5299"/>
    <n v="3218493750"/>
    <n v="12170"/>
  </r>
  <r>
    <s v="DOLFUT"/>
    <x v="56"/>
    <x v="10"/>
    <n v="5282"/>
    <n v="5288"/>
    <n v="5277.5"/>
    <n v="5285"/>
    <n v="2531020625"/>
    <n v="9585"/>
  </r>
  <r>
    <s v="DOLFUT"/>
    <x v="56"/>
    <x v="11"/>
    <n v="5303"/>
    <n v="5306"/>
    <n v="5278"/>
    <n v="5282.5"/>
    <n v="6299417500"/>
    <n v="23825"/>
  </r>
  <r>
    <s v="DOLFUT"/>
    <x v="57"/>
    <x v="12"/>
    <n v="5346.5"/>
    <n v="5358"/>
    <n v="5346"/>
    <n v="5353.5"/>
    <n v="1564813875"/>
    <n v="5850"/>
  </r>
  <r>
    <s v="DOLFUT"/>
    <x v="57"/>
    <x v="13"/>
    <n v="5345"/>
    <n v="5349"/>
    <n v="5340"/>
    <n v="5346"/>
    <n v="1810219875"/>
    <n v="6775"/>
  </r>
  <r>
    <s v="DOLFUT"/>
    <x v="57"/>
    <x v="14"/>
    <n v="5339"/>
    <n v="5346"/>
    <n v="5336.5"/>
    <n v="5345"/>
    <n v="5494249875"/>
    <n v="20565"/>
  </r>
  <r>
    <s v="DOLFUT"/>
    <x v="57"/>
    <x v="15"/>
    <n v="5335"/>
    <n v="5347.5"/>
    <n v="5334.5"/>
    <n v="5338.5"/>
    <n v="3824713500"/>
    <n v="14320"/>
  </r>
  <r>
    <s v="DOLFUT"/>
    <x v="57"/>
    <x v="16"/>
    <n v="5321"/>
    <n v="5337.5"/>
    <n v="5319.5"/>
    <n v="5336"/>
    <n v="3359952500"/>
    <n v="12605"/>
  </r>
  <r>
    <s v="DOLFUT"/>
    <x v="57"/>
    <x v="17"/>
    <n v="5327"/>
    <n v="5327"/>
    <n v="5316.5"/>
    <n v="5321.5"/>
    <n v="3787892750"/>
    <n v="14235"/>
  </r>
  <r>
    <s v="DOLFUT"/>
    <x v="57"/>
    <x v="18"/>
    <n v="5316.5"/>
    <n v="5332.5"/>
    <n v="5311"/>
    <n v="5325.5"/>
    <n v="6007468375"/>
    <n v="22570"/>
  </r>
  <r>
    <s v="DOLFUT"/>
    <x v="57"/>
    <x v="0"/>
    <n v="5309.5"/>
    <n v="5327"/>
    <n v="5306"/>
    <n v="5316"/>
    <n v="5991067250"/>
    <n v="22530"/>
  </r>
  <r>
    <s v="DOLFUT"/>
    <x v="57"/>
    <x v="1"/>
    <n v="5305.5"/>
    <n v="5318"/>
    <n v="5304.5"/>
    <n v="5310"/>
    <n v="3601842500"/>
    <n v="13565"/>
  </r>
  <r>
    <s v="DOLFUT"/>
    <x v="57"/>
    <x v="2"/>
    <n v="5314.5"/>
    <n v="5314.5"/>
    <n v="5297.5"/>
    <n v="5306"/>
    <n v="6186525375"/>
    <n v="23320"/>
  </r>
  <r>
    <s v="DOLFUT"/>
    <x v="57"/>
    <x v="3"/>
    <n v="5314.5"/>
    <n v="5317"/>
    <n v="5298.5"/>
    <n v="5315.5"/>
    <n v="4520075750"/>
    <n v="17030"/>
  </r>
  <r>
    <s v="DOLFUT"/>
    <x v="57"/>
    <x v="4"/>
    <n v="5295.5"/>
    <n v="5319.5"/>
    <n v="5267"/>
    <n v="5314.5"/>
    <n v="9709781500"/>
    <n v="36615"/>
  </r>
  <r>
    <s v="DOLFUT"/>
    <x v="57"/>
    <x v="5"/>
    <n v="5280.5"/>
    <n v="5299.5"/>
    <n v="5268"/>
    <n v="5296"/>
    <n v="5518974250"/>
    <n v="20885"/>
  </r>
  <r>
    <s v="DOLFUT"/>
    <x v="57"/>
    <x v="6"/>
    <n v="5255"/>
    <n v="5282"/>
    <n v="5249.5"/>
    <n v="5281.5"/>
    <n v="5226249125"/>
    <n v="19840"/>
  </r>
  <r>
    <s v="DOLFUT"/>
    <x v="57"/>
    <x v="7"/>
    <n v="5244.5"/>
    <n v="5263.5"/>
    <n v="5243"/>
    <n v="5255"/>
    <n v="2627588125"/>
    <n v="10005"/>
  </r>
  <r>
    <s v="DOLFUT"/>
    <x v="57"/>
    <x v="8"/>
    <n v="5250"/>
    <n v="5258"/>
    <n v="5238"/>
    <n v="5244"/>
    <n v="4287266875"/>
    <n v="16350"/>
  </r>
  <r>
    <s v="DOLFUT"/>
    <x v="57"/>
    <x v="9"/>
    <n v="5249.5"/>
    <n v="5269"/>
    <n v="5247.5"/>
    <n v="5252.5"/>
    <n v="3256882625"/>
    <n v="12385"/>
  </r>
  <r>
    <s v="DOLFUT"/>
    <x v="57"/>
    <x v="10"/>
    <n v="5262"/>
    <n v="5266.5"/>
    <n v="5249.5"/>
    <n v="5249.5"/>
    <n v="3131387000"/>
    <n v="11915"/>
  </r>
  <r>
    <s v="DOLFUT"/>
    <x v="57"/>
    <x v="11"/>
    <n v="5264"/>
    <n v="5266"/>
    <n v="5248.5"/>
    <n v="5262"/>
    <n v="4524290125"/>
    <n v="17210"/>
  </r>
  <r>
    <s v="DOLFUT"/>
    <x v="58"/>
    <x v="12"/>
    <n v="5269"/>
    <n v="5285"/>
    <n v="5267"/>
    <n v="5281.5"/>
    <n v="987936125"/>
    <n v="3745"/>
  </r>
  <r>
    <s v="DOLFUT"/>
    <x v="58"/>
    <x v="13"/>
    <n v="5270.5"/>
    <n v="5275.5"/>
    <n v="5267"/>
    <n v="5269"/>
    <n v="2282152000"/>
    <n v="8660"/>
  </r>
  <r>
    <s v="DOLFUT"/>
    <x v="58"/>
    <x v="14"/>
    <n v="5268"/>
    <n v="5273.5"/>
    <n v="5264.5"/>
    <n v="5270.5"/>
    <n v="2594549125"/>
    <n v="9845"/>
  </r>
  <r>
    <s v="DOLFUT"/>
    <x v="58"/>
    <x v="15"/>
    <n v="5261.5"/>
    <n v="5274.5"/>
    <n v="5258.5"/>
    <n v="5267.5"/>
    <n v="3110404250"/>
    <n v="11810"/>
  </r>
  <r>
    <s v="DOLFUT"/>
    <x v="58"/>
    <x v="16"/>
    <n v="5258.5"/>
    <n v="5265"/>
    <n v="5257"/>
    <n v="5261.5"/>
    <n v="5433269875"/>
    <n v="20655"/>
  </r>
  <r>
    <s v="DOLFUT"/>
    <x v="58"/>
    <x v="17"/>
    <n v="5256.5"/>
    <n v="5259.5"/>
    <n v="5251"/>
    <n v="5258.5"/>
    <n v="2627302875"/>
    <n v="10000"/>
  </r>
  <r>
    <s v="DOLFUT"/>
    <x v="58"/>
    <x v="18"/>
    <n v="5244"/>
    <n v="5258.5"/>
    <n v="5239.5"/>
    <n v="5256"/>
    <n v="3736122750"/>
    <n v="14235"/>
  </r>
  <r>
    <s v="DOLFUT"/>
    <x v="58"/>
    <x v="0"/>
    <n v="5238.5"/>
    <n v="5248.5"/>
    <n v="5235"/>
    <n v="5244.5"/>
    <n v="1960617500"/>
    <n v="7480"/>
  </r>
  <r>
    <s v="DOLFUT"/>
    <x v="58"/>
    <x v="1"/>
    <n v="5230.5"/>
    <n v="5240"/>
    <n v="5221.5"/>
    <n v="5238.5"/>
    <n v="4152249125"/>
    <n v="15880"/>
  </r>
  <r>
    <s v="DOLFUT"/>
    <x v="58"/>
    <x v="2"/>
    <n v="5238"/>
    <n v="5239.5"/>
    <n v="5222.5"/>
    <n v="5230.5"/>
    <n v="3032344375"/>
    <n v="11600"/>
  </r>
  <r>
    <s v="DOLFUT"/>
    <x v="58"/>
    <x v="3"/>
    <n v="5238.5"/>
    <n v="5244.5"/>
    <n v="5225"/>
    <n v="5237"/>
    <n v="3890238125"/>
    <n v="14860"/>
  </r>
  <r>
    <s v="DOLFUT"/>
    <x v="58"/>
    <x v="4"/>
    <n v="5249"/>
    <n v="5251"/>
    <n v="5227"/>
    <n v="5238"/>
    <n v="7071748000"/>
    <n v="27000"/>
  </r>
  <r>
    <s v="DOLFUT"/>
    <x v="58"/>
    <x v="5"/>
    <n v="5240"/>
    <n v="5262.5"/>
    <n v="5238.5"/>
    <n v="5249"/>
    <n v="5595601000"/>
    <n v="21305"/>
  </r>
  <r>
    <s v="DOLFUT"/>
    <x v="58"/>
    <x v="6"/>
    <n v="5229.5"/>
    <n v="5249.5"/>
    <n v="5221.5"/>
    <n v="5240.5"/>
    <n v="6356490250"/>
    <n v="24275"/>
  </r>
  <r>
    <s v="DOLFUT"/>
    <x v="58"/>
    <x v="7"/>
    <n v="5234"/>
    <n v="5235"/>
    <n v="5222"/>
    <n v="5229.5"/>
    <n v="6636069500"/>
    <n v="25385"/>
  </r>
  <r>
    <s v="DOLFUT"/>
    <x v="58"/>
    <x v="8"/>
    <n v="5207"/>
    <n v="5243.5"/>
    <n v="5205.5"/>
    <n v="5234"/>
    <n v="8333201125"/>
    <n v="31905"/>
  </r>
  <r>
    <s v="DOLFUT"/>
    <x v="58"/>
    <x v="9"/>
    <n v="5199"/>
    <n v="5214.5"/>
    <n v="5181"/>
    <n v="5207"/>
    <n v="5151717750"/>
    <n v="19825"/>
  </r>
  <r>
    <s v="DOLFUT"/>
    <x v="58"/>
    <x v="10"/>
    <n v="5197"/>
    <n v="5202.5"/>
    <n v="5189"/>
    <n v="5199.5"/>
    <n v="3725291000"/>
    <n v="14340"/>
  </r>
  <r>
    <s v="DOLFUT"/>
    <x v="58"/>
    <x v="11"/>
    <n v="5187"/>
    <n v="5206"/>
    <n v="5187"/>
    <n v="5197.5"/>
    <n v="3466301375"/>
    <n v="13340"/>
  </r>
  <r>
    <s v="DOLFUT"/>
    <x v="59"/>
    <x v="12"/>
    <n v="5182.5"/>
    <n v="5184.5"/>
    <n v="5179"/>
    <n v="5180.5"/>
    <n v="202111750"/>
    <n v="780"/>
  </r>
  <r>
    <s v="DOLFUT"/>
    <x v="59"/>
    <x v="13"/>
    <n v="5183"/>
    <n v="5184.5"/>
    <n v="5178.5"/>
    <n v="5182"/>
    <n v="1130947000"/>
    <n v="4365"/>
  </r>
  <r>
    <s v="DOLFUT"/>
    <x v="59"/>
    <x v="14"/>
    <n v="5184"/>
    <n v="5186.5"/>
    <n v="5181"/>
    <n v="5183.5"/>
    <n v="2478067250"/>
    <n v="9560"/>
  </r>
  <r>
    <s v="DOLFUT"/>
    <x v="59"/>
    <x v="15"/>
    <n v="5187"/>
    <n v="5189"/>
    <n v="5183"/>
    <n v="5184"/>
    <n v="1103208875"/>
    <n v="4255"/>
  </r>
  <r>
    <s v="DOLFUT"/>
    <x v="59"/>
    <x v="16"/>
    <n v="5182"/>
    <n v="5193"/>
    <n v="5181.5"/>
    <n v="5187"/>
    <n v="3324175000"/>
    <n v="12815"/>
  </r>
  <r>
    <s v="DOLFUT"/>
    <x v="59"/>
    <x v="17"/>
    <n v="5190"/>
    <n v="5190.5"/>
    <n v="5181"/>
    <n v="5181.5"/>
    <n v="3180702250"/>
    <n v="12265"/>
  </r>
  <r>
    <s v="DOLFUT"/>
    <x v="59"/>
    <x v="18"/>
    <n v="5192"/>
    <n v="5199.5"/>
    <n v="5187"/>
    <n v="5189.5"/>
    <n v="3363920750"/>
    <n v="12955"/>
  </r>
  <r>
    <s v="DOLFUT"/>
    <x v="59"/>
    <x v="0"/>
    <n v="5185.5"/>
    <n v="5198"/>
    <n v="5185.5"/>
    <n v="5191.5"/>
    <n v="3487939500"/>
    <n v="13435"/>
  </r>
  <r>
    <s v="DOLFUT"/>
    <x v="59"/>
    <x v="1"/>
    <n v="5186"/>
    <n v="5190.5"/>
    <n v="5183.5"/>
    <n v="5186"/>
    <n v="2010408375"/>
    <n v="7750"/>
  </r>
  <r>
    <s v="DOLFUT"/>
    <x v="59"/>
    <x v="2"/>
    <n v="5184"/>
    <n v="5186.5"/>
    <n v="5177.5"/>
    <n v="5185.5"/>
    <n v="1474317875"/>
    <n v="5690"/>
  </r>
  <r>
    <s v="DOLFUT"/>
    <x v="59"/>
    <x v="3"/>
    <n v="5183"/>
    <n v="5188"/>
    <n v="5181.5"/>
    <n v="5185"/>
    <n v="3185850000"/>
    <n v="12290"/>
  </r>
  <r>
    <s v="DOLFUT"/>
    <x v="59"/>
    <x v="4"/>
    <n v="5183"/>
    <n v="5185"/>
    <n v="5172.5"/>
    <n v="5182.5"/>
    <n v="2870262625"/>
    <n v="11080"/>
  </r>
  <r>
    <s v="DOLFUT"/>
    <x v="59"/>
    <x v="5"/>
    <n v="5179"/>
    <n v="5184"/>
    <n v="5171.5"/>
    <n v="5182.5"/>
    <n v="5451536000"/>
    <n v="21055"/>
  </r>
  <r>
    <s v="DOLFUT"/>
    <x v="59"/>
    <x v="6"/>
    <n v="5182"/>
    <n v="5185"/>
    <n v="5177.5"/>
    <n v="5179"/>
    <n v="6400048125"/>
    <n v="24705"/>
  </r>
  <r>
    <s v="DOLFUT"/>
    <x v="59"/>
    <x v="7"/>
    <n v="5180"/>
    <n v="5188"/>
    <n v="5172"/>
    <n v="5182.5"/>
    <n v="5443637750"/>
    <n v="21020"/>
  </r>
  <r>
    <s v="DOLFUT"/>
    <x v="59"/>
    <x v="8"/>
    <n v="5188"/>
    <n v="5195.5"/>
    <n v="5179.5"/>
    <n v="5179.5"/>
    <n v="3523581875"/>
    <n v="13580"/>
  </r>
  <r>
    <s v="DOLFUT"/>
    <x v="59"/>
    <x v="9"/>
    <n v="5205.5"/>
    <n v="5206"/>
    <n v="5183"/>
    <n v="5188"/>
    <n v="4193336875"/>
    <n v="16155"/>
  </r>
  <r>
    <s v="DOLFUT"/>
    <x v="59"/>
    <x v="10"/>
    <n v="5182"/>
    <n v="5208"/>
    <n v="5180"/>
    <n v="5206.5"/>
    <n v="4524290500"/>
    <n v="17405"/>
  </r>
  <r>
    <s v="DOLFUT"/>
    <x v="59"/>
    <x v="11"/>
    <n v="5192"/>
    <n v="5195"/>
    <n v="5178.5"/>
    <n v="5182.5"/>
    <n v="3824987375"/>
    <n v="14750"/>
  </r>
  <r>
    <s v="DOLFUT"/>
    <x v="60"/>
    <x v="12"/>
    <n v="5188"/>
    <n v="5194.5"/>
    <n v="5187.5"/>
    <n v="5190.5"/>
    <n v="671001500"/>
    <n v="2585"/>
  </r>
  <r>
    <s v="DOLFUT"/>
    <x v="60"/>
    <x v="13"/>
    <n v="5185"/>
    <n v="5190"/>
    <n v="5183.5"/>
    <n v="5187.5"/>
    <n v="1526357000"/>
    <n v="5885"/>
  </r>
  <r>
    <s v="DOLFUT"/>
    <x v="60"/>
    <x v="14"/>
    <n v="5184.5"/>
    <n v="5189"/>
    <n v="5182.5"/>
    <n v="5185"/>
    <n v="2248173125"/>
    <n v="8670"/>
  </r>
  <r>
    <s v="DOLFUT"/>
    <x v="60"/>
    <x v="15"/>
    <n v="5187.5"/>
    <n v="5196.5"/>
    <n v="5182"/>
    <n v="5184.5"/>
    <n v="3409608625"/>
    <n v="13140"/>
  </r>
  <r>
    <s v="DOLFUT"/>
    <x v="60"/>
    <x v="16"/>
    <n v="5180"/>
    <n v="5188"/>
    <n v="5176"/>
    <n v="5188"/>
    <n v="3706641875"/>
    <n v="14310"/>
  </r>
  <r>
    <s v="DOLFUT"/>
    <x v="60"/>
    <x v="17"/>
    <n v="5174"/>
    <n v="5181.5"/>
    <n v="5170.5"/>
    <n v="5180"/>
    <n v="4086275750"/>
    <n v="15790"/>
  </r>
  <r>
    <s v="DOLFUT"/>
    <x v="60"/>
    <x v="18"/>
    <n v="5171.5"/>
    <n v="5193"/>
    <n v="5169"/>
    <n v="5174"/>
    <n v="7090047250"/>
    <n v="27360"/>
  </r>
  <r>
    <s v="DOLFUT"/>
    <x v="60"/>
    <x v="0"/>
    <n v="5162"/>
    <n v="5174.5"/>
    <n v="5161.5"/>
    <n v="5172"/>
    <n v="2843530250"/>
    <n v="11000"/>
  </r>
  <r>
    <s v="DOLFUT"/>
    <x v="60"/>
    <x v="1"/>
    <n v="5170"/>
    <n v="5170.5"/>
    <n v="5159.5"/>
    <n v="5162"/>
    <n v="3324416125"/>
    <n v="12875"/>
  </r>
  <r>
    <s v="DOLFUT"/>
    <x v="60"/>
    <x v="2"/>
    <n v="5179.5"/>
    <n v="5179.5"/>
    <n v="5169.5"/>
    <n v="5170"/>
    <n v="3405665500"/>
    <n v="13165"/>
  </r>
  <r>
    <s v="DOLFUT"/>
    <x v="60"/>
    <x v="3"/>
    <n v="5169"/>
    <n v="5181"/>
    <n v="5169"/>
    <n v="5179"/>
    <n v="4332780750"/>
    <n v="16740"/>
  </r>
  <r>
    <s v="DOLFUT"/>
    <x v="60"/>
    <x v="4"/>
    <n v="5177.5"/>
    <n v="5179"/>
    <n v="5168.5"/>
    <n v="5169"/>
    <n v="2441404000"/>
    <n v="9440"/>
  </r>
  <r>
    <s v="DOLFUT"/>
    <x v="60"/>
    <x v="5"/>
    <n v="5181"/>
    <n v="5183.5"/>
    <n v="5174"/>
    <n v="5177.5"/>
    <n v="3294005500"/>
    <n v="12720"/>
  </r>
  <r>
    <s v="DOLFUT"/>
    <x v="60"/>
    <x v="6"/>
    <n v="5192"/>
    <n v="5194"/>
    <n v="5178.5"/>
    <n v="5181"/>
    <n v="4760306875"/>
    <n v="18370"/>
  </r>
  <r>
    <s v="DOLFUT"/>
    <x v="60"/>
    <x v="7"/>
    <n v="5203.5"/>
    <n v="5211"/>
    <n v="5190.5"/>
    <n v="5192"/>
    <n v="3264834750"/>
    <n v="12555"/>
  </r>
  <r>
    <s v="DOLFUT"/>
    <x v="60"/>
    <x v="8"/>
    <n v="5205.5"/>
    <n v="5216"/>
    <n v="5199.5"/>
    <n v="5203.5"/>
    <n v="4859566875"/>
    <n v="18660"/>
  </r>
  <r>
    <s v="DOLFUT"/>
    <x v="60"/>
    <x v="9"/>
    <n v="5203.5"/>
    <n v="5213.5"/>
    <n v="5195.5"/>
    <n v="5205.5"/>
    <n v="4975149625"/>
    <n v="19120"/>
  </r>
  <r>
    <s v="DOLFUT"/>
    <x v="60"/>
    <x v="10"/>
    <n v="5210"/>
    <n v="5213"/>
    <n v="5190"/>
    <n v="5204"/>
    <n v="3145281125"/>
    <n v="12095"/>
  </r>
  <r>
    <s v="DOLFUT"/>
    <x v="60"/>
    <x v="11"/>
    <n v="5185"/>
    <n v="5209.5"/>
    <n v="5179.5"/>
    <n v="5209.5"/>
    <n v="5981356000"/>
    <n v="23025"/>
  </r>
  <r>
    <s v="DOLFUT"/>
    <x v="61"/>
    <x v="12"/>
    <n v="5190"/>
    <n v="5199"/>
    <n v="5186"/>
    <n v="5199"/>
    <n v="829460375"/>
    <n v="3195"/>
  </r>
  <r>
    <s v="DOLFUT"/>
    <x v="61"/>
    <x v="13"/>
    <n v="5190.5"/>
    <n v="5197.5"/>
    <n v="5187"/>
    <n v="5192"/>
    <n v="2118312125"/>
    <n v="8160"/>
  </r>
  <r>
    <s v="DOLFUT"/>
    <x v="61"/>
    <x v="14"/>
    <n v="5196.5"/>
    <n v="5205"/>
    <n v="5188.5"/>
    <n v="5189"/>
    <n v="4123087750"/>
    <n v="15870"/>
  </r>
  <r>
    <s v="DOLFUT"/>
    <x v="61"/>
    <x v="15"/>
    <n v="5202.5"/>
    <n v="5208.5"/>
    <n v="5189.5"/>
    <n v="5195.5"/>
    <n v="6742431125"/>
    <n v="25945"/>
  </r>
  <r>
    <s v="DOLFUT"/>
    <x v="61"/>
    <x v="16"/>
    <n v="5237"/>
    <n v="5237.5"/>
    <n v="5179"/>
    <n v="5203"/>
    <n v="7197495375"/>
    <n v="27615"/>
  </r>
  <r>
    <s v="DOLFUT"/>
    <x v="61"/>
    <x v="17"/>
    <n v="5237"/>
    <n v="5238.5"/>
    <n v="5232.5"/>
    <n v="5237.5"/>
    <n v="4028465000"/>
    <n v="15390"/>
  </r>
  <r>
    <s v="DOLFUT"/>
    <x v="61"/>
    <x v="18"/>
    <n v="5248"/>
    <n v="5248"/>
    <n v="5235.5"/>
    <n v="5237"/>
    <n v="2560270375"/>
    <n v="9770"/>
  </r>
  <r>
    <s v="DOLFUT"/>
    <x v="61"/>
    <x v="0"/>
    <n v="5251"/>
    <n v="5254.5"/>
    <n v="5246.5"/>
    <n v="5249"/>
    <n v="1229799625"/>
    <n v="4685"/>
  </r>
  <r>
    <s v="DOLFUT"/>
    <x v="61"/>
    <x v="1"/>
    <n v="5243.5"/>
    <n v="5253.5"/>
    <n v="5243.5"/>
    <n v="5251.5"/>
    <n v="2994126625"/>
    <n v="11410"/>
  </r>
  <r>
    <s v="DOLFUT"/>
    <x v="61"/>
    <x v="2"/>
    <n v="5241"/>
    <n v="5247.5"/>
    <n v="5238"/>
    <n v="5244"/>
    <n v="2399522250"/>
    <n v="9155"/>
  </r>
  <r>
    <s v="DOLFUT"/>
    <x v="61"/>
    <x v="3"/>
    <n v="5240"/>
    <n v="5248"/>
    <n v="5233"/>
    <n v="5241"/>
    <n v="4014688625"/>
    <n v="15325"/>
  </r>
  <r>
    <s v="DOLFUT"/>
    <x v="61"/>
    <x v="4"/>
    <n v="5238"/>
    <n v="5253.5"/>
    <n v="5237.5"/>
    <n v="5240"/>
    <n v="3452632875"/>
    <n v="13165"/>
  </r>
  <r>
    <s v="DOLFUT"/>
    <x v="61"/>
    <x v="5"/>
    <n v="5237"/>
    <n v="5243"/>
    <n v="5232"/>
    <n v="5238.5"/>
    <n v="6693812625"/>
    <n v="25565"/>
  </r>
  <r>
    <s v="DOLFUT"/>
    <x v="61"/>
    <x v="6"/>
    <n v="5239"/>
    <n v="5243.5"/>
    <n v="5235"/>
    <n v="5236"/>
    <n v="5028753750"/>
    <n v="19200"/>
  </r>
  <r>
    <s v="DOLFUT"/>
    <x v="61"/>
    <x v="7"/>
    <n v="5245"/>
    <n v="5261.5"/>
    <n v="5234.5"/>
    <n v="5238.5"/>
    <n v="7853985375"/>
    <n v="29935"/>
  </r>
  <r>
    <s v="DOLFUT"/>
    <x v="61"/>
    <x v="8"/>
    <n v="5249"/>
    <n v="5254"/>
    <n v="5242.5"/>
    <n v="5245"/>
    <n v="6457477375"/>
    <n v="24610"/>
  </r>
  <r>
    <s v="DOLFUT"/>
    <x v="61"/>
    <x v="9"/>
    <n v="5268.5"/>
    <n v="5270"/>
    <n v="5248"/>
    <n v="5249"/>
    <n v="9256476000"/>
    <n v="35225"/>
  </r>
  <r>
    <s v="DOLFUT"/>
    <x v="61"/>
    <x v="10"/>
    <n v="5281"/>
    <n v="5289"/>
    <n v="5268.5"/>
    <n v="5270"/>
    <n v="4203355250"/>
    <n v="15915"/>
  </r>
  <r>
    <s v="DOLFUT"/>
    <x v="61"/>
    <x v="11"/>
    <n v="5313"/>
    <n v="5317"/>
    <n v="5281"/>
    <n v="5281"/>
    <n v="5226429125"/>
    <n v="19735"/>
  </r>
  <r>
    <s v="DOLFUT"/>
    <x v="62"/>
    <x v="12"/>
    <n v="5271"/>
    <n v="5294"/>
    <n v="5268"/>
    <n v="5289.5"/>
    <n v="3261249375"/>
    <n v="12350"/>
  </r>
  <r>
    <s v="DOLFUT"/>
    <x v="62"/>
    <x v="13"/>
    <n v="5284"/>
    <n v="5287"/>
    <n v="5262.5"/>
    <n v="5270.5"/>
    <n v="4626409250"/>
    <n v="17545"/>
  </r>
  <r>
    <s v="DOLFUT"/>
    <x v="62"/>
    <x v="14"/>
    <n v="5273"/>
    <n v="5285"/>
    <n v="5268"/>
    <n v="5284.5"/>
    <n v="3828963750"/>
    <n v="14515"/>
  </r>
  <r>
    <s v="DOLFUT"/>
    <x v="62"/>
    <x v="15"/>
    <n v="5279.5"/>
    <n v="5289"/>
    <n v="5271.5"/>
    <n v="5272.5"/>
    <n v="3063742875"/>
    <n v="11605"/>
  </r>
  <r>
    <s v="DOLFUT"/>
    <x v="62"/>
    <x v="16"/>
    <n v="5295.5"/>
    <n v="5297"/>
    <n v="5280"/>
    <n v="5280"/>
    <n v="8166331000"/>
    <n v="30885"/>
  </r>
  <r>
    <s v="DOLFUT"/>
    <x v="62"/>
    <x v="17"/>
    <n v="5295.5"/>
    <n v="5299.5"/>
    <n v="5284.5"/>
    <n v="5296"/>
    <n v="7319222375"/>
    <n v="27650"/>
  </r>
  <r>
    <s v="DOLFUT"/>
    <x v="62"/>
    <x v="18"/>
    <n v="5313"/>
    <n v="5314"/>
    <n v="5292"/>
    <n v="5295.5"/>
    <n v="4200288625"/>
    <n v="15845"/>
  </r>
  <r>
    <s v="DOLFUT"/>
    <x v="62"/>
    <x v="0"/>
    <n v="5305"/>
    <n v="5312.5"/>
    <n v="5298"/>
    <n v="5312.5"/>
    <n v="2464120500"/>
    <n v="9285"/>
  </r>
  <r>
    <s v="DOLFUT"/>
    <x v="62"/>
    <x v="1"/>
    <n v="5302.5"/>
    <n v="5307"/>
    <n v="5294.5"/>
    <n v="5304.5"/>
    <n v="3993810375"/>
    <n v="15065"/>
  </r>
  <r>
    <s v="DOLFUT"/>
    <x v="62"/>
    <x v="2"/>
    <n v="5302.5"/>
    <n v="5307.5"/>
    <n v="5291.5"/>
    <n v="5303"/>
    <n v="4455148625"/>
    <n v="16815"/>
  </r>
  <r>
    <s v="DOLFUT"/>
    <x v="62"/>
    <x v="3"/>
    <n v="5316"/>
    <n v="5317"/>
    <n v="5296.5"/>
    <n v="5303"/>
    <n v="3548321750"/>
    <n v="13375"/>
  </r>
  <r>
    <s v="DOLFUT"/>
    <x v="62"/>
    <x v="4"/>
    <n v="5316"/>
    <n v="5323"/>
    <n v="5308"/>
    <n v="5316.5"/>
    <n v="2772521250"/>
    <n v="10435"/>
  </r>
  <r>
    <s v="DOLFUT"/>
    <x v="62"/>
    <x v="5"/>
    <n v="5327"/>
    <n v="5328"/>
    <n v="5310"/>
    <n v="5316.5"/>
    <n v="3337034875"/>
    <n v="12550"/>
  </r>
  <r>
    <s v="DOLFUT"/>
    <x v="62"/>
    <x v="6"/>
    <n v="5333"/>
    <n v="5336"/>
    <n v="5314.5"/>
    <n v="5327.5"/>
    <n v="5574751875"/>
    <n v="20930"/>
  </r>
  <r>
    <s v="DOLFUT"/>
    <x v="62"/>
    <x v="7"/>
    <n v="5338.5"/>
    <n v="5354"/>
    <n v="5331.5"/>
    <n v="5333"/>
    <n v="5914839750"/>
    <n v="22150"/>
  </r>
  <r>
    <s v="DOLFUT"/>
    <x v="62"/>
    <x v="8"/>
    <n v="5312"/>
    <n v="5338.5"/>
    <n v="5301"/>
    <n v="5338.5"/>
    <n v="8301245125"/>
    <n v="31210"/>
  </r>
  <r>
    <s v="DOLFUT"/>
    <x v="62"/>
    <x v="9"/>
    <n v="5326.5"/>
    <n v="5326.5"/>
    <n v="5305"/>
    <n v="5314.5"/>
    <n v="4950146875"/>
    <n v="18630"/>
  </r>
  <r>
    <s v="DOLFUT"/>
    <x v="62"/>
    <x v="10"/>
    <n v="5324.5"/>
    <n v="5330.5"/>
    <n v="5316.5"/>
    <n v="5325.5"/>
    <n v="4047211375"/>
    <n v="15205"/>
  </r>
  <r>
    <s v="DOLFUT"/>
    <x v="62"/>
    <x v="11"/>
    <n v="5348"/>
    <n v="5352"/>
    <n v="5322"/>
    <n v="5324"/>
    <n v="6122862125"/>
    <n v="22945"/>
  </r>
  <r>
    <s v="DOLFUT"/>
    <x v="63"/>
    <x v="12"/>
    <n v="5299"/>
    <n v="5309"/>
    <n v="5298"/>
    <n v="5302.5"/>
    <n v="1986157000"/>
    <n v="7490"/>
  </r>
  <r>
    <s v="DOLFUT"/>
    <x v="63"/>
    <x v="13"/>
    <n v="5308"/>
    <n v="5309.5"/>
    <n v="5295"/>
    <n v="5298.5"/>
    <n v="3383806875"/>
    <n v="12765"/>
  </r>
  <r>
    <s v="DOLFUT"/>
    <x v="63"/>
    <x v="14"/>
    <n v="5322.5"/>
    <n v="5325.5"/>
    <n v="5303"/>
    <n v="5308.5"/>
    <n v="5345111875"/>
    <n v="20115"/>
  </r>
  <r>
    <s v="DOLFUT"/>
    <x v="63"/>
    <x v="15"/>
    <n v="5313"/>
    <n v="5328.5"/>
    <n v="5313"/>
    <n v="5322.5"/>
    <n v="4562012250"/>
    <n v="17140"/>
  </r>
  <r>
    <s v="DOLFUT"/>
    <x v="63"/>
    <x v="16"/>
    <n v="5314"/>
    <n v="5317.5"/>
    <n v="5308"/>
    <n v="5313"/>
    <n v="3437627625"/>
    <n v="12940"/>
  </r>
  <r>
    <s v="DOLFUT"/>
    <x v="63"/>
    <x v="17"/>
    <n v="5316"/>
    <n v="5319.5"/>
    <n v="5305.5"/>
    <n v="5314"/>
    <n v="5155211875"/>
    <n v="19410"/>
  </r>
  <r>
    <s v="DOLFUT"/>
    <x v="63"/>
    <x v="18"/>
    <n v="5298.5"/>
    <n v="5322.5"/>
    <n v="5295"/>
    <n v="5315.5"/>
    <n v="4494003000"/>
    <n v="16930"/>
  </r>
  <r>
    <s v="DOLFUT"/>
    <x v="63"/>
    <x v="0"/>
    <n v="5295"/>
    <n v="5305.5"/>
    <n v="5273.5"/>
    <n v="5298"/>
    <n v="5749059375"/>
    <n v="21730"/>
  </r>
  <r>
    <s v="DOLFUT"/>
    <x v="63"/>
    <x v="1"/>
    <n v="5293.5"/>
    <n v="5297"/>
    <n v="5280"/>
    <n v="5295"/>
    <n v="7281521750"/>
    <n v="27535"/>
  </r>
  <r>
    <s v="DOLFUT"/>
    <x v="63"/>
    <x v="2"/>
    <n v="5314"/>
    <n v="5315.5"/>
    <n v="5293"/>
    <n v="5293.5"/>
    <n v="6309543875"/>
    <n v="23800"/>
  </r>
  <r>
    <s v="DOLFUT"/>
    <x v="63"/>
    <x v="3"/>
    <n v="5287"/>
    <n v="5322"/>
    <n v="5287"/>
    <n v="5314"/>
    <n v="6951110125"/>
    <n v="26180"/>
  </r>
  <r>
    <s v="DOLFUT"/>
    <x v="63"/>
    <x v="4"/>
    <n v="5283"/>
    <n v="5294"/>
    <n v="5278"/>
    <n v="5286.5"/>
    <n v="11367515380"/>
    <n v="43045"/>
  </r>
  <r>
    <s v="DOLFUT"/>
    <x v="63"/>
    <x v="5"/>
    <n v="5273.5"/>
    <n v="5287.5"/>
    <n v="5262"/>
    <n v="5284"/>
    <n v="4263587500"/>
    <n v="16170"/>
  </r>
  <r>
    <s v="DOLFUT"/>
    <x v="63"/>
    <x v="6"/>
    <n v="5291"/>
    <n v="5292"/>
    <n v="5269"/>
    <n v="5274"/>
    <n v="4115369625"/>
    <n v="15580"/>
  </r>
  <r>
    <s v="DOLFUT"/>
    <x v="63"/>
    <x v="7"/>
    <n v="5288.5"/>
    <n v="5298.5"/>
    <n v="5273"/>
    <n v="5291"/>
    <n v="5275309125"/>
    <n v="19965"/>
  </r>
  <r>
    <s v="DOLFUT"/>
    <x v="63"/>
    <x v="8"/>
    <n v="5283.5"/>
    <n v="5294"/>
    <n v="5279"/>
    <n v="5288.5"/>
    <n v="4425933000"/>
    <n v="16745"/>
  </r>
  <r>
    <s v="DOLFUT"/>
    <x v="63"/>
    <x v="9"/>
    <n v="5279.5"/>
    <n v="5289"/>
    <n v="5272.5"/>
    <n v="5284"/>
    <n v="3296668000"/>
    <n v="12485"/>
  </r>
  <r>
    <s v="DOLFUT"/>
    <x v="63"/>
    <x v="10"/>
    <n v="5272"/>
    <n v="5286.5"/>
    <n v="5272"/>
    <n v="5277.5"/>
    <n v="4637405125"/>
    <n v="17560"/>
  </r>
  <r>
    <s v="DOLFUT"/>
    <x v="63"/>
    <x v="11"/>
    <n v="5283"/>
    <n v="5295.5"/>
    <n v="5267"/>
    <n v="5271"/>
    <n v="4275358625"/>
    <n v="16185"/>
  </r>
  <r>
    <s v="DOLFUT"/>
    <x v="64"/>
    <x v="12"/>
    <n v="5266.5"/>
    <n v="5270"/>
    <n v="5264"/>
    <n v="5270"/>
    <n v="1753780500"/>
    <n v="6660"/>
  </r>
  <r>
    <s v="DOLFUT"/>
    <x v="64"/>
    <x v="13"/>
    <n v="5258.5"/>
    <n v="5268"/>
    <n v="5256"/>
    <n v="5266.5"/>
    <n v="2632894625"/>
    <n v="10010"/>
  </r>
  <r>
    <s v="DOLFUT"/>
    <x v="64"/>
    <x v="14"/>
    <n v="5253.5"/>
    <n v="5260.5"/>
    <n v="5253"/>
    <n v="5258.5"/>
    <n v="4417286375"/>
    <n v="16810"/>
  </r>
  <r>
    <s v="DOLFUT"/>
    <x v="64"/>
    <x v="15"/>
    <n v="5254.5"/>
    <n v="5255.5"/>
    <n v="5250"/>
    <n v="5254"/>
    <n v="1796549125"/>
    <n v="6840"/>
  </r>
  <r>
    <s v="DOLFUT"/>
    <x v="64"/>
    <x v="16"/>
    <n v="5250.5"/>
    <n v="5258.5"/>
    <n v="5250"/>
    <n v="5255"/>
    <n v="1978697625"/>
    <n v="7530"/>
  </r>
  <r>
    <s v="DOLFUT"/>
    <x v="64"/>
    <x v="17"/>
    <n v="5255.5"/>
    <n v="5255.5"/>
    <n v="5247.5"/>
    <n v="5251"/>
    <n v="2062406750"/>
    <n v="7855"/>
  </r>
  <r>
    <s v="DOLFUT"/>
    <x v="64"/>
    <x v="18"/>
    <n v="5256.5"/>
    <n v="5263.5"/>
    <n v="5255"/>
    <n v="5256"/>
    <n v="1864252750"/>
    <n v="7090"/>
  </r>
  <r>
    <s v="DOLFUT"/>
    <x v="64"/>
    <x v="0"/>
    <n v="5259.5"/>
    <n v="5265.5"/>
    <n v="5256"/>
    <n v="5256.5"/>
    <n v="2441162500"/>
    <n v="9280"/>
  </r>
  <r>
    <s v="DOLFUT"/>
    <x v="64"/>
    <x v="1"/>
    <n v="5249.5"/>
    <n v="5260"/>
    <n v="5247"/>
    <n v="5260"/>
    <n v="4465340500"/>
    <n v="16995"/>
  </r>
  <r>
    <s v="DOLFUT"/>
    <x v="64"/>
    <x v="2"/>
    <n v="5254"/>
    <n v="5254.5"/>
    <n v="5243.5"/>
    <n v="5249.5"/>
    <n v="3709856125"/>
    <n v="14140"/>
  </r>
  <r>
    <s v="DOLFUT"/>
    <x v="64"/>
    <x v="3"/>
    <n v="5233"/>
    <n v="5267"/>
    <n v="5230"/>
    <n v="5254"/>
    <n v="6613051000"/>
    <n v="25205"/>
  </r>
  <r>
    <s v="DOLFUT"/>
    <x v="64"/>
    <x v="4"/>
    <n v="5234.5"/>
    <n v="5250"/>
    <n v="5232"/>
    <n v="5233.5"/>
    <n v="4218936375"/>
    <n v="16100"/>
  </r>
  <r>
    <s v="DOLFUT"/>
    <x v="64"/>
    <x v="5"/>
    <n v="5247.5"/>
    <n v="5255.5"/>
    <n v="5234"/>
    <n v="5234.5"/>
    <n v="15643317000"/>
    <n v="59665"/>
  </r>
  <r>
    <s v="DOLFUT"/>
    <x v="64"/>
    <x v="6"/>
    <n v="5244.5"/>
    <n v="5258.5"/>
    <n v="5234.5"/>
    <n v="5247"/>
    <n v="7045469500"/>
    <n v="26850"/>
  </r>
  <r>
    <s v="DOLFUT"/>
    <x v="64"/>
    <x v="7"/>
    <n v="5246.5"/>
    <n v="5251.5"/>
    <n v="5241"/>
    <n v="5244.5"/>
    <n v="4221281125"/>
    <n v="16090"/>
  </r>
  <r>
    <s v="DOLFUT"/>
    <x v="64"/>
    <x v="8"/>
    <n v="5253.5"/>
    <n v="5261"/>
    <n v="5245.5"/>
    <n v="5246.5"/>
    <n v="9758641250"/>
    <n v="37150"/>
  </r>
  <r>
    <s v="DOLFUT"/>
    <x v="64"/>
    <x v="9"/>
    <n v="5261.5"/>
    <n v="5261.5"/>
    <n v="5249"/>
    <n v="5253.5"/>
    <n v="6171918375"/>
    <n v="23490"/>
  </r>
  <r>
    <s v="DOLFUT"/>
    <x v="64"/>
    <x v="10"/>
    <n v="5281.5"/>
    <n v="5289"/>
    <n v="5261"/>
    <n v="5261"/>
    <n v="3506696375"/>
    <n v="13295"/>
  </r>
  <r>
    <s v="DOLFUT"/>
    <x v="64"/>
    <x v="11"/>
    <n v="5291.5"/>
    <n v="5294.5"/>
    <n v="5263.5"/>
    <n v="5281.5"/>
    <n v="7906525000"/>
    <n v="29965"/>
  </r>
  <r>
    <s v="DOLFUT"/>
    <x v="65"/>
    <x v="12"/>
    <n v="5310.5"/>
    <n v="5324.5"/>
    <n v="5306"/>
    <n v="5319"/>
    <n v="1151013875"/>
    <n v="4330"/>
  </r>
  <r>
    <s v="DOLFUT"/>
    <x v="65"/>
    <x v="13"/>
    <n v="5302.5"/>
    <n v="5313.5"/>
    <n v="5298.5"/>
    <n v="5310"/>
    <n v="1310958875"/>
    <n v="4940"/>
  </r>
  <r>
    <s v="DOLFUT"/>
    <x v="65"/>
    <x v="14"/>
    <n v="5303.5"/>
    <n v="5305.5"/>
    <n v="5298.5"/>
    <n v="5302.5"/>
    <n v="978396250"/>
    <n v="3690"/>
  </r>
  <r>
    <s v="DOLFUT"/>
    <x v="65"/>
    <x v="15"/>
    <n v="5310"/>
    <n v="5315"/>
    <n v="5291.5"/>
    <n v="5303.5"/>
    <n v="3968956375"/>
    <n v="14965"/>
  </r>
  <r>
    <s v="DOLFUT"/>
    <x v="65"/>
    <x v="16"/>
    <n v="5300.5"/>
    <n v="5310"/>
    <n v="5296.5"/>
    <n v="5309.5"/>
    <n v="4587983000"/>
    <n v="17295"/>
  </r>
  <r>
    <s v="DOLFUT"/>
    <x v="65"/>
    <x v="17"/>
    <n v="5315"/>
    <n v="5315.5"/>
    <n v="5298"/>
    <n v="5301"/>
    <n v="5237113125"/>
    <n v="19755"/>
  </r>
  <r>
    <s v="DOLFUT"/>
    <x v="65"/>
    <x v="18"/>
    <n v="5321.5"/>
    <n v="5321.5"/>
    <n v="5309"/>
    <n v="5314.5"/>
    <n v="5212748250"/>
    <n v="19610"/>
  </r>
  <r>
    <s v="DOLFUT"/>
    <x v="65"/>
    <x v="0"/>
    <n v="5322.5"/>
    <n v="5338.5"/>
    <n v="5316.5"/>
    <n v="5323"/>
    <n v="4716141625"/>
    <n v="17715"/>
  </r>
  <r>
    <s v="DOLFUT"/>
    <x v="65"/>
    <x v="1"/>
    <n v="5313"/>
    <n v="5338"/>
    <n v="5310.5"/>
    <n v="5323.5"/>
    <n v="5644392000"/>
    <n v="21195"/>
  </r>
  <r>
    <s v="DOLFUT"/>
    <x v="65"/>
    <x v="2"/>
    <n v="5332"/>
    <n v="5346.5"/>
    <n v="5311.5"/>
    <n v="5313"/>
    <n v="8221895750"/>
    <n v="30870"/>
  </r>
  <r>
    <s v="DOLFUT"/>
    <x v="65"/>
    <x v="3"/>
    <n v="5356.5"/>
    <n v="5357"/>
    <n v="5322"/>
    <n v="5330.5"/>
    <n v="10295988750"/>
    <n v="38545"/>
  </r>
  <r>
    <s v="DOLFUT"/>
    <x v="65"/>
    <x v="4"/>
    <n v="5364.5"/>
    <n v="5370.5"/>
    <n v="5344"/>
    <n v="5357"/>
    <n v="8584814125"/>
    <n v="32060"/>
  </r>
  <r>
    <s v="DOLFUT"/>
    <x v="65"/>
    <x v="5"/>
    <n v="5352.5"/>
    <n v="5383"/>
    <n v="5346.5"/>
    <n v="5364"/>
    <n v="12355754250"/>
    <n v="46030"/>
  </r>
  <r>
    <s v="DOLFUT"/>
    <x v="65"/>
    <x v="6"/>
    <n v="5331"/>
    <n v="5354"/>
    <n v="5319.5"/>
    <n v="5352.5"/>
    <n v="11144216130"/>
    <n v="41775"/>
  </r>
  <r>
    <s v="DOLFUT"/>
    <x v="65"/>
    <x v="7"/>
    <n v="5298"/>
    <n v="5333"/>
    <n v="5294.5"/>
    <n v="5330"/>
    <n v="12333966630"/>
    <n v="46365"/>
  </r>
  <r>
    <s v="DOLFUT"/>
    <x v="65"/>
    <x v="8"/>
    <n v="5295"/>
    <n v="5301.5"/>
    <n v="5287"/>
    <n v="5298.5"/>
    <n v="9247494625"/>
    <n v="34940"/>
  </r>
  <r>
    <s v="DOLFUT"/>
    <x v="65"/>
    <x v="9"/>
    <n v="5282.5"/>
    <n v="5299.5"/>
    <n v="5277.5"/>
    <n v="5295"/>
    <n v="8761845625"/>
    <n v="33130"/>
  </r>
  <r>
    <s v="DOLFUT"/>
    <x v="65"/>
    <x v="10"/>
    <n v="5283.5"/>
    <n v="5293.5"/>
    <n v="5280"/>
    <n v="5282.5"/>
    <n v="7754714750"/>
    <n v="29330"/>
  </r>
  <r>
    <s v="DOLFUT"/>
    <x v="65"/>
    <x v="11"/>
    <n v="5279"/>
    <n v="5307.5"/>
    <n v="5270.5"/>
    <n v="5284"/>
    <n v="8299943500"/>
    <n v="31415"/>
  </r>
  <r>
    <s v="DOLFUT"/>
    <x v="66"/>
    <x v="12"/>
    <n v="5216"/>
    <n v="5217"/>
    <n v="5211"/>
    <n v="5216.5"/>
    <n v="944995500"/>
    <n v="3625"/>
  </r>
  <r>
    <s v="DOLFUT"/>
    <x v="66"/>
    <x v="13"/>
    <n v="5218"/>
    <n v="5218"/>
    <n v="5210.5"/>
    <n v="5216"/>
    <n v="1917865375"/>
    <n v="7355"/>
  </r>
  <r>
    <s v="DOLFUT"/>
    <x v="66"/>
    <x v="14"/>
    <n v="5205.5"/>
    <n v="5229.5"/>
    <n v="5204"/>
    <n v="5218"/>
    <n v="13406102380"/>
    <n v="51430"/>
  </r>
  <r>
    <s v="DOLFUT"/>
    <x v="66"/>
    <x v="15"/>
    <n v="5209"/>
    <n v="5211"/>
    <n v="5204"/>
    <n v="5205"/>
    <n v="1308547625"/>
    <n v="5025"/>
  </r>
  <r>
    <s v="DOLFUT"/>
    <x v="66"/>
    <x v="16"/>
    <n v="5210"/>
    <n v="5212.5"/>
    <n v="5205.5"/>
    <n v="5209.5"/>
    <n v="2819359000"/>
    <n v="10825"/>
  </r>
  <r>
    <s v="DOLFUT"/>
    <x v="66"/>
    <x v="17"/>
    <n v="5215.5"/>
    <n v="5219.5"/>
    <n v="5209"/>
    <n v="5211"/>
    <n v="1622866000"/>
    <n v="6225"/>
  </r>
  <r>
    <s v="DOLFUT"/>
    <x v="66"/>
    <x v="18"/>
    <n v="5210"/>
    <n v="5218.5"/>
    <n v="5208"/>
    <n v="5215.5"/>
    <n v="4428355125"/>
    <n v="16990"/>
  </r>
  <r>
    <s v="DOLFUT"/>
    <x v="66"/>
    <x v="0"/>
    <n v="5220"/>
    <n v="5224"/>
    <n v="5208.5"/>
    <n v="5209.5"/>
    <n v="2576898875"/>
    <n v="9885"/>
  </r>
  <r>
    <s v="DOLFUT"/>
    <x v="66"/>
    <x v="1"/>
    <n v="5231"/>
    <n v="5234"/>
    <n v="5218.5"/>
    <n v="5221"/>
    <n v="2799090500"/>
    <n v="10710"/>
  </r>
  <r>
    <s v="DOLFUT"/>
    <x v="66"/>
    <x v="2"/>
    <n v="5239.5"/>
    <n v="5242.5"/>
    <n v="5226"/>
    <n v="5231.5"/>
    <n v="3460187875"/>
    <n v="13225"/>
  </r>
  <r>
    <s v="DOLFUT"/>
    <x v="66"/>
    <x v="3"/>
    <n v="5240"/>
    <n v="5244.5"/>
    <n v="5234.5"/>
    <n v="5240"/>
    <n v="5567529625"/>
    <n v="21255"/>
  </r>
  <r>
    <s v="DOLFUT"/>
    <x v="66"/>
    <x v="4"/>
    <n v="5228"/>
    <n v="5241.5"/>
    <n v="5226"/>
    <n v="5240"/>
    <n v="3924210750"/>
    <n v="14995"/>
  </r>
  <r>
    <s v="DOLFUT"/>
    <x v="66"/>
    <x v="5"/>
    <n v="5230.5"/>
    <n v="5235"/>
    <n v="5217"/>
    <n v="5228.5"/>
    <n v="4591037000"/>
    <n v="17570"/>
  </r>
  <r>
    <s v="DOLFUT"/>
    <x v="66"/>
    <x v="6"/>
    <n v="5244.5"/>
    <n v="5247"/>
    <n v="5227"/>
    <n v="5230.5"/>
    <n v="8744183375"/>
    <n v="33420"/>
  </r>
  <r>
    <s v="DOLFUT"/>
    <x v="66"/>
    <x v="7"/>
    <n v="5249"/>
    <n v="5254.5"/>
    <n v="5230.5"/>
    <n v="5244.5"/>
    <n v="10780802250"/>
    <n v="41115"/>
  </r>
  <r>
    <s v="DOLFUT"/>
    <x v="66"/>
    <x v="8"/>
    <n v="5237"/>
    <n v="5255"/>
    <n v="5236"/>
    <n v="5249"/>
    <n v="6873204000"/>
    <n v="26210"/>
  </r>
  <r>
    <s v="DOLFUT"/>
    <x v="66"/>
    <x v="9"/>
    <n v="5241"/>
    <n v="5250.5"/>
    <n v="5229"/>
    <n v="5237.5"/>
    <n v="9505630500"/>
    <n v="36270"/>
  </r>
  <r>
    <s v="DOLFUT"/>
    <x v="66"/>
    <x v="10"/>
    <n v="5219"/>
    <n v="5245"/>
    <n v="5217.5"/>
    <n v="5240"/>
    <n v="8570791000"/>
    <n v="32765"/>
  </r>
  <r>
    <s v="DOLFUT"/>
    <x v="66"/>
    <x v="11"/>
    <n v="5189.5"/>
    <n v="5227.5"/>
    <n v="5178"/>
    <n v="5219.5"/>
    <n v="7318141000"/>
    <n v="28120"/>
  </r>
  <r>
    <s v="DOLFUT"/>
    <x v="67"/>
    <x v="12"/>
    <n v="5168"/>
    <n v="5175"/>
    <n v="5168"/>
    <n v="5170.5"/>
    <n v="2156701750"/>
    <n v="8340"/>
  </r>
  <r>
    <s v="DOLFUT"/>
    <x v="67"/>
    <x v="13"/>
    <n v="5165.5"/>
    <n v="5169.5"/>
    <n v="5157"/>
    <n v="5168.5"/>
    <n v="3580429750"/>
    <n v="13870"/>
  </r>
  <r>
    <s v="DOLFUT"/>
    <x v="67"/>
    <x v="14"/>
    <n v="5176"/>
    <n v="5176"/>
    <n v="5166"/>
    <n v="5166"/>
    <n v="4038937750"/>
    <n v="15620"/>
  </r>
  <r>
    <s v="DOLFUT"/>
    <x v="67"/>
    <x v="15"/>
    <n v="5178"/>
    <n v="5180"/>
    <n v="5175.5"/>
    <n v="5175.5"/>
    <n v="1855081125"/>
    <n v="7165"/>
  </r>
  <r>
    <s v="DOLFUT"/>
    <x v="67"/>
    <x v="16"/>
    <n v="5177.5"/>
    <n v="5180.5"/>
    <n v="5174.5"/>
    <n v="5178"/>
    <n v="2574567500"/>
    <n v="9945"/>
  </r>
  <r>
    <s v="DOLFUT"/>
    <x v="67"/>
    <x v="17"/>
    <n v="5183"/>
    <n v="5184.5"/>
    <n v="5175.5"/>
    <n v="5178"/>
    <n v="3130055125"/>
    <n v="12085"/>
  </r>
  <r>
    <s v="DOLFUT"/>
    <x v="67"/>
    <x v="18"/>
    <n v="5178.5"/>
    <n v="5186"/>
    <n v="5178"/>
    <n v="5183.5"/>
    <n v="2246136625"/>
    <n v="8670"/>
  </r>
  <r>
    <s v="DOLFUT"/>
    <x v="67"/>
    <x v="0"/>
    <n v="5181"/>
    <n v="5182.5"/>
    <n v="5177"/>
    <n v="5178.5"/>
    <n v="2009841250"/>
    <n v="7760"/>
  </r>
  <r>
    <s v="DOLFUT"/>
    <x v="67"/>
    <x v="1"/>
    <n v="5178.5"/>
    <n v="5183"/>
    <n v="5175"/>
    <n v="5181.5"/>
    <n v="3144935000"/>
    <n v="12145"/>
  </r>
  <r>
    <s v="DOLFUT"/>
    <x v="67"/>
    <x v="2"/>
    <n v="5173"/>
    <n v="5179.5"/>
    <n v="5172"/>
    <n v="5179"/>
    <n v="1544934750"/>
    <n v="5970"/>
  </r>
  <r>
    <s v="DOLFUT"/>
    <x v="67"/>
    <x v="3"/>
    <n v="5169.5"/>
    <n v="5175.5"/>
    <n v="5164"/>
    <n v="5173.5"/>
    <n v="6684224625"/>
    <n v="25855"/>
  </r>
  <r>
    <s v="DOLFUT"/>
    <x v="67"/>
    <x v="4"/>
    <n v="5182"/>
    <n v="5186"/>
    <n v="5166"/>
    <n v="5169.5"/>
    <n v="8229888750"/>
    <n v="31800"/>
  </r>
  <r>
    <s v="DOLFUT"/>
    <x v="67"/>
    <x v="5"/>
    <n v="5198"/>
    <n v="5199.5"/>
    <n v="5181.5"/>
    <n v="5182.5"/>
    <n v="5484046000"/>
    <n v="21140"/>
  </r>
  <r>
    <s v="DOLFUT"/>
    <x v="67"/>
    <x v="6"/>
    <n v="5190.5"/>
    <n v="5201"/>
    <n v="5186"/>
    <n v="5198"/>
    <n v="3946291250"/>
    <n v="15200"/>
  </r>
  <r>
    <s v="DOLFUT"/>
    <x v="67"/>
    <x v="7"/>
    <n v="5206"/>
    <n v="5206.5"/>
    <n v="5188.5"/>
    <n v="5190.5"/>
    <n v="6851471500"/>
    <n v="26350"/>
  </r>
  <r>
    <s v="DOLFUT"/>
    <x v="67"/>
    <x v="8"/>
    <n v="5205"/>
    <n v="5211.5"/>
    <n v="5201"/>
    <n v="5206"/>
    <n v="3665940000"/>
    <n v="14085"/>
  </r>
  <r>
    <s v="DOLFUT"/>
    <x v="67"/>
    <x v="9"/>
    <n v="5191.5"/>
    <n v="5209.5"/>
    <n v="5185"/>
    <n v="5205"/>
    <n v="4579195375"/>
    <n v="17620"/>
  </r>
  <r>
    <s v="DOLFUT"/>
    <x v="67"/>
    <x v="10"/>
    <n v="5187"/>
    <n v="5199.5"/>
    <n v="5186"/>
    <n v="5191.5"/>
    <n v="3528868125"/>
    <n v="13590"/>
  </r>
  <r>
    <s v="DOLFUT"/>
    <x v="67"/>
    <x v="11"/>
    <n v="5179.5"/>
    <n v="5194.5"/>
    <n v="5176.5"/>
    <n v="5187"/>
    <n v="6130840375"/>
    <n v="23640"/>
  </r>
  <r>
    <s v="DOLFUT"/>
    <x v="68"/>
    <x v="12"/>
    <n v="5140.5"/>
    <n v="5143.5"/>
    <n v="5135.5"/>
    <n v="5137"/>
    <n v="596253375"/>
    <n v="2320"/>
  </r>
  <r>
    <s v="DOLFUT"/>
    <x v="68"/>
    <x v="13"/>
    <n v="5138"/>
    <n v="5141.5"/>
    <n v="5136"/>
    <n v="5140"/>
    <n v="999466750"/>
    <n v="3890"/>
  </r>
  <r>
    <s v="DOLFUT"/>
    <x v="68"/>
    <x v="14"/>
    <n v="5141"/>
    <n v="5141.5"/>
    <n v="5136.5"/>
    <n v="5138"/>
    <n v="3477509500"/>
    <n v="13535"/>
  </r>
  <r>
    <s v="DOLFUT"/>
    <x v="68"/>
    <x v="15"/>
    <n v="5145"/>
    <n v="5146.5"/>
    <n v="5141"/>
    <n v="5141"/>
    <n v="1430306750"/>
    <n v="5560"/>
  </r>
  <r>
    <s v="DOLFUT"/>
    <x v="68"/>
    <x v="16"/>
    <n v="5142"/>
    <n v="5146.5"/>
    <n v="5142"/>
    <n v="5145.5"/>
    <n v="2004911500"/>
    <n v="7795"/>
  </r>
  <r>
    <s v="DOLFUT"/>
    <x v="68"/>
    <x v="17"/>
    <n v="5150.5"/>
    <n v="5151"/>
    <n v="5141.5"/>
    <n v="5142.5"/>
    <n v="2488952625"/>
    <n v="9675"/>
  </r>
  <r>
    <s v="DOLFUT"/>
    <x v="68"/>
    <x v="18"/>
    <n v="5161.5"/>
    <n v="5161.5"/>
    <n v="5149.5"/>
    <n v="5151"/>
    <n v="1871040625"/>
    <n v="7260"/>
  </r>
  <r>
    <s v="DOLFUT"/>
    <x v="68"/>
    <x v="0"/>
    <n v="5166.5"/>
    <n v="5166.5"/>
    <n v="5158.5"/>
    <n v="5161"/>
    <n v="2268477125"/>
    <n v="8790"/>
  </r>
  <r>
    <s v="DOLFUT"/>
    <x v="68"/>
    <x v="1"/>
    <n v="5155"/>
    <n v="5168"/>
    <n v="5154"/>
    <n v="5166.5"/>
    <n v="1968946250"/>
    <n v="7630"/>
  </r>
  <r>
    <s v="DOLFUT"/>
    <x v="68"/>
    <x v="2"/>
    <n v="5145.5"/>
    <n v="5158"/>
    <n v="5144.5"/>
    <n v="5155.5"/>
    <n v="2336759625"/>
    <n v="9075"/>
  </r>
  <r>
    <s v="DOLFUT"/>
    <x v="68"/>
    <x v="3"/>
    <n v="5144.5"/>
    <n v="5151.5"/>
    <n v="5142.5"/>
    <n v="5145.5"/>
    <n v="1793788750"/>
    <n v="6970"/>
  </r>
  <r>
    <s v="DOLFUT"/>
    <x v="68"/>
    <x v="4"/>
    <n v="5155.5"/>
    <n v="5156.5"/>
    <n v="5143.5"/>
    <n v="5145"/>
    <n v="3299570125"/>
    <n v="12815"/>
  </r>
  <r>
    <s v="DOLFUT"/>
    <x v="68"/>
    <x v="5"/>
    <n v="5147.5"/>
    <n v="5163"/>
    <n v="5141.5"/>
    <n v="5155"/>
    <n v="6370323625"/>
    <n v="24725"/>
  </r>
  <r>
    <s v="DOLFUT"/>
    <x v="68"/>
    <x v="6"/>
    <n v="5143"/>
    <n v="5155"/>
    <n v="5141.5"/>
    <n v="5147.5"/>
    <n v="4874452500"/>
    <n v="18935"/>
  </r>
  <r>
    <s v="DOLFUT"/>
    <x v="68"/>
    <x v="7"/>
    <n v="5136"/>
    <n v="5143.5"/>
    <n v="5134.5"/>
    <n v="5143.5"/>
    <n v="2730032250"/>
    <n v="10625"/>
  </r>
  <r>
    <s v="DOLFUT"/>
    <x v="68"/>
    <x v="8"/>
    <n v="5136"/>
    <n v="5137.5"/>
    <n v="5131"/>
    <n v="5135.5"/>
    <n v="5248515625"/>
    <n v="20440"/>
  </r>
  <r>
    <s v="DOLFUT"/>
    <x v="68"/>
    <x v="9"/>
    <n v="5130"/>
    <n v="5136"/>
    <n v="5123.5"/>
    <n v="5136"/>
    <n v="6741746875"/>
    <n v="26275"/>
  </r>
  <r>
    <s v="DOLFUT"/>
    <x v="68"/>
    <x v="10"/>
    <n v="5133.5"/>
    <n v="5144.5"/>
    <n v="5129"/>
    <n v="5129.5"/>
    <n v="3234251375"/>
    <n v="12590"/>
  </r>
  <r>
    <s v="DOLFUT"/>
    <x v="68"/>
    <x v="11"/>
    <n v="5133"/>
    <n v="5137"/>
    <n v="5129"/>
    <n v="5134"/>
    <n v="2195626625"/>
    <n v="8555"/>
  </r>
  <r>
    <s v="DOLFUT"/>
    <x v="69"/>
    <x v="12"/>
    <n v="5128"/>
    <n v="5128.5"/>
    <n v="5124.5"/>
    <n v="5128"/>
    <n v="1034379625"/>
    <n v="4035"/>
  </r>
  <r>
    <s v="DOLFUT"/>
    <x v="69"/>
    <x v="13"/>
    <n v="5129"/>
    <n v="5129"/>
    <n v="5124"/>
    <n v="5128"/>
    <n v="1504552250"/>
    <n v="5870"/>
  </r>
  <r>
    <s v="DOLFUT"/>
    <x v="69"/>
    <x v="14"/>
    <n v="5127.5"/>
    <n v="5129.5"/>
    <n v="5126"/>
    <n v="5129.5"/>
    <n v="5064954500"/>
    <n v="19755"/>
  </r>
  <r>
    <s v="DOLFUT"/>
    <x v="69"/>
    <x v="15"/>
    <n v="5130"/>
    <n v="5130.5"/>
    <n v="5126"/>
    <n v="5128"/>
    <n v="2124298750"/>
    <n v="8285"/>
  </r>
  <r>
    <s v="DOLFUT"/>
    <x v="69"/>
    <x v="16"/>
    <n v="5132"/>
    <n v="5133.5"/>
    <n v="5129"/>
    <n v="5130"/>
    <n v="1685491250"/>
    <n v="6570"/>
  </r>
  <r>
    <s v="DOLFUT"/>
    <x v="69"/>
    <x v="17"/>
    <n v="5132"/>
    <n v="5135"/>
    <n v="5131.5"/>
    <n v="5131.5"/>
    <n v="1139466125"/>
    <n v="4440"/>
  </r>
  <r>
    <s v="DOLFUT"/>
    <x v="69"/>
    <x v="18"/>
    <n v="5134.5"/>
    <n v="5136.5"/>
    <n v="5132"/>
    <n v="5133"/>
    <n v="2823911125"/>
    <n v="11000"/>
  </r>
  <r>
    <s v="DOLFUT"/>
    <x v="69"/>
    <x v="0"/>
    <n v="5133"/>
    <n v="5135.5"/>
    <n v="5129"/>
    <n v="5134"/>
    <n v="2891842625"/>
    <n v="11270"/>
  </r>
  <r>
    <s v="DOLFUT"/>
    <x v="69"/>
    <x v="1"/>
    <n v="5141.5"/>
    <n v="5141.5"/>
    <n v="5133"/>
    <n v="5133"/>
    <n v="3239255375"/>
    <n v="12610"/>
  </r>
  <r>
    <s v="DOLFUT"/>
    <x v="69"/>
    <x v="2"/>
    <n v="5143"/>
    <n v="5146"/>
    <n v="5140.5"/>
    <n v="5141.5"/>
    <n v="2526516875"/>
    <n v="9825"/>
  </r>
  <r>
    <s v="DOLFUT"/>
    <x v="69"/>
    <x v="3"/>
    <n v="5150"/>
    <n v="5150.5"/>
    <n v="5140"/>
    <n v="5143"/>
    <n v="4178072625"/>
    <n v="16240"/>
  </r>
  <r>
    <s v="DOLFUT"/>
    <x v="69"/>
    <x v="4"/>
    <n v="5165.5"/>
    <n v="5172"/>
    <n v="5150"/>
    <n v="5150.5"/>
    <n v="5862114875"/>
    <n v="22710"/>
  </r>
  <r>
    <s v="DOLFUT"/>
    <x v="69"/>
    <x v="5"/>
    <n v="5156"/>
    <n v="5167"/>
    <n v="5151"/>
    <n v="5164.5"/>
    <n v="2536547875"/>
    <n v="9835"/>
  </r>
  <r>
    <s v="DOLFUT"/>
    <x v="69"/>
    <x v="6"/>
    <n v="5147.5"/>
    <n v="5156.5"/>
    <n v="5142"/>
    <n v="5156.5"/>
    <n v="5523995625"/>
    <n v="21455"/>
  </r>
  <r>
    <s v="DOLFUT"/>
    <x v="69"/>
    <x v="7"/>
    <n v="5152"/>
    <n v="5159"/>
    <n v="5147"/>
    <n v="5147.5"/>
    <n v="3037582500"/>
    <n v="11790"/>
  </r>
  <r>
    <s v="DOLFUT"/>
    <x v="69"/>
    <x v="8"/>
    <n v="5141"/>
    <n v="5153"/>
    <n v="5140.5"/>
    <n v="5151.5"/>
    <n v="3950852750"/>
    <n v="15355"/>
  </r>
  <r>
    <s v="DOLFUT"/>
    <x v="69"/>
    <x v="9"/>
    <n v="5127.5"/>
    <n v="5140.5"/>
    <n v="5127"/>
    <n v="5140.5"/>
    <n v="3429814375"/>
    <n v="13365"/>
  </r>
  <r>
    <s v="DOLFUT"/>
    <x v="69"/>
    <x v="10"/>
    <n v="5140"/>
    <n v="5144.5"/>
    <n v="5127"/>
    <n v="5128"/>
    <n v="4039106750"/>
    <n v="15735"/>
  </r>
  <r>
    <s v="DOLFUT"/>
    <x v="69"/>
    <x v="11"/>
    <n v="5144.5"/>
    <n v="5146"/>
    <n v="5121.5"/>
    <n v="5140"/>
    <n v="4751048000"/>
    <n v="18510"/>
  </r>
  <r>
    <s v="DOLFUT"/>
    <x v="70"/>
    <x v="12"/>
    <n v="5161"/>
    <n v="5167"/>
    <n v="5155"/>
    <n v="5162.5"/>
    <n v="1629811625"/>
    <n v="6315"/>
  </r>
  <r>
    <s v="DOLFUT"/>
    <x v="70"/>
    <x v="13"/>
    <n v="5164.5"/>
    <n v="5164.5"/>
    <n v="5157.5"/>
    <n v="5161"/>
    <n v="2412672500"/>
    <n v="9350"/>
  </r>
  <r>
    <s v="DOLFUT"/>
    <x v="70"/>
    <x v="14"/>
    <n v="5160"/>
    <n v="5167"/>
    <n v="5160"/>
    <n v="5164"/>
    <n v="2462793625"/>
    <n v="9540"/>
  </r>
  <r>
    <s v="DOLFUT"/>
    <x v="70"/>
    <x v="15"/>
    <n v="5160"/>
    <n v="5161.5"/>
    <n v="5157.5"/>
    <n v="5160"/>
    <n v="1510407500"/>
    <n v="5855"/>
  </r>
  <r>
    <s v="DOLFUT"/>
    <x v="70"/>
    <x v="16"/>
    <n v="5154.5"/>
    <n v="5160.5"/>
    <n v="5154.5"/>
    <n v="5160"/>
    <n v="3096116250"/>
    <n v="12005"/>
  </r>
  <r>
    <s v="DOLFUT"/>
    <x v="70"/>
    <x v="17"/>
    <n v="5155.5"/>
    <n v="5155.5"/>
    <n v="5152"/>
    <n v="5155"/>
    <n v="2686611250"/>
    <n v="10425"/>
  </r>
  <r>
    <s v="DOLFUT"/>
    <x v="70"/>
    <x v="18"/>
    <n v="5154.5"/>
    <n v="5156"/>
    <n v="5151.5"/>
    <n v="5155"/>
    <n v="2053929000"/>
    <n v="7970"/>
  </r>
  <r>
    <s v="DOLFUT"/>
    <x v="70"/>
    <x v="0"/>
    <n v="5152.5"/>
    <n v="5157"/>
    <n v="5152"/>
    <n v="5154"/>
    <n v="1554321125"/>
    <n v="6030"/>
  </r>
  <r>
    <s v="DOLFUT"/>
    <x v="70"/>
    <x v="1"/>
    <n v="5153.5"/>
    <n v="5156"/>
    <n v="5152.5"/>
    <n v="5153.5"/>
    <n v="2445656875"/>
    <n v="9490"/>
  </r>
  <r>
    <s v="DOLFUT"/>
    <x v="70"/>
    <x v="2"/>
    <n v="5150.5"/>
    <n v="5154"/>
    <n v="5148.5"/>
    <n v="5153.5"/>
    <n v="5322706250"/>
    <n v="20665"/>
  </r>
  <r>
    <s v="DOLFUT"/>
    <x v="70"/>
    <x v="3"/>
    <n v="5159"/>
    <n v="5161"/>
    <n v="5148"/>
    <n v="5151"/>
    <n v="3723116125"/>
    <n v="14450"/>
  </r>
  <r>
    <s v="DOLFUT"/>
    <x v="70"/>
    <x v="4"/>
    <n v="5164"/>
    <n v="5168"/>
    <n v="5156.5"/>
    <n v="5158.5"/>
    <n v="4091597500"/>
    <n v="15850"/>
  </r>
  <r>
    <s v="DOLFUT"/>
    <x v="70"/>
    <x v="5"/>
    <n v="5177"/>
    <n v="5178.5"/>
    <n v="5163"/>
    <n v="5163.5"/>
    <n v="4135157250"/>
    <n v="15995"/>
  </r>
  <r>
    <s v="DOLFUT"/>
    <x v="70"/>
    <x v="6"/>
    <n v="5176"/>
    <n v="5181"/>
    <n v="5173.5"/>
    <n v="5176.5"/>
    <n v="7262666625"/>
    <n v="28060"/>
  </r>
  <r>
    <s v="DOLFUT"/>
    <x v="70"/>
    <x v="7"/>
    <n v="5184.5"/>
    <n v="5186"/>
    <n v="5174.5"/>
    <n v="5175.5"/>
    <n v="4278460625"/>
    <n v="16520"/>
  </r>
  <r>
    <s v="DOLFUT"/>
    <x v="70"/>
    <x v="8"/>
    <n v="5182.5"/>
    <n v="5190"/>
    <n v="5179.5"/>
    <n v="5184.5"/>
    <n v="3879283750"/>
    <n v="14965"/>
  </r>
  <r>
    <s v="DOLFUT"/>
    <x v="70"/>
    <x v="9"/>
    <n v="5179"/>
    <n v="5185"/>
    <n v="5177.5"/>
    <n v="5182.5"/>
    <n v="7268638875"/>
    <n v="28050"/>
  </r>
  <r>
    <s v="DOLFUT"/>
    <x v="70"/>
    <x v="10"/>
    <n v="5187.5"/>
    <n v="5190"/>
    <n v="5178.5"/>
    <n v="5178.5"/>
    <n v="2924651875"/>
    <n v="11280"/>
  </r>
  <r>
    <s v="DOLFUT"/>
    <x v="70"/>
    <x v="11"/>
    <n v="5178.5"/>
    <n v="5188.5"/>
    <n v="5171"/>
    <n v="5187.5"/>
    <n v="2311473000"/>
    <n v="8925"/>
  </r>
  <r>
    <s v="DOLFUT"/>
    <x v="71"/>
    <x v="12"/>
    <n v="5173"/>
    <n v="5183"/>
    <n v="5170.5"/>
    <n v="5179.5"/>
    <n v="1020724875"/>
    <n v="3945"/>
  </r>
  <r>
    <s v="DOLFUT"/>
    <x v="71"/>
    <x v="13"/>
    <n v="5173"/>
    <n v="5174.5"/>
    <n v="5172"/>
    <n v="5173"/>
    <n v="1090235125"/>
    <n v="4215"/>
  </r>
  <r>
    <s v="DOLFUT"/>
    <x v="71"/>
    <x v="14"/>
    <n v="5176"/>
    <n v="5176.5"/>
    <n v="5172.5"/>
    <n v="5173"/>
    <n v="1137062500"/>
    <n v="4395"/>
  </r>
  <r>
    <s v="DOLFUT"/>
    <x v="71"/>
    <x v="15"/>
    <n v="5174.5"/>
    <n v="5179"/>
    <n v="5174"/>
    <n v="5176"/>
    <n v="1843004250"/>
    <n v="7120"/>
  </r>
  <r>
    <s v="DOLFUT"/>
    <x v="71"/>
    <x v="16"/>
    <n v="5173.5"/>
    <n v="5176"/>
    <n v="5172.5"/>
    <n v="5175"/>
    <n v="3161637750"/>
    <n v="12220"/>
  </r>
  <r>
    <s v="DOLFUT"/>
    <x v="71"/>
    <x v="17"/>
    <n v="5168"/>
    <n v="5175"/>
    <n v="5167"/>
    <n v="5173.5"/>
    <n v="2371298375"/>
    <n v="9170"/>
  </r>
  <r>
    <s v="DOLFUT"/>
    <x v="71"/>
    <x v="18"/>
    <n v="5169"/>
    <n v="5175"/>
    <n v="5167"/>
    <n v="5168"/>
    <n v="1950759125"/>
    <n v="7545"/>
  </r>
  <r>
    <s v="DOLFUT"/>
    <x v="71"/>
    <x v="0"/>
    <n v="5170"/>
    <n v="5175.5"/>
    <n v="5167.5"/>
    <n v="5168.5"/>
    <n v="2555685750"/>
    <n v="9885"/>
  </r>
  <r>
    <s v="DOLFUT"/>
    <x v="71"/>
    <x v="1"/>
    <n v="5162"/>
    <n v="5171.5"/>
    <n v="5159"/>
    <n v="5170"/>
    <n v="3000941625"/>
    <n v="11615"/>
  </r>
  <r>
    <s v="DOLFUT"/>
    <x v="71"/>
    <x v="2"/>
    <n v="5156"/>
    <n v="5163"/>
    <n v="5153.5"/>
    <n v="5162.5"/>
    <n v="3172209750"/>
    <n v="12300"/>
  </r>
  <r>
    <s v="DOLFUT"/>
    <x v="71"/>
    <x v="3"/>
    <n v="5161"/>
    <n v="5172.5"/>
    <n v="5155"/>
    <n v="5156.5"/>
    <n v="5422624875"/>
    <n v="20995"/>
  </r>
  <r>
    <s v="DOLFUT"/>
    <x v="71"/>
    <x v="4"/>
    <n v="5155.5"/>
    <n v="5163.5"/>
    <n v="5155"/>
    <n v="5161"/>
    <n v="6486767375"/>
    <n v="25150"/>
  </r>
  <r>
    <s v="DOLFUT"/>
    <x v="71"/>
    <x v="5"/>
    <n v="5150"/>
    <n v="5157"/>
    <n v="5147.5"/>
    <n v="5155"/>
    <n v="4157732625"/>
    <n v="16140"/>
  </r>
  <r>
    <s v="DOLFUT"/>
    <x v="71"/>
    <x v="6"/>
    <n v="5164.5"/>
    <n v="5166"/>
    <n v="5145.5"/>
    <n v="5150.5"/>
    <n v="6908849500"/>
    <n v="26815"/>
  </r>
  <r>
    <s v="DOLFUT"/>
    <x v="71"/>
    <x v="7"/>
    <n v="5175"/>
    <n v="5175.5"/>
    <n v="5164"/>
    <n v="5165"/>
    <n v="4182755875"/>
    <n v="16185"/>
  </r>
  <r>
    <s v="DOLFUT"/>
    <x v="71"/>
    <x v="8"/>
    <n v="5178"/>
    <n v="5178"/>
    <n v="5170"/>
    <n v="5175.5"/>
    <n v="3605258750"/>
    <n v="13935"/>
  </r>
  <r>
    <s v="DOLFUT"/>
    <x v="71"/>
    <x v="9"/>
    <n v="5189.5"/>
    <n v="5197"/>
    <n v="5177.5"/>
    <n v="5178.5"/>
    <n v="6324967625"/>
    <n v="24400"/>
  </r>
  <r>
    <s v="DOLFUT"/>
    <x v="71"/>
    <x v="10"/>
    <n v="5193"/>
    <n v="5193.5"/>
    <n v="5185"/>
    <n v="5189.5"/>
    <n v="2432294000"/>
    <n v="9375"/>
  </r>
  <r>
    <s v="DOLFUT"/>
    <x v="71"/>
    <x v="11"/>
    <n v="5190"/>
    <n v="5198"/>
    <n v="5188"/>
    <n v="5193.5"/>
    <n v="2078361375"/>
    <n v="8005"/>
  </r>
  <r>
    <s v="DOLFUT"/>
    <x v="72"/>
    <x v="12"/>
    <n v="5185"/>
    <n v="5186.5"/>
    <n v="5180"/>
    <n v="5186"/>
    <n v="1105282125"/>
    <n v="4265"/>
  </r>
  <r>
    <s v="DOLFUT"/>
    <x v="72"/>
    <x v="13"/>
    <n v="5184"/>
    <n v="5185.5"/>
    <n v="5181.5"/>
    <n v="5185.5"/>
    <n v="1069091000"/>
    <n v="4125"/>
  </r>
  <r>
    <s v="DOLFUT"/>
    <x v="72"/>
    <x v="14"/>
    <n v="5185.5"/>
    <n v="5186"/>
    <n v="5181.5"/>
    <n v="5184"/>
    <n v="1494231750"/>
    <n v="5765"/>
  </r>
  <r>
    <s v="DOLFUT"/>
    <x v="72"/>
    <x v="15"/>
    <n v="5189.5"/>
    <n v="5189.5"/>
    <n v="5183.5"/>
    <n v="5185.5"/>
    <n v="4038346375"/>
    <n v="15570"/>
  </r>
  <r>
    <s v="DOLFUT"/>
    <x v="72"/>
    <x v="16"/>
    <n v="5187"/>
    <n v="5189.5"/>
    <n v="5186"/>
    <n v="5189.5"/>
    <n v="1241318875"/>
    <n v="4785"/>
  </r>
  <r>
    <s v="DOLFUT"/>
    <x v="72"/>
    <x v="17"/>
    <n v="5194"/>
    <n v="5196.5"/>
    <n v="5183.5"/>
    <n v="5187"/>
    <n v="5094484375"/>
    <n v="19640"/>
  </r>
  <r>
    <s v="DOLFUT"/>
    <x v="72"/>
    <x v="18"/>
    <n v="5200.5"/>
    <n v="5203.5"/>
    <n v="5191"/>
    <n v="5193.5"/>
    <n v="2692953875"/>
    <n v="10365"/>
  </r>
  <r>
    <s v="DOLFUT"/>
    <x v="72"/>
    <x v="0"/>
    <n v="5205.5"/>
    <n v="5205.5"/>
    <n v="5194"/>
    <n v="5200.5"/>
    <n v="2852807250"/>
    <n v="10975"/>
  </r>
  <r>
    <s v="DOLFUT"/>
    <x v="72"/>
    <x v="1"/>
    <n v="5196.5"/>
    <n v="5207"/>
    <n v="5195.5"/>
    <n v="5206"/>
    <n v="6582203625"/>
    <n v="25305"/>
  </r>
  <r>
    <s v="DOLFUT"/>
    <x v="72"/>
    <x v="2"/>
    <n v="5195.5"/>
    <n v="5197.5"/>
    <n v="5192"/>
    <n v="5196.5"/>
    <n v="2946901000"/>
    <n v="11345"/>
  </r>
  <r>
    <s v="DOLFUT"/>
    <x v="72"/>
    <x v="3"/>
    <n v="5195.5"/>
    <n v="5196.5"/>
    <n v="5187"/>
    <n v="5195"/>
    <n v="4376347000"/>
    <n v="16855"/>
  </r>
  <r>
    <s v="DOLFUT"/>
    <x v="72"/>
    <x v="4"/>
    <n v="5201"/>
    <n v="5208"/>
    <n v="5195"/>
    <n v="5195.5"/>
    <n v="4899899625"/>
    <n v="18850"/>
  </r>
  <r>
    <s v="DOLFUT"/>
    <x v="72"/>
    <x v="5"/>
    <n v="5207.5"/>
    <n v="5209.5"/>
    <n v="5192"/>
    <n v="5201"/>
    <n v="9138591375"/>
    <n v="35145"/>
  </r>
  <r>
    <s v="DOLFUT"/>
    <x v="72"/>
    <x v="6"/>
    <n v="5214"/>
    <n v="5215.5"/>
    <n v="5200"/>
    <n v="5206.5"/>
    <n v="6861717750"/>
    <n v="26355"/>
  </r>
  <r>
    <s v="DOLFUT"/>
    <x v="72"/>
    <x v="7"/>
    <n v="5213.5"/>
    <n v="5218"/>
    <n v="5210.5"/>
    <n v="5214.5"/>
    <n v="3653638125"/>
    <n v="14015"/>
  </r>
  <r>
    <s v="DOLFUT"/>
    <x v="72"/>
    <x v="8"/>
    <n v="5221.5"/>
    <n v="5225"/>
    <n v="5212.5"/>
    <n v="5213.5"/>
    <n v="5333715875"/>
    <n v="20440"/>
  </r>
  <r>
    <s v="DOLFUT"/>
    <x v="72"/>
    <x v="9"/>
    <n v="5228"/>
    <n v="5232.5"/>
    <n v="5219.5"/>
    <n v="5223"/>
    <n v="5297136125"/>
    <n v="20275"/>
  </r>
  <r>
    <s v="DOLFUT"/>
    <x v="72"/>
    <x v="10"/>
    <n v="5227.5"/>
    <n v="5233"/>
    <n v="5224"/>
    <n v="5229"/>
    <n v="2354113375"/>
    <n v="9005"/>
  </r>
  <r>
    <s v="DOLFUT"/>
    <x v="72"/>
    <x v="11"/>
    <n v="5223.5"/>
    <n v="5227.5"/>
    <n v="5215"/>
    <n v="5227"/>
    <n v="1645753375"/>
    <n v="6305"/>
  </r>
  <r>
    <s v="DOLFUT"/>
    <x v="73"/>
    <x v="12"/>
    <n v="5226.5"/>
    <n v="5227.5"/>
    <n v="5222"/>
    <n v="5224"/>
    <n v="726199500"/>
    <n v="2780"/>
  </r>
  <r>
    <s v="DOLFUT"/>
    <x v="73"/>
    <x v="13"/>
    <n v="5236.5"/>
    <n v="5236.5"/>
    <n v="5225"/>
    <n v="5227"/>
    <n v="2100288375"/>
    <n v="8030"/>
  </r>
  <r>
    <s v="DOLFUT"/>
    <x v="73"/>
    <x v="14"/>
    <n v="5240"/>
    <n v="5240.5"/>
    <n v="5236"/>
    <n v="5236.5"/>
    <n v="2681080750"/>
    <n v="10235"/>
  </r>
  <r>
    <s v="DOLFUT"/>
    <x v="73"/>
    <x v="15"/>
    <n v="5237"/>
    <n v="5244.5"/>
    <n v="5236.5"/>
    <n v="5240"/>
    <n v="2965058375"/>
    <n v="11315"/>
  </r>
  <r>
    <s v="DOLFUT"/>
    <x v="73"/>
    <x v="16"/>
    <n v="5237.5"/>
    <n v="5240.5"/>
    <n v="5236"/>
    <n v="5236.5"/>
    <n v="2289281875"/>
    <n v="8740"/>
  </r>
  <r>
    <s v="DOLFUT"/>
    <x v="73"/>
    <x v="17"/>
    <n v="5238.5"/>
    <n v="5241"/>
    <n v="5237"/>
    <n v="5237.5"/>
    <n v="1525608250"/>
    <n v="5825"/>
  </r>
  <r>
    <s v="DOLFUT"/>
    <x v="73"/>
    <x v="18"/>
    <n v="5242.5"/>
    <n v="5244"/>
    <n v="5238"/>
    <n v="5238.5"/>
    <n v="2156814000"/>
    <n v="8230"/>
  </r>
  <r>
    <s v="DOLFUT"/>
    <x v="73"/>
    <x v="0"/>
    <n v="5236"/>
    <n v="5244.5"/>
    <n v="5233.5"/>
    <n v="5243"/>
    <n v="4190134625"/>
    <n v="15995"/>
  </r>
  <r>
    <s v="DOLFUT"/>
    <x v="73"/>
    <x v="1"/>
    <n v="5237.5"/>
    <n v="5242"/>
    <n v="5234.5"/>
    <n v="5236.5"/>
    <n v="4014521875"/>
    <n v="15325"/>
  </r>
  <r>
    <s v="DOLFUT"/>
    <x v="73"/>
    <x v="2"/>
    <n v="5237"/>
    <n v="5238.5"/>
    <n v="5233"/>
    <n v="5237"/>
    <n v="3954559750"/>
    <n v="15105"/>
  </r>
  <r>
    <s v="DOLFUT"/>
    <x v="73"/>
    <x v="3"/>
    <n v="5228.5"/>
    <n v="5238.5"/>
    <n v="5227"/>
    <n v="5237.5"/>
    <n v="4293795250"/>
    <n v="16415"/>
  </r>
  <r>
    <s v="DOLFUT"/>
    <x v="73"/>
    <x v="4"/>
    <n v="5234"/>
    <n v="5234.5"/>
    <n v="5227"/>
    <n v="5228.5"/>
    <n v="3424911750"/>
    <n v="13095"/>
  </r>
  <r>
    <s v="DOLFUT"/>
    <x v="73"/>
    <x v="5"/>
    <n v="5243"/>
    <n v="5246"/>
    <n v="5227"/>
    <n v="5233.5"/>
    <n v="10849215000"/>
    <n v="41445"/>
  </r>
  <r>
    <s v="DOLFUT"/>
    <x v="73"/>
    <x v="6"/>
    <n v="5232.5"/>
    <n v="5245"/>
    <n v="5231.5"/>
    <n v="5243"/>
    <n v="7276544250"/>
    <n v="27775"/>
  </r>
  <r>
    <s v="DOLFUT"/>
    <x v="73"/>
    <x v="7"/>
    <n v="5230"/>
    <n v="5238"/>
    <n v="5228.5"/>
    <n v="5233.5"/>
    <n v="7482616000"/>
    <n v="28600"/>
  </r>
  <r>
    <s v="DOLFUT"/>
    <x v="73"/>
    <x v="8"/>
    <n v="5241"/>
    <n v="5243"/>
    <n v="5227"/>
    <n v="5229.5"/>
    <n v="9026174750"/>
    <n v="34500"/>
  </r>
  <r>
    <s v="DOLFUT"/>
    <x v="73"/>
    <x v="9"/>
    <n v="5243.5"/>
    <n v="5253"/>
    <n v="5239.5"/>
    <n v="5240.5"/>
    <n v="7557584125"/>
    <n v="28815"/>
  </r>
  <r>
    <s v="DOLFUT"/>
    <x v="73"/>
    <x v="10"/>
    <n v="5244"/>
    <n v="5246.5"/>
    <n v="5237.5"/>
    <n v="5244"/>
    <n v="4743356625"/>
    <n v="18095"/>
  </r>
  <r>
    <s v="DOLFUT"/>
    <x v="73"/>
    <x v="11"/>
    <n v="5260"/>
    <n v="5266.5"/>
    <n v="5240"/>
    <n v="5244.5"/>
    <n v="5655022500"/>
    <n v="21530"/>
  </r>
  <r>
    <s v="DOLFUT"/>
    <x v="74"/>
    <x v="12"/>
    <n v="5248.5"/>
    <n v="5253.5"/>
    <n v="5248"/>
    <n v="5249"/>
    <n v="707506500"/>
    <n v="2695"/>
  </r>
  <r>
    <s v="DOLFUT"/>
    <x v="74"/>
    <x v="13"/>
    <n v="5254"/>
    <n v="5254"/>
    <n v="5248"/>
    <n v="5248.5"/>
    <n v="620774750"/>
    <n v="2365"/>
  </r>
  <r>
    <s v="DOLFUT"/>
    <x v="74"/>
    <x v="14"/>
    <n v="5255.5"/>
    <n v="5255.5"/>
    <n v="5248"/>
    <n v="5254.5"/>
    <n v="1972301250"/>
    <n v="7510"/>
  </r>
  <r>
    <s v="DOLFUT"/>
    <x v="74"/>
    <x v="15"/>
    <n v="5256.5"/>
    <n v="5261"/>
    <n v="5254.5"/>
    <n v="5255.5"/>
    <n v="1745825125"/>
    <n v="6640"/>
  </r>
  <r>
    <s v="DOLFUT"/>
    <x v="74"/>
    <x v="16"/>
    <n v="5254"/>
    <n v="5258"/>
    <n v="5252.5"/>
    <n v="5257"/>
    <n v="1897194375"/>
    <n v="7220"/>
  </r>
  <r>
    <s v="DOLFUT"/>
    <x v="74"/>
    <x v="17"/>
    <n v="5255.5"/>
    <n v="5262"/>
    <n v="5250"/>
    <n v="5254.5"/>
    <n v="3351891500"/>
    <n v="12755"/>
  </r>
  <r>
    <s v="DOLFUT"/>
    <x v="74"/>
    <x v="18"/>
    <n v="5240"/>
    <n v="5259.5"/>
    <n v="5239.5"/>
    <n v="5256"/>
    <n v="3573693750"/>
    <n v="13610"/>
  </r>
  <r>
    <s v="DOLFUT"/>
    <x v="74"/>
    <x v="0"/>
    <n v="5237"/>
    <n v="5248"/>
    <n v="5234"/>
    <n v="5240"/>
    <n v="3599291125"/>
    <n v="13730"/>
  </r>
  <r>
    <s v="DOLFUT"/>
    <x v="74"/>
    <x v="1"/>
    <n v="5228"/>
    <n v="5237.5"/>
    <n v="5225"/>
    <n v="5237"/>
    <n v="5099984625"/>
    <n v="19505"/>
  </r>
  <r>
    <s v="DOLFUT"/>
    <x v="74"/>
    <x v="2"/>
    <n v="5220"/>
    <n v="5228.5"/>
    <n v="5219"/>
    <n v="5228"/>
    <n v="4155433625"/>
    <n v="15905"/>
  </r>
  <r>
    <s v="DOLFUT"/>
    <x v="74"/>
    <x v="3"/>
    <n v="5220"/>
    <n v="5230"/>
    <n v="5205.5"/>
    <n v="5220"/>
    <n v="6072781375"/>
    <n v="23275"/>
  </r>
  <r>
    <s v="DOLFUT"/>
    <x v="75"/>
    <x v="12"/>
    <n v="5236.5"/>
    <n v="5236.5"/>
    <n v="5231"/>
    <n v="5231"/>
    <n v="850554625"/>
    <n v="3250"/>
  </r>
  <r>
    <s v="DOLFUT"/>
    <x v="75"/>
    <x v="13"/>
    <n v="5242"/>
    <n v="5242.5"/>
    <n v="5236"/>
    <n v="5236.5"/>
    <n v="1601761625"/>
    <n v="6115"/>
  </r>
  <r>
    <s v="DOLFUT"/>
    <x v="75"/>
    <x v="14"/>
    <n v="5245"/>
    <n v="5245"/>
    <n v="5238.5"/>
    <n v="5242"/>
    <n v="1208398000"/>
    <n v="4610"/>
  </r>
  <r>
    <s v="DOLFUT"/>
    <x v="75"/>
    <x v="15"/>
    <n v="5240"/>
    <n v="5245.5"/>
    <n v="5238.5"/>
    <n v="5244.5"/>
    <n v="1758275000"/>
    <n v="6710"/>
  </r>
  <r>
    <s v="DOLFUT"/>
    <x v="75"/>
    <x v="16"/>
    <n v="5240.5"/>
    <n v="5243"/>
    <n v="5236.5"/>
    <n v="5240"/>
    <n v="2010520250"/>
    <n v="7675"/>
  </r>
  <r>
    <s v="DOLFUT"/>
    <x v="75"/>
    <x v="17"/>
    <n v="5241"/>
    <n v="5241.5"/>
    <n v="5234"/>
    <n v="5240.5"/>
    <n v="1479839875"/>
    <n v="5650"/>
  </r>
  <r>
    <s v="DOLFUT"/>
    <x v="75"/>
    <x v="18"/>
    <n v="5235.5"/>
    <n v="5245.5"/>
    <n v="5234"/>
    <n v="5240.5"/>
    <n v="3106261500"/>
    <n v="11855"/>
  </r>
  <r>
    <s v="DOLFUT"/>
    <x v="75"/>
    <x v="0"/>
    <n v="5239.5"/>
    <n v="5242"/>
    <n v="5233"/>
    <n v="5236.5"/>
    <n v="6077355375"/>
    <n v="23210"/>
  </r>
  <r>
    <s v="DOLFUT"/>
    <x v="75"/>
    <x v="1"/>
    <n v="5244.5"/>
    <n v="5247"/>
    <n v="5238"/>
    <n v="5239"/>
    <n v="2732496750"/>
    <n v="10425"/>
  </r>
  <r>
    <s v="DOLFUT"/>
    <x v="75"/>
    <x v="2"/>
    <n v="5243.5"/>
    <n v="5249"/>
    <n v="5240.5"/>
    <n v="5244"/>
    <n v="3453363500"/>
    <n v="13170"/>
  </r>
  <r>
    <s v="DOLFUT"/>
    <x v="75"/>
    <x v="3"/>
    <n v="5251"/>
    <n v="5254"/>
    <n v="5241"/>
    <n v="5244"/>
    <n v="2520338875"/>
    <n v="9610"/>
  </r>
  <r>
    <s v="DOLFUT"/>
    <x v="75"/>
    <x v="4"/>
    <n v="5248.5"/>
    <n v="5254"/>
    <n v="5242"/>
    <n v="5251"/>
    <n v="5763391875"/>
    <n v="21970"/>
  </r>
  <r>
    <s v="DOLFUT"/>
    <x v="75"/>
    <x v="5"/>
    <n v="5254"/>
    <n v="5264.5"/>
    <n v="5246.5"/>
    <n v="5248"/>
    <n v="5277777000"/>
    <n v="20085"/>
  </r>
  <r>
    <s v="DOLFUT"/>
    <x v="75"/>
    <x v="6"/>
    <n v="5229.5"/>
    <n v="5263.5"/>
    <n v="5229"/>
    <n v="5254"/>
    <n v="11557862380"/>
    <n v="44015"/>
  </r>
  <r>
    <s v="DOLFUT"/>
    <x v="75"/>
    <x v="7"/>
    <n v="5235"/>
    <n v="5237.5"/>
    <n v="5225.5"/>
    <n v="5230"/>
    <n v="5675231000"/>
    <n v="21700"/>
  </r>
  <r>
    <s v="DOLFUT"/>
    <x v="75"/>
    <x v="8"/>
    <n v="5228"/>
    <n v="5241"/>
    <n v="5218"/>
    <n v="5234"/>
    <n v="6333260125"/>
    <n v="24225"/>
  </r>
  <r>
    <s v="DOLFUT"/>
    <x v="75"/>
    <x v="9"/>
    <n v="5227.5"/>
    <n v="5237"/>
    <n v="5226.5"/>
    <n v="5228.5"/>
    <n v="4818930875"/>
    <n v="18420"/>
  </r>
  <r>
    <s v="DOLFUT"/>
    <x v="75"/>
    <x v="10"/>
    <n v="5234.5"/>
    <n v="5242.5"/>
    <n v="5226.5"/>
    <n v="5227"/>
    <n v="3237082000"/>
    <n v="12370"/>
  </r>
  <r>
    <s v="DOLFUT"/>
    <x v="75"/>
    <x v="11"/>
    <n v="5234"/>
    <n v="5244.5"/>
    <n v="5227"/>
    <n v="5234.5"/>
    <n v="3005681375"/>
    <n v="11480"/>
  </r>
  <r>
    <s v="DOLFUT"/>
    <x v="76"/>
    <x v="12"/>
    <n v="5228.5"/>
    <n v="5232.5"/>
    <n v="5226"/>
    <n v="5228.5"/>
    <n v="1541182125"/>
    <n v="5895"/>
  </r>
  <r>
    <s v="DOLFUT"/>
    <x v="76"/>
    <x v="13"/>
    <n v="5221"/>
    <n v="5234.5"/>
    <n v="5219.5"/>
    <n v="5230"/>
    <n v="3032352875"/>
    <n v="11610"/>
  </r>
  <r>
    <s v="DOLFUT"/>
    <x v="76"/>
    <x v="14"/>
    <n v="5215.5"/>
    <n v="5221"/>
    <n v="5215.5"/>
    <n v="5221"/>
    <n v="2383754000"/>
    <n v="9135"/>
  </r>
  <r>
    <s v="DOLFUT"/>
    <x v="76"/>
    <x v="15"/>
    <n v="5219"/>
    <n v="5219.5"/>
    <n v="5213"/>
    <n v="5215.5"/>
    <n v="877473000"/>
    <n v="3365"/>
  </r>
  <r>
    <s v="DOLFUT"/>
    <x v="76"/>
    <x v="16"/>
    <n v="5222.5"/>
    <n v="5225.5"/>
    <n v="5215"/>
    <n v="5219.5"/>
    <n v="3808770500"/>
    <n v="14595"/>
  </r>
  <r>
    <s v="DOLFUT"/>
    <x v="76"/>
    <x v="17"/>
    <n v="5223"/>
    <n v="5226.5"/>
    <n v="5219"/>
    <n v="5222.5"/>
    <n v="4050372875"/>
    <n v="15510"/>
  </r>
  <r>
    <s v="DOLFUT"/>
    <x v="76"/>
    <x v="18"/>
    <n v="5213.5"/>
    <n v="5224"/>
    <n v="5211"/>
    <n v="5221.5"/>
    <n v="7395247375"/>
    <n v="28335"/>
  </r>
  <r>
    <s v="DOLFUT"/>
    <x v="76"/>
    <x v="0"/>
    <n v="5218"/>
    <n v="5219"/>
    <n v="5209"/>
    <n v="5213"/>
    <n v="3915507375"/>
    <n v="15025"/>
  </r>
  <r>
    <s v="DOLFUT"/>
    <x v="76"/>
    <x v="1"/>
    <n v="5213"/>
    <n v="5222"/>
    <n v="5212"/>
    <n v="5218"/>
    <n v="3883478875"/>
    <n v="14890"/>
  </r>
  <r>
    <s v="DOLFUT"/>
    <x v="76"/>
    <x v="2"/>
    <n v="5217"/>
    <n v="5217"/>
    <n v="5199.5"/>
    <n v="5213"/>
    <n v="4528148250"/>
    <n v="17385"/>
  </r>
  <r>
    <s v="DOLFUT"/>
    <x v="76"/>
    <x v="3"/>
    <n v="5187.5"/>
    <n v="5219"/>
    <n v="5183"/>
    <n v="5217"/>
    <n v="8410884500"/>
    <n v="32335"/>
  </r>
  <r>
    <s v="DOLFUT"/>
    <x v="76"/>
    <x v="4"/>
    <n v="5181"/>
    <n v="5189"/>
    <n v="5178.5"/>
    <n v="5187.5"/>
    <n v="5320856125"/>
    <n v="20530"/>
  </r>
  <r>
    <s v="DOLFUT"/>
    <x v="76"/>
    <x v="5"/>
    <n v="5177.5"/>
    <n v="5181"/>
    <n v="5171.5"/>
    <n v="5180.5"/>
    <n v="3571898625"/>
    <n v="13800"/>
  </r>
  <r>
    <s v="DOLFUT"/>
    <x v="76"/>
    <x v="6"/>
    <n v="5181.5"/>
    <n v="5183"/>
    <n v="5172.5"/>
    <n v="5177.5"/>
    <n v="4879794750"/>
    <n v="18850"/>
  </r>
  <r>
    <s v="DOLFUT"/>
    <x v="76"/>
    <x v="7"/>
    <n v="5179.5"/>
    <n v="5182"/>
    <n v="5174.5"/>
    <n v="5182"/>
    <n v="3736208875"/>
    <n v="14430"/>
  </r>
  <r>
    <s v="DOLFUT"/>
    <x v="76"/>
    <x v="8"/>
    <n v="5193"/>
    <n v="5194.5"/>
    <n v="5179"/>
    <n v="5180"/>
    <n v="6479274375"/>
    <n v="24985"/>
  </r>
  <r>
    <s v="DOLFUT"/>
    <x v="76"/>
    <x v="9"/>
    <n v="5192.5"/>
    <n v="5195.5"/>
    <n v="5190.5"/>
    <n v="5192.5"/>
    <n v="4398579375"/>
    <n v="16940"/>
  </r>
  <r>
    <s v="DOLFUT"/>
    <x v="76"/>
    <x v="10"/>
    <n v="5192"/>
    <n v="5201.5"/>
    <n v="5190"/>
    <n v="5193"/>
    <n v="2528242375"/>
    <n v="9730"/>
  </r>
  <r>
    <s v="DOLFUT"/>
    <x v="76"/>
    <x v="11"/>
    <n v="5194"/>
    <n v="5195.5"/>
    <n v="5186"/>
    <n v="5191.5"/>
    <n v="3685597375"/>
    <n v="14200"/>
  </r>
  <r>
    <s v="DOLFUT"/>
    <x v="77"/>
    <x v="12"/>
    <n v="5200.5"/>
    <n v="5202"/>
    <n v="5195"/>
    <n v="5198.5"/>
    <n v="990374250"/>
    <n v="3810"/>
  </r>
  <r>
    <s v="DOLFUT"/>
    <x v="77"/>
    <x v="13"/>
    <n v="5201.5"/>
    <n v="5202.5"/>
    <n v="5198.5"/>
    <n v="5200.5"/>
    <n v="1209161000"/>
    <n v="4650"/>
  </r>
  <r>
    <s v="DOLFUT"/>
    <x v="77"/>
    <x v="14"/>
    <n v="5203.5"/>
    <n v="5205"/>
    <n v="5201"/>
    <n v="5201"/>
    <n v="2753595750"/>
    <n v="10585"/>
  </r>
  <r>
    <s v="DOLFUT"/>
    <x v="77"/>
    <x v="15"/>
    <n v="5202"/>
    <n v="5205"/>
    <n v="5200.5"/>
    <n v="5202.5"/>
    <n v="1753553375"/>
    <n v="6740"/>
  </r>
  <r>
    <s v="DOLFUT"/>
    <x v="77"/>
    <x v="16"/>
    <n v="5201.5"/>
    <n v="5203"/>
    <n v="5198.5"/>
    <n v="5201.5"/>
    <n v="4864904375"/>
    <n v="18710"/>
  </r>
  <r>
    <s v="DOLFUT"/>
    <x v="77"/>
    <x v="17"/>
    <n v="5200"/>
    <n v="5202"/>
    <n v="5197.5"/>
    <n v="5201.5"/>
    <n v="2385248875"/>
    <n v="9175"/>
  </r>
  <r>
    <s v="DOLFUT"/>
    <x v="77"/>
    <x v="18"/>
    <n v="5195"/>
    <n v="5202"/>
    <n v="5193"/>
    <n v="5199"/>
    <n v="4095452375"/>
    <n v="15755"/>
  </r>
  <r>
    <s v="DOLFUT"/>
    <x v="77"/>
    <x v="0"/>
    <n v="5194"/>
    <n v="5198"/>
    <n v="5192.5"/>
    <n v="5195"/>
    <n v="1946852250"/>
    <n v="7495"/>
  </r>
  <r>
    <s v="DOLFUT"/>
    <x v="77"/>
    <x v="1"/>
    <n v="5192.5"/>
    <n v="5196"/>
    <n v="5190"/>
    <n v="5194"/>
    <n v="3379828875"/>
    <n v="13015"/>
  </r>
  <r>
    <s v="DOLFUT"/>
    <x v="77"/>
    <x v="2"/>
    <n v="5200"/>
    <n v="5201"/>
    <n v="5191.5"/>
    <n v="5192.5"/>
    <n v="2095802500"/>
    <n v="8070"/>
  </r>
  <r>
    <s v="DOLFUT"/>
    <x v="77"/>
    <x v="3"/>
    <n v="5204"/>
    <n v="5204"/>
    <n v="5196"/>
    <n v="5200"/>
    <n v="3794815500"/>
    <n v="14595"/>
  </r>
  <r>
    <s v="DOLFUT"/>
    <x v="77"/>
    <x v="4"/>
    <n v="5208.5"/>
    <n v="5212.5"/>
    <n v="5201.5"/>
    <n v="5204"/>
    <n v="2946793875"/>
    <n v="11320"/>
  </r>
  <r>
    <s v="DOLFUT"/>
    <x v="77"/>
    <x v="5"/>
    <n v="5200"/>
    <n v="5209"/>
    <n v="5193"/>
    <n v="5208"/>
    <n v="4719215875"/>
    <n v="18150"/>
  </r>
  <r>
    <s v="DOLFUT"/>
    <x v="77"/>
    <x v="6"/>
    <n v="5198.5"/>
    <n v="5202.5"/>
    <n v="5193"/>
    <n v="5200"/>
    <n v="6283940125"/>
    <n v="24175"/>
  </r>
  <r>
    <s v="DOLFUT"/>
    <x v="77"/>
    <x v="7"/>
    <n v="5200.5"/>
    <n v="5202.5"/>
    <n v="5185.5"/>
    <n v="5199"/>
    <n v="4799988250"/>
    <n v="18485"/>
  </r>
  <r>
    <s v="DOLFUT"/>
    <x v="77"/>
    <x v="8"/>
    <n v="5203"/>
    <n v="5220.5"/>
    <n v="5194.5"/>
    <n v="5199.5"/>
    <n v="7150120375"/>
    <n v="27450"/>
  </r>
  <r>
    <s v="DOLFUT"/>
    <x v="77"/>
    <x v="9"/>
    <n v="5199.5"/>
    <n v="5209.5"/>
    <n v="5197.5"/>
    <n v="5202"/>
    <n v="1931586875"/>
    <n v="7425"/>
  </r>
  <r>
    <s v="DOLFUT"/>
    <x v="77"/>
    <x v="10"/>
    <n v="5204.5"/>
    <n v="5207.5"/>
    <n v="5196"/>
    <n v="5199"/>
    <n v="5530147875"/>
    <n v="21260"/>
  </r>
  <r>
    <s v="DOLFUT"/>
    <x v="77"/>
    <x v="11"/>
    <n v="5206"/>
    <n v="5206"/>
    <n v="5191"/>
    <n v="5203.5"/>
    <n v="3700338125"/>
    <n v="14240"/>
  </r>
  <r>
    <s v="DOLFUT"/>
    <x v="78"/>
    <x v="12"/>
    <n v="5215"/>
    <n v="5216.5"/>
    <n v="5210"/>
    <n v="5211.5"/>
    <n v="770283125"/>
    <n v="2955"/>
  </r>
  <r>
    <s v="DOLFUT"/>
    <x v="78"/>
    <x v="13"/>
    <n v="5215"/>
    <n v="5216.5"/>
    <n v="5213"/>
    <n v="5215.5"/>
    <n v="623169500"/>
    <n v="2390"/>
  </r>
  <r>
    <s v="DOLFUT"/>
    <x v="78"/>
    <x v="14"/>
    <n v="5216"/>
    <n v="5216.5"/>
    <n v="5213.5"/>
    <n v="5215.5"/>
    <n v="1119936750"/>
    <n v="4295"/>
  </r>
  <r>
    <s v="DOLFUT"/>
    <x v="78"/>
    <x v="15"/>
    <n v="5220"/>
    <n v="5220.5"/>
    <n v="5214"/>
    <n v="5215.5"/>
    <n v="1582020250"/>
    <n v="6065"/>
  </r>
  <r>
    <s v="DOLFUT"/>
    <x v="78"/>
    <x v="16"/>
    <n v="5221.5"/>
    <n v="5224"/>
    <n v="5219"/>
    <n v="5219.5"/>
    <n v="2519579125"/>
    <n v="9650"/>
  </r>
  <r>
    <s v="DOLFUT"/>
    <x v="78"/>
    <x v="17"/>
    <n v="5224.5"/>
    <n v="5226.5"/>
    <n v="5221"/>
    <n v="5221.5"/>
    <n v="2169228875"/>
    <n v="8305"/>
  </r>
  <r>
    <s v="DOLFUT"/>
    <x v="78"/>
    <x v="18"/>
    <n v="5223"/>
    <n v="5226.5"/>
    <n v="5219.5"/>
    <n v="5225"/>
    <n v="2357567250"/>
    <n v="9030"/>
  </r>
  <r>
    <s v="DOLFUT"/>
    <x v="78"/>
    <x v="0"/>
    <n v="5220"/>
    <n v="5224"/>
    <n v="5217"/>
    <n v="5222"/>
    <n v="1225299125"/>
    <n v="4695"/>
  </r>
  <r>
    <s v="DOLFUT"/>
    <x v="78"/>
    <x v="1"/>
    <n v="5218"/>
    <n v="5222"/>
    <n v="5216.5"/>
    <n v="5220"/>
    <n v="2056430625"/>
    <n v="7880"/>
  </r>
  <r>
    <s v="DOLFUT"/>
    <x v="78"/>
    <x v="2"/>
    <n v="5218.5"/>
    <n v="5220"/>
    <n v="5214"/>
    <n v="5218"/>
    <n v="2171613375"/>
    <n v="8325"/>
  </r>
  <r>
    <s v="DOLFUT"/>
    <x v="78"/>
    <x v="3"/>
    <n v="5223.5"/>
    <n v="5225.5"/>
    <n v="5217.5"/>
    <n v="5218"/>
    <n v="1897916000"/>
    <n v="7270"/>
  </r>
  <r>
    <s v="DOLFUT"/>
    <x v="78"/>
    <x v="4"/>
    <n v="5230.5"/>
    <n v="5231"/>
    <n v="5218"/>
    <n v="5224"/>
    <n v="2916909875"/>
    <n v="11170"/>
  </r>
  <r>
    <s v="DOLFUT"/>
    <x v="78"/>
    <x v="5"/>
    <n v="5216"/>
    <n v="5231"/>
    <n v="5216"/>
    <n v="5230.5"/>
    <n v="3763172625"/>
    <n v="14405"/>
  </r>
  <r>
    <s v="DOLFUT"/>
    <x v="78"/>
    <x v="6"/>
    <n v="5208"/>
    <n v="5223.5"/>
    <n v="5202"/>
    <n v="5215.5"/>
    <n v="3520911625"/>
    <n v="13505"/>
  </r>
  <r>
    <s v="DOLFUT"/>
    <x v="78"/>
    <x v="7"/>
    <n v="5219"/>
    <n v="5222.5"/>
    <n v="5203.5"/>
    <n v="5207.5"/>
    <n v="3520472375"/>
    <n v="13510"/>
  </r>
  <r>
    <s v="DOLFUT"/>
    <x v="78"/>
    <x v="8"/>
    <n v="5225"/>
    <n v="5225.5"/>
    <n v="5218"/>
    <n v="5219"/>
    <n v="5203965750"/>
    <n v="19930"/>
  </r>
  <r>
    <s v="DOLFUT"/>
    <x v="78"/>
    <x v="9"/>
    <n v="5223"/>
    <n v="5228"/>
    <n v="5221.5"/>
    <n v="5225"/>
    <n v="1968317750"/>
    <n v="7535"/>
  </r>
  <r>
    <s v="DOLFUT"/>
    <x v="78"/>
    <x v="10"/>
    <n v="5214.5"/>
    <n v="5227"/>
    <n v="5214"/>
    <n v="5223"/>
    <n v="2897886875"/>
    <n v="11100"/>
  </r>
  <r>
    <s v="DOLFUT"/>
    <x v="78"/>
    <x v="11"/>
    <n v="5212"/>
    <n v="5220.5"/>
    <n v="5207.5"/>
    <n v="5215"/>
    <n v="1477900125"/>
    <n v="5670"/>
  </r>
  <r>
    <s v="DOLFUT"/>
    <x v="79"/>
    <x v="12"/>
    <n v="5213"/>
    <n v="5218.5"/>
    <n v="5212.5"/>
    <n v="5217"/>
    <n v="804393125"/>
    <n v="3085"/>
  </r>
  <r>
    <s v="DOLFUT"/>
    <x v="79"/>
    <x v="13"/>
    <n v="5210.5"/>
    <n v="5214.5"/>
    <n v="5208.5"/>
    <n v="5212.5"/>
    <n v="1977076625"/>
    <n v="7590"/>
  </r>
  <r>
    <s v="DOLFUT"/>
    <x v="79"/>
    <x v="14"/>
    <n v="5208.5"/>
    <n v="5212"/>
    <n v="5207.5"/>
    <n v="5210.5"/>
    <n v="691590250"/>
    <n v="2655"/>
  </r>
  <r>
    <s v="DOLFUT"/>
    <x v="79"/>
    <x v="15"/>
    <n v="5209"/>
    <n v="5210"/>
    <n v="5205.5"/>
    <n v="5208.5"/>
    <n v="1307255875"/>
    <n v="5020"/>
  </r>
  <r>
    <s v="DOLFUT"/>
    <x v="79"/>
    <x v="16"/>
    <n v="5212.5"/>
    <n v="5215"/>
    <n v="5208.5"/>
    <n v="5208.5"/>
    <n v="1414001375"/>
    <n v="5425"/>
  </r>
  <r>
    <s v="DOLFUT"/>
    <x v="79"/>
    <x v="17"/>
    <n v="5214"/>
    <n v="5221.5"/>
    <n v="5211.5"/>
    <n v="5212"/>
    <n v="1927538000"/>
    <n v="7390"/>
  </r>
  <r>
    <s v="DOLFUT"/>
    <x v="79"/>
    <x v="18"/>
    <n v="5212"/>
    <n v="5226"/>
    <n v="5207.5"/>
    <n v="5215"/>
    <n v="2672097500"/>
    <n v="10250"/>
  </r>
  <r>
    <s v="DOLFUT"/>
    <x v="79"/>
    <x v="0"/>
    <n v="5210.5"/>
    <n v="5214"/>
    <n v="5209.5"/>
    <n v="5211.5"/>
    <n v="2392332375"/>
    <n v="9180"/>
  </r>
  <r>
    <s v="DOLFUT"/>
    <x v="79"/>
    <x v="1"/>
    <n v="5212"/>
    <n v="5215"/>
    <n v="5204.5"/>
    <n v="5211"/>
    <n v="1755379125"/>
    <n v="6740"/>
  </r>
  <r>
    <s v="DOLFUT"/>
    <x v="79"/>
    <x v="2"/>
    <n v="5208"/>
    <n v="5215"/>
    <n v="5208"/>
    <n v="5212"/>
    <n v="3332999500"/>
    <n v="12790"/>
  </r>
  <r>
    <s v="DOLFUT"/>
    <x v="79"/>
    <x v="3"/>
    <n v="5197.5"/>
    <n v="5209"/>
    <n v="5195.5"/>
    <n v="5208"/>
    <n v="2003779875"/>
    <n v="7705"/>
  </r>
  <r>
    <s v="DOLFUT"/>
    <x v="79"/>
    <x v="4"/>
    <n v="5206"/>
    <n v="5207"/>
    <n v="5197"/>
    <n v="5197.5"/>
    <n v="2532528625"/>
    <n v="9735"/>
  </r>
  <r>
    <s v="DOLFUT"/>
    <x v="79"/>
    <x v="5"/>
    <n v="5210"/>
    <n v="5210"/>
    <n v="5202.5"/>
    <n v="5206"/>
    <n v="2032847000"/>
    <n v="7810"/>
  </r>
  <r>
    <s v="DOLFUT"/>
    <x v="79"/>
    <x v="6"/>
    <n v="5222"/>
    <n v="5225"/>
    <n v="5207"/>
    <n v="5210"/>
    <n v="2754248625"/>
    <n v="10565"/>
  </r>
  <r>
    <s v="DOLFUT"/>
    <x v="79"/>
    <x v="7"/>
    <n v="5230.5"/>
    <n v="5231.5"/>
    <n v="5221"/>
    <n v="5222.5"/>
    <n v="5041193625"/>
    <n v="19295"/>
  </r>
  <r>
    <s v="DOLFUT"/>
    <x v="79"/>
    <x v="8"/>
    <n v="5216.5"/>
    <n v="5232"/>
    <n v="5214.5"/>
    <n v="5230.5"/>
    <n v="3332107000"/>
    <n v="12755"/>
  </r>
  <r>
    <s v="DOLFUT"/>
    <x v="79"/>
    <x v="9"/>
    <n v="5226"/>
    <n v="5226"/>
    <n v="5211"/>
    <n v="5216"/>
    <n v="4657217500"/>
    <n v="17855"/>
  </r>
  <r>
    <s v="DOLFUT"/>
    <x v="79"/>
    <x v="10"/>
    <n v="5225"/>
    <n v="5231"/>
    <n v="5221.5"/>
    <n v="5226.5"/>
    <n v="1911211625"/>
    <n v="7315"/>
  </r>
  <r>
    <s v="DOLFUT"/>
    <x v="79"/>
    <x v="11"/>
    <n v="5230"/>
    <n v="5233.5"/>
    <n v="5217.5"/>
    <n v="5225"/>
    <n v="3022622125"/>
    <n v="11570"/>
  </r>
  <r>
    <s v="DOLFUT"/>
    <x v="80"/>
    <x v="12"/>
    <n v="5239.5"/>
    <n v="5247.5"/>
    <n v="5235.5"/>
    <n v="5242.5"/>
    <n v="1069553250"/>
    <n v="4080"/>
  </r>
  <r>
    <s v="DOLFUT"/>
    <x v="80"/>
    <x v="13"/>
    <n v="5243.5"/>
    <n v="5244"/>
    <n v="5239"/>
    <n v="5240"/>
    <n v="2147900750"/>
    <n v="8195"/>
  </r>
  <r>
    <s v="DOLFUT"/>
    <x v="80"/>
    <x v="14"/>
    <n v="5242.5"/>
    <n v="5244"/>
    <n v="5240.5"/>
    <n v="5243.5"/>
    <n v="1258167625"/>
    <n v="4800"/>
  </r>
  <r>
    <s v="DOLFUT"/>
    <x v="80"/>
    <x v="15"/>
    <n v="5244.5"/>
    <n v="5246"/>
    <n v="5240"/>
    <n v="5242"/>
    <n v="1191562875"/>
    <n v="4545"/>
  </r>
  <r>
    <s v="DOLFUT"/>
    <x v="80"/>
    <x v="16"/>
    <n v="5241"/>
    <n v="5247"/>
    <n v="5239"/>
    <n v="5243.5"/>
    <n v="2065996750"/>
    <n v="7880"/>
  </r>
  <r>
    <s v="DOLFUT"/>
    <x v="80"/>
    <x v="17"/>
    <n v="5240"/>
    <n v="5244.5"/>
    <n v="5238.5"/>
    <n v="5241.5"/>
    <n v="2181474750"/>
    <n v="8325"/>
  </r>
  <r>
    <s v="DOLFUT"/>
    <x v="80"/>
    <x v="18"/>
    <n v="5233.5"/>
    <n v="5255"/>
    <n v="5232.5"/>
    <n v="5240.5"/>
    <n v="6011326250"/>
    <n v="22935"/>
  </r>
  <r>
    <s v="DOLFUT"/>
    <x v="80"/>
    <x v="0"/>
    <n v="5234"/>
    <n v="5234.5"/>
    <n v="5228"/>
    <n v="5233.5"/>
    <n v="1814079750"/>
    <n v="6935"/>
  </r>
  <r>
    <s v="DOLFUT"/>
    <x v="80"/>
    <x v="1"/>
    <n v="5242.5"/>
    <n v="5244"/>
    <n v="5233.5"/>
    <n v="5234.5"/>
    <n v="1286278625"/>
    <n v="4910"/>
  </r>
  <r>
    <s v="DOLFUT"/>
    <x v="80"/>
    <x v="2"/>
    <n v="5242.5"/>
    <n v="5243"/>
    <n v="5234.5"/>
    <n v="5242.5"/>
    <n v="1443366625"/>
    <n v="5510"/>
  </r>
  <r>
    <s v="DOLFUT"/>
    <x v="80"/>
    <x v="3"/>
    <n v="5250.5"/>
    <n v="5252.5"/>
    <n v="5237.5"/>
    <n v="5242.5"/>
    <n v="4062429500"/>
    <n v="15490"/>
  </r>
  <r>
    <s v="DOLFUT"/>
    <x v="80"/>
    <x v="4"/>
    <n v="5253.5"/>
    <n v="5257"/>
    <n v="5249"/>
    <n v="5250"/>
    <n v="1704228375"/>
    <n v="6490"/>
  </r>
  <r>
    <s v="DOLFUT"/>
    <x v="80"/>
    <x v="5"/>
    <n v="5251"/>
    <n v="5256.5"/>
    <n v="5245"/>
    <n v="5253"/>
    <n v="2797502250"/>
    <n v="10655"/>
  </r>
  <r>
    <s v="DOLFUT"/>
    <x v="80"/>
    <x v="6"/>
    <n v="5240.5"/>
    <n v="5252.5"/>
    <n v="5234"/>
    <n v="5250.5"/>
    <n v="5360350500"/>
    <n v="20450"/>
  </r>
  <r>
    <s v="DOLFUT"/>
    <x v="80"/>
    <x v="7"/>
    <n v="5250"/>
    <n v="5252"/>
    <n v="5238"/>
    <n v="5240.5"/>
    <n v="5781109750"/>
    <n v="22040"/>
  </r>
  <r>
    <s v="DOLFUT"/>
    <x v="80"/>
    <x v="8"/>
    <n v="5258.5"/>
    <n v="5263.5"/>
    <n v="5249.5"/>
    <n v="5250"/>
    <n v="6151794625"/>
    <n v="23405"/>
  </r>
  <r>
    <s v="DOLFUT"/>
    <x v="80"/>
    <x v="9"/>
    <n v="5271.5"/>
    <n v="5278"/>
    <n v="5257.5"/>
    <n v="5259.5"/>
    <n v="5402835625"/>
    <n v="20520"/>
  </r>
  <r>
    <s v="DOLFUT"/>
    <x v="80"/>
    <x v="10"/>
    <n v="5258.5"/>
    <n v="5273.5"/>
    <n v="5251"/>
    <n v="5270.5"/>
    <n v="6341645750"/>
    <n v="24115"/>
  </r>
  <r>
    <s v="DOLFUT"/>
    <x v="80"/>
    <x v="11"/>
    <n v="5269.5"/>
    <n v="5269.5"/>
    <n v="5248"/>
    <n v="5259.5"/>
    <n v="3445015500"/>
    <n v="13105"/>
  </r>
  <r>
    <s v="DOLFUT"/>
    <x v="81"/>
    <x v="12"/>
    <n v="5298"/>
    <n v="5303"/>
    <n v="5296"/>
    <n v="5299"/>
    <n v="3068882875"/>
    <n v="11580"/>
  </r>
  <r>
    <s v="DOLFUT"/>
    <x v="81"/>
    <x v="13"/>
    <n v="5289.5"/>
    <n v="5299.5"/>
    <n v="5287"/>
    <n v="5296.5"/>
    <n v="1636755625"/>
    <n v="6185"/>
  </r>
  <r>
    <s v="DOLFUT"/>
    <x v="81"/>
    <x v="14"/>
    <n v="5279"/>
    <n v="5290"/>
    <n v="5279"/>
    <n v="5289"/>
    <n v="1624490750"/>
    <n v="6150"/>
  </r>
  <r>
    <s v="DOLFUT"/>
    <x v="81"/>
    <x v="15"/>
    <n v="5277"/>
    <n v="5281"/>
    <n v="5276.5"/>
    <n v="5279.5"/>
    <n v="3915784750"/>
    <n v="14835"/>
  </r>
  <r>
    <s v="DOLFUT"/>
    <x v="81"/>
    <x v="16"/>
    <n v="5274.5"/>
    <n v="5278.5"/>
    <n v="5274"/>
    <n v="5277"/>
    <n v="2394188125"/>
    <n v="9075"/>
  </r>
  <r>
    <s v="DOLFUT"/>
    <x v="81"/>
    <x v="17"/>
    <n v="5275.5"/>
    <n v="5281"/>
    <n v="5271.5"/>
    <n v="5274.5"/>
    <n v="2515033250"/>
    <n v="9530"/>
  </r>
  <r>
    <s v="DOLFUT"/>
    <x v="81"/>
    <x v="18"/>
    <n v="5280.5"/>
    <n v="5280.5"/>
    <n v="5275.5"/>
    <n v="5275.5"/>
    <n v="3215425125"/>
    <n v="12185"/>
  </r>
  <r>
    <s v="DOLFUT"/>
    <x v="81"/>
    <x v="0"/>
    <n v="5282"/>
    <n v="5285.5"/>
    <n v="5277"/>
    <n v="5281"/>
    <n v="2104421125"/>
    <n v="7970"/>
  </r>
  <r>
    <s v="DOLFUT"/>
    <x v="81"/>
    <x v="1"/>
    <n v="5287.5"/>
    <n v="5296"/>
    <n v="5279"/>
    <n v="5282"/>
    <n v="3031003500"/>
    <n v="11460"/>
  </r>
  <r>
    <s v="DOLFUT"/>
    <x v="81"/>
    <x v="2"/>
    <n v="5290"/>
    <n v="5291"/>
    <n v="5283.5"/>
    <n v="5287"/>
    <n v="3906866375"/>
    <n v="14775"/>
  </r>
  <r>
    <s v="DOLFUT"/>
    <x v="81"/>
    <x v="3"/>
    <n v="5299"/>
    <n v="5310.5"/>
    <n v="5288.5"/>
    <n v="5291"/>
    <n v="5431561000"/>
    <n v="20495"/>
  </r>
  <r>
    <s v="DOLFUT"/>
    <x v="81"/>
    <x v="4"/>
    <n v="5281"/>
    <n v="5314"/>
    <n v="5280.5"/>
    <n v="5299"/>
    <n v="10408554380"/>
    <n v="39270"/>
  </r>
  <r>
    <s v="DOLFUT"/>
    <x v="81"/>
    <x v="5"/>
    <n v="5270.5"/>
    <n v="5284.5"/>
    <n v="5267"/>
    <n v="5282.5"/>
    <n v="5141558250"/>
    <n v="19480"/>
  </r>
  <r>
    <s v="DOLFUT"/>
    <x v="81"/>
    <x v="6"/>
    <n v="5269"/>
    <n v="5276"/>
    <n v="5260"/>
    <n v="5270"/>
    <n v="4307500000"/>
    <n v="16355"/>
  </r>
  <r>
    <s v="DOLFUT"/>
    <x v="81"/>
    <x v="7"/>
    <n v="5274.5"/>
    <n v="5279"/>
    <n v="5264.5"/>
    <n v="5269"/>
    <n v="6725006250"/>
    <n v="25510"/>
  </r>
  <r>
    <s v="DOLFUT"/>
    <x v="81"/>
    <x v="8"/>
    <n v="5283"/>
    <n v="5283"/>
    <n v="5270"/>
    <n v="5273.5"/>
    <n v="3496462500"/>
    <n v="13255"/>
  </r>
  <r>
    <s v="DOLFUT"/>
    <x v="81"/>
    <x v="9"/>
    <n v="5292.5"/>
    <n v="5292.5"/>
    <n v="5279.5"/>
    <n v="5284"/>
    <n v="4370573125"/>
    <n v="16540"/>
  </r>
  <r>
    <s v="DOLFUT"/>
    <x v="81"/>
    <x v="10"/>
    <n v="5286.5"/>
    <n v="5300"/>
    <n v="5283"/>
    <n v="5294"/>
    <n v="4509393250"/>
    <n v="17040"/>
  </r>
  <r>
    <s v="DOLFUT"/>
    <x v="81"/>
    <x v="11"/>
    <n v="5275.5"/>
    <n v="5288"/>
    <n v="5266"/>
    <n v="5287.5"/>
    <n v="4072171750"/>
    <n v="15430"/>
  </r>
  <r>
    <s v="DOLFUT"/>
    <x v="82"/>
    <x v="12"/>
    <n v="5269"/>
    <n v="5271"/>
    <n v="5265"/>
    <n v="5266"/>
    <n v="693993125"/>
    <n v="2635"/>
  </r>
  <r>
    <s v="DOLFUT"/>
    <x v="82"/>
    <x v="13"/>
    <n v="5274"/>
    <n v="5274"/>
    <n v="5266"/>
    <n v="5268"/>
    <n v="1806267750"/>
    <n v="6855"/>
  </r>
  <r>
    <s v="DOLFUT"/>
    <x v="82"/>
    <x v="14"/>
    <n v="5276.5"/>
    <n v="5279"/>
    <n v="5272.5"/>
    <n v="5274.5"/>
    <n v="2195759125"/>
    <n v="8325"/>
  </r>
  <r>
    <s v="DOLFUT"/>
    <x v="82"/>
    <x v="15"/>
    <n v="5287"/>
    <n v="5287.5"/>
    <n v="5272.5"/>
    <n v="5277"/>
    <n v="1813688375"/>
    <n v="6870"/>
  </r>
  <r>
    <s v="DOLFUT"/>
    <x v="82"/>
    <x v="16"/>
    <n v="5284"/>
    <n v="5291"/>
    <n v="5283.5"/>
    <n v="5287"/>
    <n v="2305311375"/>
    <n v="8720"/>
  </r>
  <r>
    <s v="DOLFUT"/>
    <x v="82"/>
    <x v="17"/>
    <n v="5283"/>
    <n v="5285"/>
    <n v="5280"/>
    <n v="5284"/>
    <n v="1777639625"/>
    <n v="6730"/>
  </r>
  <r>
    <s v="DOLFUT"/>
    <x v="82"/>
    <x v="18"/>
    <n v="5281"/>
    <n v="5287.5"/>
    <n v="5280.5"/>
    <n v="5282.5"/>
    <n v="4533477375"/>
    <n v="17155"/>
  </r>
  <r>
    <s v="DOLFUT"/>
    <x v="82"/>
    <x v="0"/>
    <n v="5273"/>
    <n v="5287.5"/>
    <n v="5270"/>
    <n v="5281"/>
    <n v="3242195125"/>
    <n v="12280"/>
  </r>
  <r>
    <s v="DOLFUT"/>
    <x v="82"/>
    <x v="1"/>
    <n v="5275"/>
    <n v="5276.5"/>
    <n v="5266"/>
    <n v="5273.5"/>
    <n v="3041223250"/>
    <n v="11540"/>
  </r>
  <r>
    <s v="DOLFUT"/>
    <x v="82"/>
    <x v="2"/>
    <n v="5277.5"/>
    <n v="5285"/>
    <n v="5273.5"/>
    <n v="5273.5"/>
    <n v="1850378250"/>
    <n v="7010"/>
  </r>
  <r>
    <s v="DOLFUT"/>
    <x v="82"/>
    <x v="3"/>
    <n v="5277"/>
    <n v="5283"/>
    <n v="5275"/>
    <n v="5277.5"/>
    <n v="2065473500"/>
    <n v="7825"/>
  </r>
  <r>
    <s v="DOLFUT"/>
    <x v="82"/>
    <x v="4"/>
    <n v="5272.5"/>
    <n v="5283.5"/>
    <n v="5271"/>
    <n v="5277"/>
    <n v="4082619625"/>
    <n v="15470"/>
  </r>
  <r>
    <s v="DOLFUT"/>
    <x v="82"/>
    <x v="5"/>
    <n v="5272.5"/>
    <n v="5276"/>
    <n v="5268"/>
    <n v="5273"/>
    <n v="2497634750"/>
    <n v="9475"/>
  </r>
  <r>
    <s v="DOLFUT"/>
    <x v="82"/>
    <x v="6"/>
    <n v="5252.5"/>
    <n v="5273.5"/>
    <n v="5252.5"/>
    <n v="5271.5"/>
    <n v="4247907625"/>
    <n v="16135"/>
  </r>
  <r>
    <s v="DOLFUT"/>
    <x v="82"/>
    <x v="7"/>
    <n v="5245"/>
    <n v="5254.5"/>
    <n v="5245"/>
    <n v="5253.5"/>
    <n v="6115774750"/>
    <n v="23295"/>
  </r>
  <r>
    <s v="DOLFUT"/>
    <x v="82"/>
    <x v="8"/>
    <n v="5252"/>
    <n v="5255"/>
    <n v="5242.5"/>
    <n v="5245"/>
    <n v="3301026750"/>
    <n v="12580"/>
  </r>
  <r>
    <s v="DOLFUT"/>
    <x v="82"/>
    <x v="9"/>
    <n v="5246.5"/>
    <n v="5253.5"/>
    <n v="5242"/>
    <n v="5252"/>
    <n v="2612080875"/>
    <n v="9955"/>
  </r>
  <r>
    <s v="DOLFUT"/>
    <x v="82"/>
    <x v="10"/>
    <n v="5257.5"/>
    <n v="5257.5"/>
    <n v="5244"/>
    <n v="5246"/>
    <n v="1951389625"/>
    <n v="7435"/>
  </r>
  <r>
    <s v="DOLFUT"/>
    <x v="82"/>
    <x v="11"/>
    <n v="5267"/>
    <n v="5269"/>
    <n v="5252.5"/>
    <n v="5257"/>
    <n v="2531422375"/>
    <n v="9625"/>
  </r>
  <r>
    <s v="DOLFUT"/>
    <x v="83"/>
    <x v="12"/>
    <n v="5268.5"/>
    <n v="5271.5"/>
    <n v="5265.5"/>
    <n v="5267"/>
    <n v="1359367000"/>
    <n v="5160"/>
  </r>
  <r>
    <s v="DOLFUT"/>
    <x v="83"/>
    <x v="13"/>
    <n v="5275"/>
    <n v="5275"/>
    <n v="5265.5"/>
    <n v="5267.5"/>
    <n v="2089131625"/>
    <n v="7930"/>
  </r>
  <r>
    <s v="DOLFUT"/>
    <x v="83"/>
    <x v="14"/>
    <n v="5277.5"/>
    <n v="5282.5"/>
    <n v="5275"/>
    <n v="5275.5"/>
    <n v="1786503625"/>
    <n v="6770"/>
  </r>
  <r>
    <s v="DOLFUT"/>
    <x v="83"/>
    <x v="15"/>
    <n v="5267.5"/>
    <n v="5292"/>
    <n v="5266"/>
    <n v="5276.5"/>
    <n v="4814107375"/>
    <n v="18245"/>
  </r>
  <r>
    <s v="DOLFUT"/>
    <x v="83"/>
    <x v="16"/>
    <n v="5270.5"/>
    <n v="5276"/>
    <n v="5264.5"/>
    <n v="5267"/>
    <n v="3161736375"/>
    <n v="12000"/>
  </r>
  <r>
    <s v="DOLFUT"/>
    <x v="83"/>
    <x v="17"/>
    <n v="5266.5"/>
    <n v="5270.5"/>
    <n v="5264"/>
    <n v="5270"/>
    <n v="3447343500"/>
    <n v="13090"/>
  </r>
  <r>
    <s v="DOLFUT"/>
    <x v="83"/>
    <x v="18"/>
    <n v="5261"/>
    <n v="5267.5"/>
    <n v="5256.5"/>
    <n v="5266.5"/>
    <n v="2659352375"/>
    <n v="10110"/>
  </r>
  <r>
    <s v="DOLFUT"/>
    <x v="83"/>
    <x v="0"/>
    <n v="5263.5"/>
    <n v="5268"/>
    <n v="5259.5"/>
    <n v="5262"/>
    <n v="4360387375"/>
    <n v="16570"/>
  </r>
  <r>
    <s v="DOLFUT"/>
    <x v="83"/>
    <x v="1"/>
    <n v="5252.5"/>
    <n v="5265"/>
    <n v="5251.5"/>
    <n v="5263"/>
    <n v="2597610625"/>
    <n v="9875"/>
  </r>
  <r>
    <s v="DOLFUT"/>
    <x v="83"/>
    <x v="2"/>
    <n v="5252"/>
    <n v="5257"/>
    <n v="5248"/>
    <n v="5253"/>
    <n v="3898795875"/>
    <n v="14850"/>
  </r>
  <r>
    <s v="DOLFUT"/>
    <x v="83"/>
    <x v="3"/>
    <n v="5243.5"/>
    <n v="5252.5"/>
    <n v="5241.5"/>
    <n v="5252.5"/>
    <n v="2076847875"/>
    <n v="7920"/>
  </r>
  <r>
    <s v="DOLFUT"/>
    <x v="83"/>
    <x v="4"/>
    <n v="5249"/>
    <n v="5254.5"/>
    <n v="5244"/>
    <n v="5244"/>
    <n v="2649876750"/>
    <n v="10095"/>
  </r>
  <r>
    <s v="DOLFUT"/>
    <x v="83"/>
    <x v="5"/>
    <n v="5258"/>
    <n v="5267"/>
    <n v="5246.5"/>
    <n v="5249"/>
    <n v="8143233000"/>
    <n v="30985"/>
  </r>
  <r>
    <s v="DOLFUT"/>
    <x v="83"/>
    <x v="6"/>
    <n v="5239.5"/>
    <n v="5258.5"/>
    <n v="5235"/>
    <n v="5258.5"/>
    <n v="4911732000"/>
    <n v="18730"/>
  </r>
  <r>
    <s v="DOLFUT"/>
    <x v="83"/>
    <x v="7"/>
    <n v="5244"/>
    <n v="5250"/>
    <n v="5238"/>
    <n v="5239"/>
    <n v="3835537875"/>
    <n v="14630"/>
  </r>
  <r>
    <s v="DOLFUT"/>
    <x v="83"/>
    <x v="8"/>
    <n v="5260.5"/>
    <n v="5261"/>
    <n v="5240"/>
    <n v="5244"/>
    <n v="3756221375"/>
    <n v="14310"/>
  </r>
  <r>
    <s v="DOLFUT"/>
    <x v="83"/>
    <x v="9"/>
    <n v="5262.5"/>
    <n v="5263"/>
    <n v="5252.5"/>
    <n v="5260.5"/>
    <n v="7283545750"/>
    <n v="27710"/>
  </r>
  <r>
    <s v="DOLFUT"/>
    <x v="83"/>
    <x v="10"/>
    <n v="5270.5"/>
    <n v="5273"/>
    <n v="5255"/>
    <n v="5264"/>
    <n v="3550437000"/>
    <n v="13490"/>
  </r>
  <r>
    <s v="DOLFUT"/>
    <x v="83"/>
    <x v="11"/>
    <n v="5272.5"/>
    <n v="5278.5"/>
    <n v="5261"/>
    <n v="5270.5"/>
    <n v="2517350750"/>
    <n v="9560"/>
  </r>
  <r>
    <s v="DOLFUT"/>
    <x v="84"/>
    <x v="12"/>
    <n v="5288"/>
    <n v="5292"/>
    <n v="5286.5"/>
    <n v="5292"/>
    <n v="493204875"/>
    <n v="1865"/>
  </r>
  <r>
    <s v="DOLFUT"/>
    <x v="84"/>
    <x v="13"/>
    <n v="5288.5"/>
    <n v="5290.5"/>
    <n v="5287"/>
    <n v="5288"/>
    <n v="2455247625"/>
    <n v="9285"/>
  </r>
  <r>
    <s v="DOLFUT"/>
    <x v="84"/>
    <x v="14"/>
    <n v="5289"/>
    <n v="5290"/>
    <n v="5287"/>
    <n v="5288"/>
    <n v="1076204750"/>
    <n v="4070"/>
  </r>
  <r>
    <s v="DOLFUT"/>
    <x v="84"/>
    <x v="15"/>
    <n v="5292.5"/>
    <n v="5294.5"/>
    <n v="5286.5"/>
    <n v="5288.5"/>
    <n v="3277479625"/>
    <n v="12390"/>
  </r>
  <r>
    <s v="DOLFUT"/>
    <x v="84"/>
    <x v="16"/>
    <n v="5291.5"/>
    <n v="5294"/>
    <n v="5290.5"/>
    <n v="5292"/>
    <n v="2127286125"/>
    <n v="8040"/>
  </r>
  <r>
    <s v="DOLFUT"/>
    <x v="84"/>
    <x v="17"/>
    <n v="5293"/>
    <n v="5294.5"/>
    <n v="5289.5"/>
    <n v="5291.5"/>
    <n v="2410564875"/>
    <n v="9110"/>
  </r>
  <r>
    <s v="DOLFUT"/>
    <x v="84"/>
    <x v="18"/>
    <n v="5289"/>
    <n v="5298"/>
    <n v="5288.5"/>
    <n v="5293"/>
    <n v="8410644375"/>
    <n v="31775"/>
  </r>
  <r>
    <s v="DOLFUT"/>
    <x v="84"/>
    <x v="0"/>
    <n v="5286.5"/>
    <n v="5290.5"/>
    <n v="5285.5"/>
    <n v="5289.5"/>
    <n v="3827178375"/>
    <n v="14475"/>
  </r>
  <r>
    <s v="DOLFUT"/>
    <x v="84"/>
    <x v="1"/>
    <n v="5291"/>
    <n v="5291.5"/>
    <n v="5280.5"/>
    <n v="5286.5"/>
    <n v="2695101750"/>
    <n v="10195"/>
  </r>
  <r>
    <s v="DOLFUT"/>
    <x v="84"/>
    <x v="2"/>
    <n v="5290"/>
    <n v="5293.5"/>
    <n v="5284"/>
    <n v="5290.5"/>
    <n v="1819365250"/>
    <n v="6880"/>
  </r>
  <r>
    <s v="DOLFUT"/>
    <x v="84"/>
    <x v="3"/>
    <n v="5293.5"/>
    <n v="5296"/>
    <n v="5286.5"/>
    <n v="5290"/>
    <n v="2753660000"/>
    <n v="10410"/>
  </r>
  <r>
    <s v="DOLFUT"/>
    <x v="84"/>
    <x v="4"/>
    <n v="5298.5"/>
    <n v="5300"/>
    <n v="5290"/>
    <n v="5293.5"/>
    <n v="2800155500"/>
    <n v="10580"/>
  </r>
  <r>
    <s v="DOLFUT"/>
    <x v="84"/>
    <x v="5"/>
    <n v="5290"/>
    <n v="5301"/>
    <n v="5285"/>
    <n v="5299"/>
    <n v="3078509125"/>
    <n v="11635"/>
  </r>
  <r>
    <s v="DOLFUT"/>
    <x v="84"/>
    <x v="6"/>
    <n v="5307"/>
    <n v="5309"/>
    <n v="5278"/>
    <n v="5288.5"/>
    <n v="5655304625"/>
    <n v="21375"/>
  </r>
  <r>
    <s v="DOLFUT"/>
    <x v="84"/>
    <x v="7"/>
    <n v="5287.5"/>
    <n v="5312"/>
    <n v="5286"/>
    <n v="5307"/>
    <n v="10693973000"/>
    <n v="40350"/>
  </r>
  <r>
    <s v="DOLFUT"/>
    <x v="84"/>
    <x v="8"/>
    <n v="5288"/>
    <n v="5294"/>
    <n v="5285.5"/>
    <n v="5287.5"/>
    <n v="2252299875"/>
    <n v="8515"/>
  </r>
  <r>
    <s v="DOLFUT"/>
    <x v="84"/>
    <x v="9"/>
    <n v="5274"/>
    <n v="5295"/>
    <n v="5273.5"/>
    <n v="5288"/>
    <n v="3474640875"/>
    <n v="13145"/>
  </r>
  <r>
    <s v="DOLFUT"/>
    <x v="84"/>
    <x v="10"/>
    <n v="5279"/>
    <n v="5282.5"/>
    <n v="5267.5"/>
    <n v="5274.5"/>
    <n v="3489482625"/>
    <n v="13230"/>
  </r>
  <r>
    <s v="DOLFUT"/>
    <x v="84"/>
    <x v="11"/>
    <n v="5295"/>
    <n v="5295"/>
    <n v="5271.5"/>
    <n v="5278.5"/>
    <n v="3296572250"/>
    <n v="12485"/>
  </r>
  <r>
    <s v="DOLFUT"/>
    <x v="85"/>
    <x v="12"/>
    <n v="5294.5"/>
    <n v="5298.5"/>
    <n v="5288"/>
    <n v="5290.5"/>
    <n v="1315477250"/>
    <n v="4970"/>
  </r>
  <r>
    <s v="DOLFUT"/>
    <x v="85"/>
    <x v="13"/>
    <n v="5294"/>
    <n v="5299.5"/>
    <n v="5289.5"/>
    <n v="5294"/>
    <n v="3146654375"/>
    <n v="11890"/>
  </r>
  <r>
    <s v="DOLFUT"/>
    <x v="85"/>
    <x v="14"/>
    <n v="5279"/>
    <n v="5296"/>
    <n v="5278.5"/>
    <n v="5294"/>
    <n v="2248141000"/>
    <n v="8505"/>
  </r>
  <r>
    <s v="DOLFUT"/>
    <x v="85"/>
    <x v="15"/>
    <n v="5283"/>
    <n v="5284.5"/>
    <n v="5278"/>
    <n v="5280"/>
    <n v="2156038875"/>
    <n v="8165"/>
  </r>
  <r>
    <s v="DOLFUT"/>
    <x v="85"/>
    <x v="16"/>
    <n v="5285.5"/>
    <n v="5285.5"/>
    <n v="5273.5"/>
    <n v="5282.5"/>
    <n v="4920388125"/>
    <n v="18640"/>
  </r>
  <r>
    <s v="DOLFUT"/>
    <x v="85"/>
    <x v="17"/>
    <n v="5299"/>
    <n v="5310.5"/>
    <n v="5280.5"/>
    <n v="5284.5"/>
    <n v="10409050130"/>
    <n v="39305"/>
  </r>
  <r>
    <s v="DOLFUT"/>
    <x v="85"/>
    <x v="18"/>
    <n v="5291"/>
    <n v="5311.5"/>
    <n v="5287"/>
    <n v="5299.5"/>
    <n v="7362834125"/>
    <n v="27805"/>
  </r>
  <r>
    <s v="DOLFUT"/>
    <x v="85"/>
    <x v="0"/>
    <n v="5290.5"/>
    <n v="5291"/>
    <n v="5282"/>
    <n v="5290.5"/>
    <n v="12498822880"/>
    <n v="47295"/>
  </r>
  <r>
    <s v="DOLFUT"/>
    <x v="85"/>
    <x v="1"/>
    <n v="5278.5"/>
    <n v="5297"/>
    <n v="5276.5"/>
    <n v="5290"/>
    <n v="4388555125"/>
    <n v="16590"/>
  </r>
  <r>
    <s v="DOLFUT"/>
    <x v="85"/>
    <x v="2"/>
    <n v="5269.5"/>
    <n v="5283.5"/>
    <n v="5266.5"/>
    <n v="5278"/>
    <n v="4093737625"/>
    <n v="15530"/>
  </r>
  <r>
    <s v="DOLFUT"/>
    <x v="85"/>
    <x v="3"/>
    <n v="5269.5"/>
    <n v="5275"/>
    <n v="5264.5"/>
    <n v="5270.5"/>
    <n v="8531360750"/>
    <n v="32375"/>
  </r>
  <r>
    <s v="DOLFUT"/>
    <x v="85"/>
    <x v="4"/>
    <n v="5261.5"/>
    <n v="5270.5"/>
    <n v="5251"/>
    <n v="5269.5"/>
    <n v="3532742875"/>
    <n v="13430"/>
  </r>
  <r>
    <s v="DOLFUT"/>
    <x v="85"/>
    <x v="5"/>
    <n v="5254"/>
    <n v="5262.5"/>
    <n v="5249"/>
    <n v="5261"/>
    <n v="6464988125"/>
    <n v="24605"/>
  </r>
  <r>
    <s v="DOLFUT"/>
    <x v="85"/>
    <x v="6"/>
    <n v="5256.5"/>
    <n v="5257"/>
    <n v="5247.5"/>
    <n v="5254"/>
    <n v="4370823375"/>
    <n v="16645"/>
  </r>
  <r>
    <s v="DOLFUT"/>
    <x v="85"/>
    <x v="7"/>
    <n v="5270.5"/>
    <n v="5271"/>
    <n v="5251.5"/>
    <n v="5256"/>
    <n v="5448576750"/>
    <n v="20715"/>
  </r>
  <r>
    <s v="DOLFUT"/>
    <x v="85"/>
    <x v="8"/>
    <n v="5251.5"/>
    <n v="5275"/>
    <n v="5251.5"/>
    <n v="5270"/>
    <n v="5803276750"/>
    <n v="22050"/>
  </r>
  <r>
    <s v="DOLFUT"/>
    <x v="85"/>
    <x v="9"/>
    <n v="5252"/>
    <n v="5261.5"/>
    <n v="5247"/>
    <n v="5251"/>
    <n v="4804215250"/>
    <n v="18285"/>
  </r>
  <r>
    <s v="DOLFUT"/>
    <x v="85"/>
    <x v="10"/>
    <n v="5236.5"/>
    <n v="5257.5"/>
    <n v="5227.5"/>
    <n v="5251.5"/>
    <n v="6485332375"/>
    <n v="24740"/>
  </r>
  <r>
    <s v="DOLFUT"/>
    <x v="85"/>
    <x v="11"/>
    <n v="5238.5"/>
    <n v="5247.5"/>
    <n v="5227.5"/>
    <n v="5236.5"/>
    <n v="6745083125"/>
    <n v="25770"/>
  </r>
  <r>
    <s v="DOLFUT"/>
    <x v="86"/>
    <x v="12"/>
    <n v="5191.5"/>
    <n v="5200"/>
    <n v="5191"/>
    <n v="5197"/>
    <n v="933672375"/>
    <n v="3595"/>
  </r>
  <r>
    <s v="DOLFUT"/>
    <x v="86"/>
    <x v="13"/>
    <n v="5192.5"/>
    <n v="5195"/>
    <n v="5189.5"/>
    <n v="5192.5"/>
    <n v="789227375"/>
    <n v="3040"/>
  </r>
  <r>
    <s v="DOLFUT"/>
    <x v="86"/>
    <x v="14"/>
    <n v="5196"/>
    <n v="5197"/>
    <n v="5190.5"/>
    <n v="5192.5"/>
    <n v="1272739250"/>
    <n v="4900"/>
  </r>
  <r>
    <s v="DOLFUT"/>
    <x v="86"/>
    <x v="15"/>
    <n v="5192.5"/>
    <n v="5197"/>
    <n v="5189"/>
    <n v="5196.5"/>
    <n v="2142028000"/>
    <n v="8250"/>
  </r>
  <r>
    <s v="DOLFUT"/>
    <x v="86"/>
    <x v="16"/>
    <n v="5192"/>
    <n v="5193"/>
    <n v="5186.5"/>
    <n v="5192"/>
    <n v="1508985375"/>
    <n v="5815"/>
  </r>
  <r>
    <s v="DOLFUT"/>
    <x v="86"/>
    <x v="17"/>
    <n v="5199"/>
    <n v="5201.5"/>
    <n v="5189"/>
    <n v="5191.5"/>
    <n v="2636420125"/>
    <n v="10150"/>
  </r>
  <r>
    <s v="DOLFUT"/>
    <x v="86"/>
    <x v="18"/>
    <n v="5209.5"/>
    <n v="5212.5"/>
    <n v="5197"/>
    <n v="5199"/>
    <n v="4298389875"/>
    <n v="16520"/>
  </r>
  <r>
    <s v="DOLFUT"/>
    <x v="86"/>
    <x v="0"/>
    <n v="5207.5"/>
    <n v="5215.5"/>
    <n v="5199.5"/>
    <n v="5210"/>
    <n v="3979738750"/>
    <n v="15285"/>
  </r>
  <r>
    <s v="DOLFUT"/>
    <x v="86"/>
    <x v="1"/>
    <n v="5217.5"/>
    <n v="5217.5"/>
    <n v="5202.5"/>
    <n v="5207"/>
    <n v="1548119250"/>
    <n v="5945"/>
  </r>
  <r>
    <s v="DOLFUT"/>
    <x v="86"/>
    <x v="2"/>
    <n v="5218.5"/>
    <n v="5220"/>
    <n v="5206"/>
    <n v="5217.5"/>
    <n v="5027741875"/>
    <n v="19285"/>
  </r>
  <r>
    <s v="DOLFUT"/>
    <x v="86"/>
    <x v="3"/>
    <n v="5233.5"/>
    <n v="5234"/>
    <n v="5214.5"/>
    <n v="5219"/>
    <n v="7013282500"/>
    <n v="26860"/>
  </r>
  <r>
    <s v="DOLFUT"/>
    <x v="86"/>
    <x v="4"/>
    <n v="5248"/>
    <n v="5248"/>
    <n v="5226"/>
    <n v="5234"/>
    <n v="6638202875"/>
    <n v="25360"/>
  </r>
  <r>
    <s v="DOLFUT"/>
    <x v="86"/>
    <x v="5"/>
    <n v="5200"/>
    <n v="5252.5"/>
    <n v="5200"/>
    <n v="5249"/>
    <n v="11484168750"/>
    <n v="43940"/>
  </r>
  <r>
    <s v="DOLFUT"/>
    <x v="86"/>
    <x v="6"/>
    <n v="5180.5"/>
    <n v="5202"/>
    <n v="5167"/>
    <n v="5200"/>
    <n v="8225191000"/>
    <n v="31755"/>
  </r>
  <r>
    <s v="DOLFUT"/>
    <x v="86"/>
    <x v="7"/>
    <n v="5186.5"/>
    <n v="5187"/>
    <n v="5177"/>
    <n v="5180.5"/>
    <n v="5021843000"/>
    <n v="19380"/>
  </r>
  <r>
    <s v="DOLFUT"/>
    <x v="86"/>
    <x v="8"/>
    <n v="5191"/>
    <n v="5196"/>
    <n v="5186"/>
    <n v="5186.5"/>
    <n v="4847216625"/>
    <n v="18680"/>
  </r>
  <r>
    <s v="DOLFUT"/>
    <x v="86"/>
    <x v="9"/>
    <n v="5194.5"/>
    <n v="5195.5"/>
    <n v="5183.5"/>
    <n v="5191.5"/>
    <n v="3479400500"/>
    <n v="13410"/>
  </r>
  <r>
    <s v="DOLFUT"/>
    <x v="86"/>
    <x v="10"/>
    <n v="5196.5"/>
    <n v="5203"/>
    <n v="5189.5"/>
    <n v="5195.5"/>
    <n v="4891866500"/>
    <n v="18820"/>
  </r>
  <r>
    <s v="DOLFUT"/>
    <x v="86"/>
    <x v="11"/>
    <n v="5200"/>
    <n v="5207"/>
    <n v="5180.5"/>
    <n v="5196.5"/>
    <n v="3013857875"/>
    <n v="11600"/>
  </r>
  <r>
    <s v="DOLFUT"/>
    <x v="87"/>
    <x v="12"/>
    <n v="5200"/>
    <n v="5200.5"/>
    <n v="5195"/>
    <n v="5197.5"/>
    <n v="1973104875"/>
    <n v="7590"/>
  </r>
  <r>
    <s v="DOLFUT"/>
    <x v="87"/>
    <x v="13"/>
    <n v="5202.5"/>
    <n v="5203.5"/>
    <n v="5194.5"/>
    <n v="5200"/>
    <n v="2313348500"/>
    <n v="8900"/>
  </r>
  <r>
    <s v="DOLFUT"/>
    <x v="87"/>
    <x v="14"/>
    <n v="5210.5"/>
    <n v="5210.5"/>
    <n v="5201.5"/>
    <n v="5202.5"/>
    <n v="3220456500"/>
    <n v="12370"/>
  </r>
  <r>
    <s v="DOLFUT"/>
    <x v="87"/>
    <x v="15"/>
    <n v="5216.5"/>
    <n v="5220.5"/>
    <n v="5209"/>
    <n v="5210.5"/>
    <n v="2490947750"/>
    <n v="9555"/>
  </r>
  <r>
    <s v="DOLFUT"/>
    <x v="87"/>
    <x v="16"/>
    <n v="5223"/>
    <n v="5228"/>
    <n v="5213.5"/>
    <n v="5216.5"/>
    <n v="2770158625"/>
    <n v="10615"/>
  </r>
  <r>
    <s v="DOLFUT"/>
    <x v="87"/>
    <x v="17"/>
    <n v="5217"/>
    <n v="5226.5"/>
    <n v="5216.5"/>
    <n v="5223.5"/>
    <n v="4035707750"/>
    <n v="15455"/>
  </r>
  <r>
    <s v="DOLFUT"/>
    <x v="87"/>
    <x v="18"/>
    <n v="5212"/>
    <n v="5217.5"/>
    <n v="5209"/>
    <n v="5217"/>
    <n v="2396281875"/>
    <n v="9195"/>
  </r>
  <r>
    <s v="DOLFUT"/>
    <x v="87"/>
    <x v="0"/>
    <n v="5210.5"/>
    <n v="5213.5"/>
    <n v="5204.5"/>
    <n v="5212"/>
    <n v="3093232250"/>
    <n v="11880"/>
  </r>
  <r>
    <s v="DOLFUT"/>
    <x v="87"/>
    <x v="1"/>
    <n v="5215.5"/>
    <n v="5216.5"/>
    <n v="5208.5"/>
    <n v="5211"/>
    <n v="1815350125"/>
    <n v="6965"/>
  </r>
  <r>
    <s v="DOLFUT"/>
    <x v="87"/>
    <x v="2"/>
    <n v="5216"/>
    <n v="5219.5"/>
    <n v="5214"/>
    <n v="5214.5"/>
    <n v="1422899125"/>
    <n v="5455"/>
  </r>
  <r>
    <s v="DOLFUT"/>
    <x v="87"/>
    <x v="3"/>
    <n v="5214.5"/>
    <n v="5219"/>
    <n v="5204.5"/>
    <n v="5215.5"/>
    <n v="4993042625"/>
    <n v="19160"/>
  </r>
  <r>
    <s v="DOLFUT"/>
    <x v="87"/>
    <x v="4"/>
    <n v="5203.5"/>
    <n v="5216"/>
    <n v="5199"/>
    <n v="5214"/>
    <n v="7119461625"/>
    <n v="27340"/>
  </r>
  <r>
    <s v="DOLFUT"/>
    <x v="87"/>
    <x v="5"/>
    <n v="5191.5"/>
    <n v="5209"/>
    <n v="5184"/>
    <n v="5204"/>
    <n v="10227051880"/>
    <n v="39340"/>
  </r>
  <r>
    <s v="DOLFUT"/>
    <x v="87"/>
    <x v="6"/>
    <n v="5191"/>
    <n v="5200"/>
    <n v="5186.5"/>
    <n v="5191.5"/>
    <n v="4750999375"/>
    <n v="18300"/>
  </r>
  <r>
    <s v="DOLFUT"/>
    <x v="87"/>
    <x v="7"/>
    <n v="5180"/>
    <n v="5193"/>
    <n v="5177.5"/>
    <n v="5191.5"/>
    <n v="5080377375"/>
    <n v="19590"/>
  </r>
  <r>
    <s v="DOLFUT"/>
    <x v="87"/>
    <x v="8"/>
    <n v="5182"/>
    <n v="5186.5"/>
    <n v="5178"/>
    <n v="5180"/>
    <n v="3472256625"/>
    <n v="13400"/>
  </r>
  <r>
    <s v="DOLFUT"/>
    <x v="87"/>
    <x v="9"/>
    <n v="5182.5"/>
    <n v="5190"/>
    <n v="5174"/>
    <n v="5182.5"/>
    <n v="5463143000"/>
    <n v="21085"/>
  </r>
  <r>
    <s v="DOLFUT"/>
    <x v="87"/>
    <x v="10"/>
    <n v="5197.5"/>
    <n v="5199"/>
    <n v="5180.5"/>
    <n v="5182.5"/>
    <n v="3796338125"/>
    <n v="14630"/>
  </r>
  <r>
    <s v="DOLFUT"/>
    <x v="87"/>
    <x v="11"/>
    <n v="5190.5"/>
    <n v="5206.5"/>
    <n v="5190.5"/>
    <n v="5198.5"/>
    <n v="4427336375"/>
    <n v="17030"/>
  </r>
  <r>
    <s v="DOLFUT"/>
    <x v="88"/>
    <x v="12"/>
    <n v="5194"/>
    <n v="5195.5"/>
    <n v="5180.5"/>
    <n v="5183.5"/>
    <n v="4149058875"/>
    <n v="15985"/>
  </r>
  <r>
    <s v="DOLFUT"/>
    <x v="88"/>
    <x v="13"/>
    <n v="5204.5"/>
    <n v="5208"/>
    <n v="5182"/>
    <n v="5194"/>
    <n v="6864186625"/>
    <n v="26420"/>
  </r>
  <r>
    <s v="DOLFUT"/>
    <x v="88"/>
    <x v="14"/>
    <n v="5212.5"/>
    <n v="5212.5"/>
    <n v="5204"/>
    <n v="5205"/>
    <n v="2837502625"/>
    <n v="10895"/>
  </r>
  <r>
    <s v="DOLFUT"/>
    <x v="88"/>
    <x v="15"/>
    <n v="5210.5"/>
    <n v="5213"/>
    <n v="5204"/>
    <n v="5212"/>
    <n v="2891616500"/>
    <n v="11105"/>
  </r>
  <r>
    <s v="DOLFUT"/>
    <x v="88"/>
    <x v="16"/>
    <n v="5209.5"/>
    <n v="5213"/>
    <n v="5203"/>
    <n v="5210.5"/>
    <n v="4525845500"/>
    <n v="17380"/>
  </r>
  <r>
    <s v="DOLFUT"/>
    <x v="88"/>
    <x v="17"/>
    <n v="5216.5"/>
    <n v="5218.5"/>
    <n v="5208.5"/>
    <n v="5210"/>
    <n v="5522230875"/>
    <n v="21175"/>
  </r>
  <r>
    <s v="DOLFUT"/>
    <x v="88"/>
    <x v="18"/>
    <n v="5216"/>
    <n v="5220.5"/>
    <n v="5214"/>
    <n v="5217"/>
    <n v="5324033750"/>
    <n v="20410"/>
  </r>
  <r>
    <s v="DOLFUT"/>
    <x v="88"/>
    <x v="0"/>
    <n v="5223"/>
    <n v="5226.5"/>
    <n v="5215"/>
    <n v="5216"/>
    <n v="2450842125"/>
    <n v="9390"/>
  </r>
  <r>
    <s v="DOLFUT"/>
    <x v="88"/>
    <x v="1"/>
    <n v="5219"/>
    <n v="5225"/>
    <n v="5218"/>
    <n v="5223.5"/>
    <n v="3095483125"/>
    <n v="11855"/>
  </r>
  <r>
    <s v="DOLFUT"/>
    <x v="88"/>
    <x v="2"/>
    <n v="5224.5"/>
    <n v="5229"/>
    <n v="5212"/>
    <n v="5219"/>
    <n v="4109361750"/>
    <n v="15740"/>
  </r>
  <r>
    <s v="DOLFUT"/>
    <x v="88"/>
    <x v="3"/>
    <n v="5224"/>
    <n v="5226"/>
    <n v="5216.5"/>
    <n v="5225"/>
    <n v="4474256375"/>
    <n v="17135"/>
  </r>
  <r>
    <s v="DOLFUT"/>
    <x v="88"/>
    <x v="4"/>
    <n v="5228"/>
    <n v="5235"/>
    <n v="5223.5"/>
    <n v="5223.5"/>
    <n v="5028827625"/>
    <n v="19230"/>
  </r>
  <r>
    <s v="DOLFUT"/>
    <x v="88"/>
    <x v="5"/>
    <n v="5252"/>
    <n v="5253"/>
    <n v="5225"/>
    <n v="5227"/>
    <n v="5027569250"/>
    <n v="19185"/>
  </r>
  <r>
    <s v="DOLFUT"/>
    <x v="88"/>
    <x v="6"/>
    <n v="5255.5"/>
    <n v="5257"/>
    <n v="5251.5"/>
    <n v="5252"/>
    <n v="3119594750"/>
    <n v="11875"/>
  </r>
  <r>
    <s v="DOLFUT"/>
    <x v="88"/>
    <x v="7"/>
    <n v="5251.5"/>
    <n v="5257.5"/>
    <n v="5249.5"/>
    <n v="5255.5"/>
    <n v="4790026625"/>
    <n v="18240"/>
  </r>
  <r>
    <s v="DOLFUT"/>
    <x v="88"/>
    <x v="8"/>
    <n v="5260"/>
    <n v="5260.5"/>
    <n v="5250.5"/>
    <n v="5251.5"/>
    <n v="8807903500"/>
    <n v="33525"/>
  </r>
  <r>
    <s v="DOLFUT"/>
    <x v="88"/>
    <x v="9"/>
    <n v="5261"/>
    <n v="5262"/>
    <n v="5256.5"/>
    <n v="5260"/>
    <n v="4365083375"/>
    <n v="16600"/>
  </r>
  <r>
    <s v="DOLFUT"/>
    <x v="88"/>
    <x v="10"/>
    <n v="5276"/>
    <n v="5278.5"/>
    <n v="5260"/>
    <n v="5262"/>
    <n v="3320813625"/>
    <n v="12610"/>
  </r>
  <r>
    <s v="DOLFUT"/>
    <x v="88"/>
    <x v="11"/>
    <n v="5283.5"/>
    <n v="5283.5"/>
    <n v="5273"/>
    <n v="5275.5"/>
    <n v="3684850375"/>
    <n v="13960"/>
  </r>
  <r>
    <s v="DOLFUT"/>
    <x v="89"/>
    <x v="12"/>
    <n v="5291"/>
    <n v="5294"/>
    <n v="5287.5"/>
    <n v="5288.5"/>
    <n v="1198343125"/>
    <n v="4530"/>
  </r>
  <r>
    <s v="DOLFUT"/>
    <x v="89"/>
    <x v="13"/>
    <n v="5285.5"/>
    <n v="5292"/>
    <n v="5282"/>
    <n v="5290.5"/>
    <n v="1131267125"/>
    <n v="4280"/>
  </r>
  <r>
    <s v="DOLFUT"/>
    <x v="89"/>
    <x v="14"/>
    <n v="5287.5"/>
    <n v="5288"/>
    <n v="5285"/>
    <n v="5286"/>
    <n v="1268818875"/>
    <n v="4800"/>
  </r>
  <r>
    <s v="DOLFUT"/>
    <x v="89"/>
    <x v="15"/>
    <n v="5288.5"/>
    <n v="5291"/>
    <n v="5287.5"/>
    <n v="5287.5"/>
    <n v="1798527625"/>
    <n v="6800"/>
  </r>
  <r>
    <s v="DOLFUT"/>
    <x v="89"/>
    <x v="16"/>
    <n v="5284"/>
    <n v="5293"/>
    <n v="5284"/>
    <n v="5288"/>
    <n v="2966732875"/>
    <n v="11220"/>
  </r>
  <r>
    <s v="DOLFUT"/>
    <x v="89"/>
    <x v="17"/>
    <n v="5279"/>
    <n v="5284"/>
    <n v="5279"/>
    <n v="5284"/>
    <n v="3742794875"/>
    <n v="14170"/>
  </r>
  <r>
    <s v="DOLFUT"/>
    <x v="89"/>
    <x v="18"/>
    <n v="5277.5"/>
    <n v="5279.5"/>
    <n v="5274"/>
    <n v="5279"/>
    <n v="2251688125"/>
    <n v="8535"/>
  </r>
  <r>
    <s v="DOLFUT"/>
    <x v="89"/>
    <x v="0"/>
    <n v="5280.5"/>
    <n v="5283.5"/>
    <n v="5274.5"/>
    <n v="5277"/>
    <n v="1642875750"/>
    <n v="6225"/>
  </r>
  <r>
    <s v="DOLFUT"/>
    <x v="89"/>
    <x v="1"/>
    <n v="5280.5"/>
    <n v="5283"/>
    <n v="5278.5"/>
    <n v="5280.5"/>
    <n v="1832260125"/>
    <n v="6940"/>
  </r>
  <r>
    <s v="DOLFUT"/>
    <x v="89"/>
    <x v="2"/>
    <n v="5277"/>
    <n v="5282"/>
    <n v="5276"/>
    <n v="5281"/>
    <n v="1672458250"/>
    <n v="6335"/>
  </r>
  <r>
    <s v="DOLFUT"/>
    <x v="89"/>
    <x v="3"/>
    <n v="5270"/>
    <n v="5278.5"/>
    <n v="5268.5"/>
    <n v="5276.5"/>
    <n v="3311926625"/>
    <n v="12560"/>
  </r>
  <r>
    <s v="DOLFUT"/>
    <x v="89"/>
    <x v="4"/>
    <n v="5279"/>
    <n v="5281.5"/>
    <n v="5268"/>
    <n v="5269.5"/>
    <n v="2486910375"/>
    <n v="9430"/>
  </r>
  <r>
    <s v="DOLFUT"/>
    <x v="89"/>
    <x v="5"/>
    <n v="5277"/>
    <n v="5284.5"/>
    <n v="5274"/>
    <n v="5279.5"/>
    <n v="3610639750"/>
    <n v="13680"/>
  </r>
  <r>
    <s v="DOLFUT"/>
    <x v="89"/>
    <x v="6"/>
    <n v="5280"/>
    <n v="5287.5"/>
    <n v="5275"/>
    <n v="5277"/>
    <n v="3311601125"/>
    <n v="12540"/>
  </r>
  <r>
    <s v="DOLFUT"/>
    <x v="89"/>
    <x v="7"/>
    <n v="5289.5"/>
    <n v="5292.5"/>
    <n v="5276.5"/>
    <n v="5280"/>
    <n v="3579273625"/>
    <n v="13545"/>
  </r>
  <r>
    <s v="DOLFUT"/>
    <x v="89"/>
    <x v="8"/>
    <n v="5292.5"/>
    <n v="5295"/>
    <n v="5287.5"/>
    <n v="5290"/>
    <n v="2979672500"/>
    <n v="11265"/>
  </r>
  <r>
    <s v="DOLFUT"/>
    <x v="89"/>
    <x v="9"/>
    <n v="5291"/>
    <n v="5297.5"/>
    <n v="5288.5"/>
    <n v="5291.5"/>
    <n v="4966636250"/>
    <n v="18770"/>
  </r>
  <r>
    <s v="DOLFUT"/>
    <x v="89"/>
    <x v="10"/>
    <n v="5287.5"/>
    <n v="5297.5"/>
    <n v="5287.5"/>
    <n v="5290"/>
    <n v="5524574625"/>
    <n v="20875"/>
  </r>
  <r>
    <s v="DOLFUT"/>
    <x v="89"/>
    <x v="11"/>
    <n v="5289"/>
    <n v="5290"/>
    <n v="5275.5"/>
    <n v="5287"/>
    <n v="2015628625"/>
    <n v="7630"/>
  </r>
  <r>
    <s v="DOLFUT"/>
    <x v="90"/>
    <x v="12"/>
    <n v="5295.5"/>
    <n v="5304.5"/>
    <n v="5293.5"/>
    <n v="5303.5"/>
    <n v="1153869500"/>
    <n v="4355"/>
  </r>
  <r>
    <s v="DOLFUT"/>
    <x v="90"/>
    <x v="13"/>
    <n v="5295.5"/>
    <n v="5299"/>
    <n v="5292.5"/>
    <n v="5296.5"/>
    <n v="1247133500"/>
    <n v="4710"/>
  </r>
  <r>
    <s v="DOLFUT"/>
    <x v="90"/>
    <x v="14"/>
    <n v="5296"/>
    <n v="5296.5"/>
    <n v="5286.5"/>
    <n v="5296"/>
    <n v="1096855500"/>
    <n v="4145"/>
  </r>
  <r>
    <s v="DOLFUT"/>
    <x v="90"/>
    <x v="15"/>
    <n v="5297"/>
    <n v="5298.5"/>
    <n v="5293"/>
    <n v="5296"/>
    <n v="1235303625"/>
    <n v="4665"/>
  </r>
  <r>
    <s v="DOLFUT"/>
    <x v="90"/>
    <x v="16"/>
    <n v="5298"/>
    <n v="5299"/>
    <n v="5295.5"/>
    <n v="5296.5"/>
    <n v="1708451625"/>
    <n v="6450"/>
  </r>
  <r>
    <s v="DOLFUT"/>
    <x v="90"/>
    <x v="17"/>
    <n v="5294"/>
    <n v="5301"/>
    <n v="5294"/>
    <n v="5297.5"/>
    <n v="2091731750"/>
    <n v="7895"/>
  </r>
  <r>
    <s v="DOLFUT"/>
    <x v="90"/>
    <x v="18"/>
    <n v="5301.5"/>
    <n v="5308"/>
    <n v="5292.5"/>
    <n v="5294"/>
    <n v="5025865250"/>
    <n v="18965"/>
  </r>
  <r>
    <s v="DOLFUT"/>
    <x v="90"/>
    <x v="0"/>
    <n v="5288"/>
    <n v="5301.5"/>
    <n v="5282.5"/>
    <n v="5301.5"/>
    <n v="5685760625"/>
    <n v="21485"/>
  </r>
  <r>
    <s v="DOLFUT"/>
    <x v="90"/>
    <x v="1"/>
    <n v="5305.5"/>
    <n v="5306.5"/>
    <n v="5286.5"/>
    <n v="5287.5"/>
    <n v="5721166625"/>
    <n v="21615"/>
  </r>
  <r>
    <s v="DOLFUT"/>
    <x v="90"/>
    <x v="2"/>
    <n v="5300"/>
    <n v="5307.5"/>
    <n v="5297.5"/>
    <n v="5304.5"/>
    <n v="1464491625"/>
    <n v="5525"/>
  </r>
  <r>
    <s v="DOLFUT"/>
    <x v="90"/>
    <x v="3"/>
    <n v="5292.5"/>
    <n v="5304"/>
    <n v="5290.5"/>
    <n v="5300"/>
    <n v="3707203000"/>
    <n v="13995"/>
  </r>
  <r>
    <s v="DOLFUT"/>
    <x v="90"/>
    <x v="4"/>
    <n v="5295.5"/>
    <n v="5300"/>
    <n v="5292"/>
    <n v="5292.5"/>
    <n v="2351471625"/>
    <n v="8880"/>
  </r>
  <r>
    <s v="DOLFUT"/>
    <x v="90"/>
    <x v="5"/>
    <n v="5307.5"/>
    <n v="5307.5"/>
    <n v="5294"/>
    <n v="5295.5"/>
    <n v="4834810250"/>
    <n v="18240"/>
  </r>
  <r>
    <s v="DOLFUT"/>
    <x v="90"/>
    <x v="6"/>
    <n v="5305"/>
    <n v="5314.5"/>
    <n v="5303.5"/>
    <n v="5308"/>
    <n v="2637266875"/>
    <n v="9935"/>
  </r>
  <r>
    <s v="DOLFUT"/>
    <x v="90"/>
    <x v="7"/>
    <n v="5304"/>
    <n v="5313.5"/>
    <n v="5301"/>
    <n v="5304.5"/>
    <n v="10355741500"/>
    <n v="39025"/>
  </r>
  <r>
    <s v="DOLFUT"/>
    <x v="90"/>
    <x v="8"/>
    <n v="5300"/>
    <n v="5308.5"/>
    <n v="5298.5"/>
    <n v="5303.5"/>
    <n v="2553111750"/>
    <n v="9630"/>
  </r>
  <r>
    <s v="DOLFUT"/>
    <x v="90"/>
    <x v="9"/>
    <n v="5296.5"/>
    <n v="5301"/>
    <n v="5286.5"/>
    <n v="5300"/>
    <n v="3759642000"/>
    <n v="14205"/>
  </r>
  <r>
    <s v="DOLFUT"/>
    <x v="90"/>
    <x v="10"/>
    <n v="5304"/>
    <n v="5307"/>
    <n v="5296.5"/>
    <n v="5296.5"/>
    <n v="2389686875"/>
    <n v="9015"/>
  </r>
  <r>
    <s v="DOLFUT"/>
    <x v="90"/>
    <x v="11"/>
    <n v="5303"/>
    <n v="5309"/>
    <n v="5296"/>
    <n v="5304"/>
    <n v="3498026250"/>
    <n v="13195"/>
  </r>
  <r>
    <s v="DOLFUT"/>
    <x v="91"/>
    <x v="12"/>
    <n v="5300"/>
    <n v="5305.5"/>
    <n v="5296.5"/>
    <n v="5296.5"/>
    <n v="1661691125"/>
    <n v="6270"/>
  </r>
  <r>
    <s v="DOLFUT"/>
    <x v="91"/>
    <x v="13"/>
    <n v="5292.5"/>
    <n v="5301"/>
    <n v="5292.5"/>
    <n v="5300.5"/>
    <n v="843427250"/>
    <n v="3185"/>
  </r>
  <r>
    <s v="DOLFUT"/>
    <x v="91"/>
    <x v="14"/>
    <n v="5294.5"/>
    <n v="5296.5"/>
    <n v="5291"/>
    <n v="5292"/>
    <n v="2297798875"/>
    <n v="8680"/>
  </r>
  <r>
    <s v="DOLFUT"/>
    <x v="91"/>
    <x v="15"/>
    <n v="5295"/>
    <n v="5296"/>
    <n v="5292.5"/>
    <n v="5294"/>
    <n v="1355363125"/>
    <n v="5120"/>
  </r>
  <r>
    <s v="DOLFUT"/>
    <x v="91"/>
    <x v="16"/>
    <n v="5293.5"/>
    <n v="5296.5"/>
    <n v="5293.5"/>
    <n v="5296"/>
    <n v="2559188125"/>
    <n v="9665"/>
  </r>
  <r>
    <s v="DOLFUT"/>
    <x v="91"/>
    <x v="17"/>
    <n v="5303.5"/>
    <n v="5303.5"/>
    <n v="5292.5"/>
    <n v="5293.5"/>
    <n v="3319001125"/>
    <n v="12530"/>
  </r>
  <r>
    <s v="DOLFUT"/>
    <x v="91"/>
    <x v="18"/>
    <n v="5304"/>
    <n v="5304.5"/>
    <n v="5295.5"/>
    <n v="5303"/>
    <n v="2758185750"/>
    <n v="10410"/>
  </r>
  <r>
    <s v="DOLFUT"/>
    <x v="91"/>
    <x v="0"/>
    <n v="5305.5"/>
    <n v="5307"/>
    <n v="5296.5"/>
    <n v="5303.5"/>
    <n v="3743664750"/>
    <n v="14120"/>
  </r>
  <r>
    <s v="DOLFUT"/>
    <x v="91"/>
    <x v="1"/>
    <n v="5308"/>
    <n v="5312.5"/>
    <n v="5305"/>
    <n v="5305.5"/>
    <n v="5211582125"/>
    <n v="19635"/>
  </r>
  <r>
    <s v="DOLFUT"/>
    <x v="91"/>
    <x v="2"/>
    <n v="5303.5"/>
    <n v="5310.5"/>
    <n v="5303"/>
    <n v="5308"/>
    <n v="5347377625"/>
    <n v="20155"/>
  </r>
  <r>
    <s v="DOLFUT"/>
    <x v="91"/>
    <x v="3"/>
    <n v="5305"/>
    <n v="5307.5"/>
    <n v="5300.5"/>
    <n v="5303"/>
    <n v="4982635750"/>
    <n v="18790"/>
  </r>
  <r>
    <s v="DOLFUT"/>
    <x v="91"/>
    <x v="4"/>
    <n v="5313.5"/>
    <n v="5320"/>
    <n v="5305.5"/>
    <n v="5305.5"/>
    <n v="2847944875"/>
    <n v="10720"/>
  </r>
  <r>
    <s v="DOLFUT"/>
    <x v="91"/>
    <x v="5"/>
    <n v="5324.5"/>
    <n v="5327.5"/>
    <n v="5313"/>
    <n v="5314"/>
    <n v="5442102375"/>
    <n v="20445"/>
  </r>
  <r>
    <s v="DOLFUT"/>
    <x v="91"/>
    <x v="6"/>
    <n v="5330"/>
    <n v="5330"/>
    <n v="5321.5"/>
    <n v="5325"/>
    <n v="3348231625"/>
    <n v="12575"/>
  </r>
  <r>
    <s v="DOLFUT"/>
    <x v="91"/>
    <x v="7"/>
    <n v="5336.5"/>
    <n v="5336.5"/>
    <n v="5326.5"/>
    <n v="5330.5"/>
    <n v="2350998750"/>
    <n v="8820"/>
  </r>
  <r>
    <s v="DOLFUT"/>
    <x v="91"/>
    <x v="8"/>
    <n v="5328"/>
    <n v="5337"/>
    <n v="5325.5"/>
    <n v="5336.5"/>
    <n v="2771994625"/>
    <n v="10400"/>
  </r>
  <r>
    <s v="DOLFUT"/>
    <x v="91"/>
    <x v="9"/>
    <n v="5325"/>
    <n v="5330"/>
    <n v="5324.5"/>
    <n v="5327"/>
    <n v="2735371375"/>
    <n v="10270"/>
  </r>
  <r>
    <s v="DOLFUT"/>
    <x v="91"/>
    <x v="10"/>
    <n v="5322.5"/>
    <n v="5326"/>
    <n v="5318.5"/>
    <n v="5325.5"/>
    <n v="2091889375"/>
    <n v="7860"/>
  </r>
  <r>
    <s v="DOLFUT"/>
    <x v="91"/>
    <x v="11"/>
    <n v="5328"/>
    <n v="5335.5"/>
    <n v="5316.5"/>
    <n v="5323.5"/>
    <n v="4691715375"/>
    <n v="17620"/>
  </r>
  <r>
    <s v="DOLFUT"/>
    <x v="92"/>
    <x v="12"/>
    <n v="5329.5"/>
    <n v="5334"/>
    <n v="5328"/>
    <n v="5333.5"/>
    <n v="2561659250"/>
    <n v="9610"/>
  </r>
  <r>
    <s v="DOLFUT"/>
    <x v="92"/>
    <x v="13"/>
    <n v="5332"/>
    <n v="5333"/>
    <n v="5326.5"/>
    <n v="5329"/>
    <n v="1672474375"/>
    <n v="6275"/>
  </r>
  <r>
    <s v="DOLFUT"/>
    <x v="92"/>
    <x v="14"/>
    <n v="5331"/>
    <n v="5335.5"/>
    <n v="5330.5"/>
    <n v="5332"/>
    <n v="2084885125"/>
    <n v="7820"/>
  </r>
  <r>
    <s v="DOLFUT"/>
    <x v="92"/>
    <x v="15"/>
    <n v="5329"/>
    <n v="5335"/>
    <n v="5327.5"/>
    <n v="5331.5"/>
    <n v="2096882375"/>
    <n v="7865"/>
  </r>
  <r>
    <s v="DOLFUT"/>
    <x v="92"/>
    <x v="16"/>
    <n v="5330.5"/>
    <n v="5336"/>
    <n v="5327.5"/>
    <n v="5328.5"/>
    <n v="2682781250"/>
    <n v="10060"/>
  </r>
  <r>
    <s v="DOLFUT"/>
    <x v="92"/>
    <x v="17"/>
    <n v="5335.5"/>
    <n v="5336.5"/>
    <n v="5330"/>
    <n v="5330.5"/>
    <n v="2663767500"/>
    <n v="9990"/>
  </r>
  <r>
    <s v="DOLFUT"/>
    <x v="92"/>
    <x v="18"/>
    <n v="5338"/>
    <n v="5341"/>
    <n v="5333.5"/>
    <n v="5334.5"/>
    <n v="2075506000"/>
    <n v="7775"/>
  </r>
  <r>
    <s v="DOLFUT"/>
    <x v="92"/>
    <x v="0"/>
    <n v="5340"/>
    <n v="5345.5"/>
    <n v="5337"/>
    <n v="5337.5"/>
    <n v="3890835375"/>
    <n v="14570"/>
  </r>
  <r>
    <s v="DOLFUT"/>
    <x v="92"/>
    <x v="1"/>
    <n v="5335"/>
    <n v="5340"/>
    <n v="5334"/>
    <n v="5339"/>
    <n v="2474841375"/>
    <n v="9275"/>
  </r>
  <r>
    <s v="DOLFUT"/>
    <x v="92"/>
    <x v="2"/>
    <n v="5335.5"/>
    <n v="5337"/>
    <n v="5330"/>
    <n v="5336"/>
    <n v="1770803500"/>
    <n v="6640"/>
  </r>
  <r>
    <s v="DOLFUT"/>
    <x v="92"/>
    <x v="3"/>
    <n v="5336"/>
    <n v="5341"/>
    <n v="5333.5"/>
    <n v="5335.5"/>
    <n v="2364774250"/>
    <n v="8860"/>
  </r>
  <r>
    <s v="DOLFUT"/>
    <x v="92"/>
    <x v="4"/>
    <n v="5349"/>
    <n v="5351.5"/>
    <n v="5335.5"/>
    <n v="5336"/>
    <n v="3487434500"/>
    <n v="13050"/>
  </r>
  <r>
    <s v="DOLFUT"/>
    <x v="92"/>
    <x v="5"/>
    <n v="5341.5"/>
    <n v="5349.5"/>
    <n v="5339"/>
    <n v="5349.5"/>
    <n v="4451466125"/>
    <n v="16660"/>
  </r>
  <r>
    <s v="DOLFUT"/>
    <x v="92"/>
    <x v="6"/>
    <n v="5363"/>
    <n v="5363.5"/>
    <n v="5335.5"/>
    <n v="5341.5"/>
    <n v="6968511875"/>
    <n v="26065"/>
  </r>
  <r>
    <s v="DOLFUT"/>
    <x v="92"/>
    <x v="7"/>
    <n v="5361"/>
    <n v="5367.5"/>
    <n v="5354.5"/>
    <n v="5363"/>
    <n v="5746727750"/>
    <n v="21440"/>
  </r>
  <r>
    <s v="DOLFUT"/>
    <x v="92"/>
    <x v="8"/>
    <n v="5362.5"/>
    <n v="5369"/>
    <n v="5360.5"/>
    <n v="5360.5"/>
    <n v="4033595500"/>
    <n v="15035"/>
  </r>
  <r>
    <s v="DOLFUT"/>
    <x v="92"/>
    <x v="9"/>
    <n v="5363"/>
    <n v="5366.5"/>
    <n v="5357"/>
    <n v="5362.5"/>
    <n v="5221510875"/>
    <n v="19480"/>
  </r>
  <r>
    <s v="DOLFUT"/>
    <x v="92"/>
    <x v="10"/>
    <n v="5373.5"/>
    <n v="5374.5"/>
    <n v="5362.5"/>
    <n v="5363"/>
    <n v="3697551125"/>
    <n v="13775"/>
  </r>
  <r>
    <s v="DOLFUT"/>
    <x v="92"/>
    <x v="11"/>
    <n v="5385"/>
    <n v="5385.5"/>
    <n v="5368"/>
    <n v="5374"/>
    <n v="3647950625"/>
    <n v="13575"/>
  </r>
  <r>
    <s v="DOLFUT"/>
    <x v="93"/>
    <x v="12"/>
    <n v="5389"/>
    <n v="5392.5"/>
    <n v="5388"/>
    <n v="5392.5"/>
    <n v="1024162000"/>
    <n v="3800"/>
  </r>
  <r>
    <s v="DOLFUT"/>
    <x v="93"/>
    <x v="13"/>
    <n v="5391"/>
    <n v="5392.5"/>
    <n v="5388.5"/>
    <n v="5389"/>
    <n v="1177849750"/>
    <n v="4370"/>
  </r>
  <r>
    <s v="DOLFUT"/>
    <x v="93"/>
    <x v="14"/>
    <n v="5394"/>
    <n v="5395.5"/>
    <n v="5390"/>
    <n v="5390.5"/>
    <n v="877788125"/>
    <n v="3255"/>
  </r>
  <r>
    <s v="DOLFUT"/>
    <x v="93"/>
    <x v="15"/>
    <n v="5392"/>
    <n v="5395"/>
    <n v="5391"/>
    <n v="5394"/>
    <n v="1456063750"/>
    <n v="5400"/>
  </r>
  <r>
    <s v="DOLFUT"/>
    <x v="93"/>
    <x v="16"/>
    <n v="5397.5"/>
    <n v="5397.5"/>
    <n v="5391"/>
    <n v="5391.5"/>
    <n v="1906646250"/>
    <n v="7070"/>
  </r>
  <r>
    <s v="DOLFUT"/>
    <x v="93"/>
    <x v="17"/>
    <n v="5391.5"/>
    <n v="5401"/>
    <n v="5389"/>
    <n v="5397.5"/>
    <n v="5453171625"/>
    <n v="20215"/>
  </r>
  <r>
    <s v="DOLFUT"/>
    <x v="93"/>
    <x v="18"/>
    <n v="5387"/>
    <n v="5395.5"/>
    <n v="5385"/>
    <n v="5391"/>
    <n v="2878099625"/>
    <n v="10680"/>
  </r>
  <r>
    <s v="DOLFUT"/>
    <x v="93"/>
    <x v="0"/>
    <n v="5382"/>
    <n v="5389"/>
    <n v="5382"/>
    <n v="5386.5"/>
    <n v="6302605125"/>
    <n v="23400"/>
  </r>
  <r>
    <s v="DOLFUT"/>
    <x v="93"/>
    <x v="1"/>
    <n v="5378"/>
    <n v="5381.5"/>
    <n v="5375"/>
    <n v="5381"/>
    <n v="2357062125"/>
    <n v="8765"/>
  </r>
  <r>
    <s v="DOLFUT"/>
    <x v="93"/>
    <x v="2"/>
    <n v="5376"/>
    <n v="5380.5"/>
    <n v="5374.5"/>
    <n v="5376.5"/>
    <n v="1402090500"/>
    <n v="5215"/>
  </r>
  <r>
    <s v="DOLFUT"/>
    <x v="93"/>
    <x v="3"/>
    <n v="5380.5"/>
    <n v="5381.5"/>
    <n v="5374.5"/>
    <n v="5375.5"/>
    <n v="1769177125"/>
    <n v="6580"/>
  </r>
  <r>
    <s v="DOLFUT"/>
    <x v="93"/>
    <x v="4"/>
    <n v="5377.5"/>
    <n v="5382.5"/>
    <n v="5374"/>
    <n v="5380.5"/>
    <n v="2491434500"/>
    <n v="9265"/>
  </r>
  <r>
    <s v="DOLFUT"/>
    <x v="93"/>
    <x v="5"/>
    <n v="5391"/>
    <n v="5394.5"/>
    <n v="5374.5"/>
    <n v="5377"/>
    <n v="3607845500"/>
    <n v="13400"/>
  </r>
  <r>
    <s v="DOLFUT"/>
    <x v="93"/>
    <x v="6"/>
    <n v="5407.5"/>
    <n v="5407.5"/>
    <n v="5390"/>
    <n v="5392"/>
    <n v="6058347875"/>
    <n v="22455"/>
  </r>
  <r>
    <s v="DOLFUT"/>
    <x v="93"/>
    <x v="7"/>
    <n v="5406"/>
    <n v="5408.5"/>
    <n v="5400.5"/>
    <n v="5407.5"/>
    <n v="3208830625"/>
    <n v="11875"/>
  </r>
  <r>
    <s v="DOLFUT"/>
    <x v="93"/>
    <x v="8"/>
    <n v="5410"/>
    <n v="5423.5"/>
    <n v="5406"/>
    <n v="5406"/>
    <n v="4531957500"/>
    <n v="16740"/>
  </r>
  <r>
    <s v="DOLFUT"/>
    <x v="93"/>
    <x v="9"/>
    <n v="5396.5"/>
    <n v="5410.5"/>
    <n v="5396.5"/>
    <n v="5409.5"/>
    <n v="4919506625"/>
    <n v="18205"/>
  </r>
  <r>
    <s v="DOLFUT"/>
    <x v="93"/>
    <x v="10"/>
    <n v="5408"/>
    <n v="5412"/>
    <n v="5393.5"/>
    <n v="5396"/>
    <n v="4729237375"/>
    <n v="17510"/>
  </r>
  <r>
    <s v="DOLFUT"/>
    <x v="93"/>
    <x v="11"/>
    <n v="5393"/>
    <n v="5408.5"/>
    <n v="5387.5"/>
    <n v="5407.5"/>
    <n v="5510965375"/>
    <n v="20425"/>
  </r>
  <r>
    <s v="DOLFUT"/>
    <x v="94"/>
    <x v="12"/>
    <n v="5383"/>
    <n v="5388.5"/>
    <n v="5383"/>
    <n v="5388.5"/>
    <n v="503548000"/>
    <n v="1870"/>
  </r>
  <r>
    <s v="DOLFUT"/>
    <x v="94"/>
    <x v="13"/>
    <n v="5382.5"/>
    <n v="5385"/>
    <n v="5381.5"/>
    <n v="5383.5"/>
    <n v="830265875"/>
    <n v="3085"/>
  </r>
  <r>
    <s v="DOLFUT"/>
    <x v="94"/>
    <x v="14"/>
    <n v="5381"/>
    <n v="5383"/>
    <n v="5379.5"/>
    <n v="5382.5"/>
    <n v="291939375"/>
    <n v="1085"/>
  </r>
  <r>
    <s v="DOLFUT"/>
    <x v="94"/>
    <x v="15"/>
    <n v="5380.5"/>
    <n v="5382"/>
    <n v="5378.5"/>
    <n v="5381"/>
    <n v="804281375"/>
    <n v="2990"/>
  </r>
  <r>
    <s v="DOLFUT"/>
    <x v="94"/>
    <x v="16"/>
    <n v="5381.5"/>
    <n v="5384.5"/>
    <n v="5379.5"/>
    <n v="5380.5"/>
    <n v="705149875"/>
    <n v="2620"/>
  </r>
  <r>
    <s v="DOLFUT"/>
    <x v="94"/>
    <x v="17"/>
    <n v="5377.5"/>
    <n v="5383.5"/>
    <n v="5377"/>
    <n v="5382"/>
    <n v="2166653000"/>
    <n v="8055"/>
  </r>
  <r>
    <s v="DOLFUT"/>
    <x v="94"/>
    <x v="18"/>
    <n v="5370"/>
    <n v="5377.5"/>
    <n v="5369"/>
    <n v="5377.5"/>
    <n v="889331625"/>
    <n v="3310"/>
  </r>
  <r>
    <s v="DOLFUT"/>
    <x v="94"/>
    <x v="0"/>
    <n v="5374.5"/>
    <n v="5379.5"/>
    <n v="5369.5"/>
    <n v="5370"/>
    <n v="1663603250"/>
    <n v="6190"/>
  </r>
  <r>
    <s v="DOLFUT"/>
    <x v="94"/>
    <x v="1"/>
    <n v="5372"/>
    <n v="5375"/>
    <n v="5370.5"/>
    <n v="5374.5"/>
    <n v="660772250"/>
    <n v="2460"/>
  </r>
  <r>
    <s v="DOLFUT"/>
    <x v="94"/>
    <x v="2"/>
    <n v="5369.5"/>
    <n v="5373.5"/>
    <n v="5369.5"/>
    <n v="5372"/>
    <n v="1101164000"/>
    <n v="4100"/>
  </r>
  <r>
    <s v="DOLFUT"/>
    <x v="94"/>
    <x v="3"/>
    <n v="5375.5"/>
    <n v="5377.5"/>
    <n v="5363"/>
    <n v="5370"/>
    <n v="4048811500"/>
    <n v="15080"/>
  </r>
  <r>
    <s v="DOLFUT"/>
    <x v="94"/>
    <x v="4"/>
    <n v="5381.5"/>
    <n v="5384"/>
    <n v="5376"/>
    <n v="5376"/>
    <n v="2041797500"/>
    <n v="7590"/>
  </r>
  <r>
    <s v="DOLFUT"/>
    <x v="94"/>
    <x v="5"/>
    <n v="5383.5"/>
    <n v="5386"/>
    <n v="5379.5"/>
    <n v="5381"/>
    <n v="896313375"/>
    <n v="3330"/>
  </r>
  <r>
    <s v="DOLFUT"/>
    <x v="94"/>
    <x v="6"/>
    <n v="5385"/>
    <n v="5386"/>
    <n v="5381.5"/>
    <n v="5384.5"/>
    <n v="1643180625"/>
    <n v="6105"/>
  </r>
  <r>
    <s v="DOLFUT"/>
    <x v="94"/>
    <x v="7"/>
    <n v="5381"/>
    <n v="5386.5"/>
    <n v="5380.5"/>
    <n v="5385"/>
    <n v="1836031000"/>
    <n v="6820"/>
  </r>
  <r>
    <s v="DOLFUT"/>
    <x v="94"/>
    <x v="8"/>
    <n v="5381.5"/>
    <n v="5385.5"/>
    <n v="5377.5"/>
    <n v="5380.5"/>
    <n v="1473383000"/>
    <n v="5475"/>
  </r>
  <r>
    <s v="DOLFUT"/>
    <x v="94"/>
    <x v="9"/>
    <n v="5385.5"/>
    <n v="5391"/>
    <n v="5375.5"/>
    <n v="5382"/>
    <n v="1797773125"/>
    <n v="6680"/>
  </r>
  <r>
    <s v="DOLFUT"/>
    <x v="94"/>
    <x v="10"/>
    <n v="5390.5"/>
    <n v="5396.5"/>
    <n v="5381"/>
    <n v="5386"/>
    <n v="1001880750"/>
    <n v="3720"/>
  </r>
  <r>
    <s v="DOLFUT"/>
    <x v="94"/>
    <x v="11"/>
    <n v="5396"/>
    <n v="5399.5"/>
    <n v="5387.5"/>
    <n v="5391"/>
    <n v="1597201875"/>
    <n v="5920"/>
  </r>
  <r>
    <s v="DOLFUT"/>
    <x v="95"/>
    <x v="12"/>
    <n v="5388.5"/>
    <n v="5390"/>
    <n v="5386"/>
    <n v="5386.5"/>
    <n v="921284000"/>
    <n v="3420"/>
  </r>
  <r>
    <s v="DOLFUT"/>
    <x v="95"/>
    <x v="13"/>
    <n v="5390.5"/>
    <n v="5391"/>
    <n v="5387"/>
    <n v="5388"/>
    <n v="1235366625"/>
    <n v="4585"/>
  </r>
  <r>
    <s v="DOLFUT"/>
    <x v="95"/>
    <x v="14"/>
    <n v="5390"/>
    <n v="5391.5"/>
    <n v="5388"/>
    <n v="5390.5"/>
    <n v="2196054500"/>
    <n v="8150"/>
  </r>
  <r>
    <s v="DOLFUT"/>
    <x v="95"/>
    <x v="15"/>
    <n v="5388.5"/>
    <n v="5391"/>
    <n v="5388.5"/>
    <n v="5390.5"/>
    <n v="2139531750"/>
    <n v="7940"/>
  </r>
  <r>
    <s v="DOLFUT"/>
    <x v="95"/>
    <x v="16"/>
    <n v="5386"/>
    <n v="5389"/>
    <n v="5384.5"/>
    <n v="5389"/>
    <n v="1591922375"/>
    <n v="5910"/>
  </r>
  <r>
    <s v="DOLFUT"/>
    <x v="95"/>
    <x v="17"/>
    <n v="5387.5"/>
    <n v="5389"/>
    <n v="5384.5"/>
    <n v="5385.5"/>
    <n v="2187131000"/>
    <n v="8120"/>
  </r>
  <r>
    <s v="DOLFUT"/>
    <x v="95"/>
    <x v="18"/>
    <n v="5393.5"/>
    <n v="5394.5"/>
    <n v="5388"/>
    <n v="5388"/>
    <n v="682018500"/>
    <n v="2530"/>
  </r>
  <r>
    <s v="DOLFUT"/>
    <x v="95"/>
    <x v="0"/>
    <n v="5391"/>
    <n v="5395"/>
    <n v="5389"/>
    <n v="5393.5"/>
    <n v="1217363250"/>
    <n v="4515"/>
  </r>
  <r>
    <s v="DOLFUT"/>
    <x v="95"/>
    <x v="1"/>
    <n v="5390.5"/>
    <n v="5394"/>
    <n v="5388"/>
    <n v="5391"/>
    <n v="1967798125"/>
    <n v="7300"/>
  </r>
  <r>
    <s v="DOLFUT"/>
    <x v="95"/>
    <x v="2"/>
    <n v="5393"/>
    <n v="5394.5"/>
    <n v="5386.5"/>
    <n v="5390.5"/>
    <n v="4039156750"/>
    <n v="14985"/>
  </r>
  <r>
    <s v="DOLFUT"/>
    <x v="95"/>
    <x v="3"/>
    <n v="5400.5"/>
    <n v="5401.5"/>
    <n v="5391"/>
    <n v="5393"/>
    <n v="2602059875"/>
    <n v="9645"/>
  </r>
  <r>
    <s v="DOLFUT"/>
    <x v="95"/>
    <x v="4"/>
    <n v="5404"/>
    <n v="5411"/>
    <n v="5399"/>
    <n v="5400"/>
    <n v="3114306250"/>
    <n v="11525"/>
  </r>
  <r>
    <s v="DOLFUT"/>
    <x v="95"/>
    <x v="5"/>
    <n v="5401.5"/>
    <n v="5404.5"/>
    <n v="5391.5"/>
    <n v="5404"/>
    <n v="4830508125"/>
    <n v="17895"/>
  </r>
  <r>
    <s v="DOLFUT"/>
    <x v="95"/>
    <x v="6"/>
    <n v="5407"/>
    <n v="5412.5"/>
    <n v="5399"/>
    <n v="5401.5"/>
    <n v="3807322125"/>
    <n v="14090"/>
  </r>
  <r>
    <s v="DOLFUT"/>
    <x v="95"/>
    <x v="7"/>
    <n v="5395.5"/>
    <n v="5407"/>
    <n v="5394.5"/>
    <n v="5406.5"/>
    <n v="3610744750"/>
    <n v="13370"/>
  </r>
  <r>
    <s v="DOLFUT"/>
    <x v="95"/>
    <x v="8"/>
    <n v="5389"/>
    <n v="5395.5"/>
    <n v="5386.5"/>
    <n v="5395.5"/>
    <n v="1645512500"/>
    <n v="6105"/>
  </r>
  <r>
    <s v="DOLFUT"/>
    <x v="95"/>
    <x v="9"/>
    <n v="5392.5"/>
    <n v="5394"/>
    <n v="5385"/>
    <n v="5389"/>
    <n v="2027980125"/>
    <n v="7525"/>
  </r>
  <r>
    <s v="DOLFUT"/>
    <x v="95"/>
    <x v="10"/>
    <n v="5391.5"/>
    <n v="5397.5"/>
    <n v="5387"/>
    <n v="5391.5"/>
    <n v="2527983125"/>
    <n v="9375"/>
  </r>
  <r>
    <s v="DOLFUT"/>
    <x v="95"/>
    <x v="11"/>
    <n v="5385.5"/>
    <n v="5392.5"/>
    <n v="5382"/>
    <n v="5391.5"/>
    <n v="3603470000"/>
    <n v="13375"/>
  </r>
  <r>
    <s v="DOLFUT"/>
    <x v="96"/>
    <x v="12"/>
    <n v="5389"/>
    <n v="5390.5"/>
    <n v="5384.5"/>
    <n v="5388"/>
    <n v="1146274000"/>
    <n v="4255"/>
  </r>
  <r>
    <s v="DOLFUT"/>
    <x v="96"/>
    <x v="13"/>
    <n v="5386.5"/>
    <n v="5391.5"/>
    <n v="5385.5"/>
    <n v="5389"/>
    <n v="1254182750"/>
    <n v="4655"/>
  </r>
  <r>
    <s v="DOLFUT"/>
    <x v="96"/>
    <x v="14"/>
    <n v="5386.5"/>
    <n v="5389.5"/>
    <n v="5385.5"/>
    <n v="5387"/>
    <n v="1410215875"/>
    <n v="5235"/>
  </r>
  <r>
    <s v="DOLFUT"/>
    <x v="96"/>
    <x v="15"/>
    <n v="5380.5"/>
    <n v="5388.5"/>
    <n v="5380.5"/>
    <n v="5386.5"/>
    <n v="3320010000"/>
    <n v="12330"/>
  </r>
  <r>
    <s v="DOLFUT"/>
    <x v="96"/>
    <x v="16"/>
    <n v="5378"/>
    <n v="5381.5"/>
    <n v="5377.5"/>
    <n v="5380"/>
    <n v="1105590750"/>
    <n v="4110"/>
  </r>
  <r>
    <s v="DOLFUT"/>
    <x v="96"/>
    <x v="17"/>
    <n v="5379"/>
    <n v="5382"/>
    <n v="5377"/>
    <n v="5378"/>
    <n v="2096607875"/>
    <n v="7795"/>
  </r>
  <r>
    <s v="DOLFUT"/>
    <x v="96"/>
    <x v="18"/>
    <n v="5383"/>
    <n v="5383.5"/>
    <n v="5373"/>
    <n v="5379.5"/>
    <n v="3363250000"/>
    <n v="12505"/>
  </r>
  <r>
    <s v="DOLFUT"/>
    <x v="96"/>
    <x v="0"/>
    <n v="5382"/>
    <n v="5384.5"/>
    <n v="5380.5"/>
    <n v="5383"/>
    <n v="3523834125"/>
    <n v="13095"/>
  </r>
  <r>
    <s v="DOLFUT"/>
    <x v="96"/>
    <x v="1"/>
    <n v="5381"/>
    <n v="5383.5"/>
    <n v="5375"/>
    <n v="5382.5"/>
    <n v="2480062250"/>
    <n v="9220"/>
  </r>
  <r>
    <s v="DOLFUT"/>
    <x v="96"/>
    <x v="2"/>
    <n v="5388"/>
    <n v="5388.5"/>
    <n v="5380"/>
    <n v="5382"/>
    <n v="2563602625"/>
    <n v="9525"/>
  </r>
  <r>
    <s v="DOLFUT"/>
    <x v="96"/>
    <x v="3"/>
    <n v="5389"/>
    <n v="5392.5"/>
    <n v="5383.5"/>
    <n v="5388.5"/>
    <n v="2494183250"/>
    <n v="9255"/>
  </r>
  <r>
    <s v="DOLFUT"/>
    <x v="96"/>
    <x v="4"/>
    <n v="5399.5"/>
    <n v="5404"/>
    <n v="5388"/>
    <n v="5389"/>
    <n v="3126909000"/>
    <n v="11590"/>
  </r>
  <r>
    <s v="DOLFUT"/>
    <x v="96"/>
    <x v="5"/>
    <n v="5409"/>
    <n v="5409.5"/>
    <n v="5398"/>
    <n v="5400.5"/>
    <n v="7794635375"/>
    <n v="28855"/>
  </r>
  <r>
    <s v="DOLFUT"/>
    <x v="96"/>
    <x v="6"/>
    <n v="5409.5"/>
    <n v="5418"/>
    <n v="5408"/>
    <n v="5409"/>
    <n v="5638324500"/>
    <n v="20830"/>
  </r>
  <r>
    <s v="DOLFUT"/>
    <x v="96"/>
    <x v="7"/>
    <n v="5418"/>
    <n v="5419.5"/>
    <n v="5405.5"/>
    <n v="5409.5"/>
    <n v="2821877625"/>
    <n v="10425"/>
  </r>
  <r>
    <s v="DOLFUT"/>
    <x v="96"/>
    <x v="8"/>
    <n v="5411"/>
    <n v="5423.5"/>
    <n v="5410"/>
    <n v="5418.5"/>
    <n v="5009951750"/>
    <n v="18500"/>
  </r>
  <r>
    <s v="DOLFUT"/>
    <x v="96"/>
    <x v="9"/>
    <n v="5404.5"/>
    <n v="5413.5"/>
    <n v="5398"/>
    <n v="5410"/>
    <n v="3510562375"/>
    <n v="12990"/>
  </r>
  <r>
    <s v="DOLFUT"/>
    <x v="96"/>
    <x v="10"/>
    <n v="5405.5"/>
    <n v="5408.5"/>
    <n v="5402.5"/>
    <n v="5403.5"/>
    <n v="2340679500"/>
    <n v="8660"/>
  </r>
  <r>
    <s v="DOLFUT"/>
    <x v="96"/>
    <x v="11"/>
    <n v="5410.5"/>
    <n v="5410.5"/>
    <n v="5401.5"/>
    <n v="5405.5"/>
    <n v="2977316750"/>
    <n v="11015"/>
  </r>
  <r>
    <s v="DOLFUT"/>
    <x v="97"/>
    <x v="12"/>
    <n v="5414.5"/>
    <n v="5418.5"/>
    <n v="5412.5"/>
    <n v="5418"/>
    <n v="971878500"/>
    <n v="3590"/>
  </r>
  <r>
    <s v="DOLFUT"/>
    <x v="97"/>
    <x v="13"/>
    <n v="5418.5"/>
    <n v="5418.5"/>
    <n v="5412.5"/>
    <n v="5414.5"/>
    <n v="2305542750"/>
    <n v="8515"/>
  </r>
  <r>
    <s v="DOLFUT"/>
    <x v="97"/>
    <x v="14"/>
    <n v="5422.5"/>
    <n v="5423.5"/>
    <n v="5415.5"/>
    <n v="5418.5"/>
    <n v="1661036125"/>
    <n v="6130"/>
  </r>
  <r>
    <s v="DOLFUT"/>
    <x v="97"/>
    <x v="15"/>
    <n v="5417"/>
    <n v="5425"/>
    <n v="5417"/>
    <n v="5422"/>
    <n v="2690130625"/>
    <n v="9925"/>
  </r>
  <r>
    <s v="DOLFUT"/>
    <x v="97"/>
    <x v="16"/>
    <n v="5416"/>
    <n v="5419.5"/>
    <n v="5409"/>
    <n v="5419"/>
    <n v="4460701500"/>
    <n v="16485"/>
  </r>
  <r>
    <s v="DOLFUT"/>
    <x v="97"/>
    <x v="17"/>
    <n v="5409.5"/>
    <n v="5421.5"/>
    <n v="5409"/>
    <n v="5416"/>
    <n v="4564543875"/>
    <n v="16855"/>
  </r>
  <r>
    <s v="DOLFUT"/>
    <x v="97"/>
    <x v="18"/>
    <n v="5412"/>
    <n v="5413.5"/>
    <n v="5409"/>
    <n v="5410"/>
    <n v="1858783875"/>
    <n v="6870"/>
  </r>
  <r>
    <s v="DOLFUT"/>
    <x v="97"/>
    <x v="0"/>
    <n v="5401"/>
    <n v="5412"/>
    <n v="5401"/>
    <n v="5412"/>
    <n v="2187653375"/>
    <n v="8090"/>
  </r>
  <r>
    <s v="DOLFUT"/>
    <x v="97"/>
    <x v="1"/>
    <n v="5402"/>
    <n v="5405.5"/>
    <n v="5399.5"/>
    <n v="5401.5"/>
    <n v="1150751625"/>
    <n v="4260"/>
  </r>
  <r>
    <s v="DOLFUT"/>
    <x v="97"/>
    <x v="2"/>
    <n v="5400.5"/>
    <n v="5404"/>
    <n v="5399.5"/>
    <n v="5401"/>
    <n v="834452500"/>
    <n v="3090"/>
  </r>
  <r>
    <s v="DOLFUT"/>
    <x v="97"/>
    <x v="3"/>
    <n v="5414"/>
    <n v="5416.5"/>
    <n v="5400"/>
    <n v="5401"/>
    <n v="1747945500"/>
    <n v="6465"/>
  </r>
  <r>
    <s v="DOLFUT"/>
    <x v="97"/>
    <x v="4"/>
    <n v="5404.5"/>
    <n v="5417"/>
    <n v="5404.5"/>
    <n v="5414"/>
    <n v="2115672875"/>
    <n v="7820"/>
  </r>
  <r>
    <s v="DOLFUT"/>
    <x v="97"/>
    <x v="5"/>
    <n v="5397"/>
    <n v="5406.5"/>
    <n v="5395.5"/>
    <n v="5404.5"/>
    <n v="2768437375"/>
    <n v="10250"/>
  </r>
  <r>
    <s v="DOLFUT"/>
    <x v="97"/>
    <x v="6"/>
    <n v="5403"/>
    <n v="5403"/>
    <n v="5387"/>
    <n v="5395"/>
    <n v="3101690250"/>
    <n v="11500"/>
  </r>
  <r>
    <s v="DOLFUT"/>
    <x v="97"/>
    <x v="7"/>
    <n v="5390.5"/>
    <n v="5445"/>
    <n v="5390.5"/>
    <n v="5404"/>
    <n v="11016234630"/>
    <n v="40675"/>
  </r>
  <r>
    <s v="DOLFUT"/>
    <x v="97"/>
    <x v="8"/>
    <n v="5393"/>
    <n v="5395"/>
    <n v="5380.5"/>
    <n v="5390.5"/>
    <n v="2580597625"/>
    <n v="9580"/>
  </r>
  <r>
    <s v="DOLFUT"/>
    <x v="97"/>
    <x v="9"/>
    <n v="5393.5"/>
    <n v="5394"/>
    <n v="5385"/>
    <n v="5393"/>
    <n v="3488147250"/>
    <n v="12945"/>
  </r>
  <r>
    <s v="DOLFUT"/>
    <x v="97"/>
    <x v="10"/>
    <n v="5394"/>
    <n v="5403.5"/>
    <n v="5393"/>
    <n v="5393.5"/>
    <n v="2899735125"/>
    <n v="10745"/>
  </r>
  <r>
    <s v="DOLFUT"/>
    <x v="97"/>
    <x v="11"/>
    <n v="5394"/>
    <n v="5396.5"/>
    <n v="5386.5"/>
    <n v="5394"/>
    <n v="2197414250"/>
    <n v="8150"/>
  </r>
  <r>
    <s v="DOLFUT"/>
    <x v="98"/>
    <x v="12"/>
    <n v="5397.5"/>
    <n v="5398.5"/>
    <n v="5395"/>
    <n v="5396"/>
    <n v="881016125"/>
    <n v="3265"/>
  </r>
  <r>
    <s v="DOLFUT"/>
    <x v="98"/>
    <x v="13"/>
    <n v="5398.5"/>
    <n v="5399.5"/>
    <n v="5396"/>
    <n v="5398"/>
    <n v="647717250"/>
    <n v="2400"/>
  </r>
  <r>
    <s v="DOLFUT"/>
    <x v="98"/>
    <x v="14"/>
    <n v="5399"/>
    <n v="5402"/>
    <n v="5397.5"/>
    <n v="5399.5"/>
    <n v="2644570875"/>
    <n v="9795"/>
  </r>
  <r>
    <s v="DOLFUT"/>
    <x v="98"/>
    <x v="15"/>
    <n v="5404"/>
    <n v="5405"/>
    <n v="5397.5"/>
    <n v="5399"/>
    <n v="1365260000"/>
    <n v="5055"/>
  </r>
  <r>
    <s v="DOLFUT"/>
    <x v="98"/>
    <x v="16"/>
    <n v="5403"/>
    <n v="5405.5"/>
    <n v="5402"/>
    <n v="5403.5"/>
    <n v="1495530500"/>
    <n v="5535"/>
  </r>
  <r>
    <s v="DOLFUT"/>
    <x v="98"/>
    <x v="17"/>
    <n v="5405.5"/>
    <n v="5406.5"/>
    <n v="5400.5"/>
    <n v="5403"/>
    <n v="2052963375"/>
    <n v="7600"/>
  </r>
  <r>
    <s v="DOLFUT"/>
    <x v="98"/>
    <x v="18"/>
    <n v="5409.5"/>
    <n v="5413"/>
    <n v="5404.5"/>
    <n v="5405.5"/>
    <n v="1111285500"/>
    <n v="4110"/>
  </r>
  <r>
    <s v="DOLFUT"/>
    <x v="98"/>
    <x v="0"/>
    <n v="5407.5"/>
    <n v="5412.5"/>
    <n v="5405"/>
    <n v="5409.5"/>
    <n v="2799688125"/>
    <n v="10355"/>
  </r>
  <r>
    <s v="DOLFUT"/>
    <x v="98"/>
    <x v="1"/>
    <n v="5409"/>
    <n v="5411"/>
    <n v="5405"/>
    <n v="5407.5"/>
    <n v="3885305000"/>
    <n v="14370"/>
  </r>
  <r>
    <s v="DOLFUT"/>
    <x v="98"/>
    <x v="2"/>
    <n v="5414"/>
    <n v="5415"/>
    <n v="5408"/>
    <n v="5409"/>
    <n v="2981462000"/>
    <n v="11020"/>
  </r>
  <r>
    <s v="DOLFUT"/>
    <x v="98"/>
    <x v="3"/>
    <n v="5404"/>
    <n v="5418.5"/>
    <n v="5402.5"/>
    <n v="5414"/>
    <n v="4103775125"/>
    <n v="15170"/>
  </r>
  <r>
    <s v="DOLFUT"/>
    <x v="98"/>
    <x v="4"/>
    <n v="5413.5"/>
    <n v="5414.5"/>
    <n v="5401"/>
    <n v="5403.5"/>
    <n v="1802888750"/>
    <n v="6670"/>
  </r>
  <r>
    <s v="DOLFUT"/>
    <x v="98"/>
    <x v="5"/>
    <n v="5400"/>
    <n v="5414"/>
    <n v="5397"/>
    <n v="5413"/>
    <n v="4025484125"/>
    <n v="14900"/>
  </r>
  <r>
    <s v="DOLFUT"/>
    <x v="98"/>
    <x v="6"/>
    <n v="5392"/>
    <n v="5404"/>
    <n v="5388.5"/>
    <n v="5400"/>
    <n v="2283351125"/>
    <n v="8460"/>
  </r>
  <r>
    <s v="DOLFUT"/>
    <x v="98"/>
    <x v="7"/>
    <n v="5402"/>
    <n v="5402.5"/>
    <n v="5391.5"/>
    <n v="5392"/>
    <n v="3709617625"/>
    <n v="13750"/>
  </r>
  <r>
    <s v="DOLFUT"/>
    <x v="98"/>
    <x v="8"/>
    <n v="5402"/>
    <n v="5406"/>
    <n v="5390"/>
    <n v="5401.5"/>
    <n v="3293681375"/>
    <n v="12205"/>
  </r>
  <r>
    <s v="DOLFUT"/>
    <x v="98"/>
    <x v="9"/>
    <n v="5404.5"/>
    <n v="5410"/>
    <n v="5401"/>
    <n v="5402.5"/>
    <n v="2111833750"/>
    <n v="7815"/>
  </r>
  <r>
    <s v="DOLFUT"/>
    <x v="98"/>
    <x v="10"/>
    <n v="5399"/>
    <n v="5410.5"/>
    <n v="5398.5"/>
    <n v="5404.5"/>
    <n v="1467636875"/>
    <n v="5430"/>
  </r>
  <r>
    <s v="DOLFUT"/>
    <x v="98"/>
    <x v="11"/>
    <n v="5399"/>
    <n v="5407.5"/>
    <n v="5395"/>
    <n v="5398.5"/>
    <n v="2924389500"/>
    <n v="10830"/>
  </r>
  <r>
    <s v="DOLFUT"/>
    <x v="99"/>
    <x v="12"/>
    <n v="5401.5"/>
    <n v="5404"/>
    <n v="5399"/>
    <n v="5401.5"/>
    <n v="911488625"/>
    <n v="3375"/>
  </r>
  <r>
    <s v="DOLFUT"/>
    <x v="99"/>
    <x v="13"/>
    <n v="5399"/>
    <n v="5401"/>
    <n v="5398.5"/>
    <n v="5401"/>
    <n v="425211750"/>
    <n v="1575"/>
  </r>
  <r>
    <s v="DOLFUT"/>
    <x v="99"/>
    <x v="14"/>
    <n v="5398.5"/>
    <n v="5401"/>
    <n v="5397"/>
    <n v="5399.5"/>
    <n v="786857250"/>
    <n v="2915"/>
  </r>
  <r>
    <s v="DOLFUT"/>
    <x v="99"/>
    <x v="15"/>
    <n v="5395.5"/>
    <n v="5398.5"/>
    <n v="5395"/>
    <n v="5398.5"/>
    <n v="1254704875"/>
    <n v="4650"/>
  </r>
  <r>
    <s v="DOLFUT"/>
    <x v="99"/>
    <x v="16"/>
    <n v="5398.5"/>
    <n v="5398.5"/>
    <n v="5395.5"/>
    <n v="5395.5"/>
    <n v="767665625"/>
    <n v="2845"/>
  </r>
  <r>
    <s v="DOLFUT"/>
    <x v="99"/>
    <x v="17"/>
    <n v="5397.5"/>
    <n v="5399"/>
    <n v="5396"/>
    <n v="5399"/>
    <n v="2103662625"/>
    <n v="7795"/>
  </r>
  <r>
    <s v="DOLFUT"/>
    <x v="99"/>
    <x v="18"/>
    <n v="5397"/>
    <n v="5399"/>
    <n v="5395"/>
    <n v="5397"/>
    <n v="917501250"/>
    <n v="3400"/>
  </r>
  <r>
    <s v="DOLFUT"/>
    <x v="99"/>
    <x v="0"/>
    <n v="5397"/>
    <n v="5397.5"/>
    <n v="5393.5"/>
    <n v="5396.5"/>
    <n v="1307051500"/>
    <n v="4845"/>
  </r>
  <r>
    <s v="DOLFUT"/>
    <x v="99"/>
    <x v="1"/>
    <n v="5395"/>
    <n v="5400"/>
    <n v="5390.5"/>
    <n v="5397"/>
    <n v="1959753125"/>
    <n v="7265"/>
  </r>
  <r>
    <s v="DOLFUT"/>
    <x v="99"/>
    <x v="2"/>
    <n v="5392.5"/>
    <n v="5396"/>
    <n v="5390.5"/>
    <n v="5395.5"/>
    <n v="2367175375"/>
    <n v="8780"/>
  </r>
  <r>
    <s v="DOLFUT"/>
    <x v="99"/>
    <x v="3"/>
    <n v="5396.5"/>
    <n v="5398"/>
    <n v="5388"/>
    <n v="5392"/>
    <n v="2471344750"/>
    <n v="9165"/>
  </r>
  <r>
    <s v="DOLFUT"/>
    <x v="99"/>
    <x v="4"/>
    <n v="5400.5"/>
    <n v="5401"/>
    <n v="5393.5"/>
    <n v="5396"/>
    <n v="2554801750"/>
    <n v="9465"/>
  </r>
  <r>
    <s v="DOLFUT"/>
    <x v="99"/>
    <x v="5"/>
    <n v="5401"/>
    <n v="5405.5"/>
    <n v="5396.5"/>
    <n v="5400.5"/>
    <n v="2482733000"/>
    <n v="9195"/>
  </r>
  <r>
    <s v="DOLFUT"/>
    <x v="99"/>
    <x v="6"/>
    <n v="5399"/>
    <n v="5403.5"/>
    <n v="5393"/>
    <n v="5401"/>
    <n v="2500039250"/>
    <n v="9260"/>
  </r>
  <r>
    <s v="DOLFUT"/>
    <x v="99"/>
    <x v="7"/>
    <n v="5406"/>
    <n v="5413"/>
    <n v="5396.5"/>
    <n v="5399"/>
    <n v="3210240125"/>
    <n v="11880"/>
  </r>
  <r>
    <s v="DOLFUT"/>
    <x v="99"/>
    <x v="8"/>
    <n v="5395"/>
    <n v="5410.5"/>
    <n v="5393.5"/>
    <n v="5405.5"/>
    <n v="3938570625"/>
    <n v="14575"/>
  </r>
  <r>
    <s v="DOLFUT"/>
    <x v="99"/>
    <x v="9"/>
    <n v="5407.5"/>
    <n v="5412"/>
    <n v="5388"/>
    <n v="5396"/>
    <n v="6661679875"/>
    <n v="24680"/>
  </r>
  <r>
    <s v="DOLFUT"/>
    <x v="99"/>
    <x v="10"/>
    <n v="5385.5"/>
    <n v="5408.5"/>
    <n v="5381"/>
    <n v="5408"/>
    <n v="1970545500"/>
    <n v="7310"/>
  </r>
  <r>
    <s v="DOLFUT"/>
    <x v="99"/>
    <x v="11"/>
    <n v="5389"/>
    <n v="5389"/>
    <n v="5377.5"/>
    <n v="5386.5"/>
    <n v="2016059250"/>
    <n v="7490"/>
  </r>
  <r>
    <s v="DOLFUT"/>
    <x v="100"/>
    <x v="12"/>
    <n v="5395.5"/>
    <n v="5403"/>
    <n v="5393.5"/>
    <n v="5402"/>
    <n v="1306236125"/>
    <n v="4840"/>
  </r>
  <r>
    <s v="DOLFUT"/>
    <x v="100"/>
    <x v="13"/>
    <n v="5393"/>
    <n v="5396"/>
    <n v="5391"/>
    <n v="5396"/>
    <n v="671516375"/>
    <n v="2490"/>
  </r>
  <r>
    <s v="DOLFUT"/>
    <x v="100"/>
    <x v="14"/>
    <n v="5394.5"/>
    <n v="5394.5"/>
    <n v="5391.5"/>
    <n v="5392.5"/>
    <n v="668752000"/>
    <n v="2480"/>
  </r>
  <r>
    <s v="DOLFUT"/>
    <x v="100"/>
    <x v="15"/>
    <n v="5397"/>
    <n v="5397.5"/>
    <n v="5393.5"/>
    <n v="5395"/>
    <n v="2598107250"/>
    <n v="9630"/>
  </r>
  <r>
    <s v="DOLFUT"/>
    <x v="100"/>
    <x v="16"/>
    <n v="5394.5"/>
    <n v="5398.5"/>
    <n v="5394"/>
    <n v="5396"/>
    <n v="7232270250"/>
    <n v="26805"/>
  </r>
  <r>
    <s v="DOLFUT"/>
    <x v="100"/>
    <x v="17"/>
    <n v="5394.5"/>
    <n v="5394.5"/>
    <n v="5392"/>
    <n v="5394"/>
    <n v="1655716250"/>
    <n v="6140"/>
  </r>
  <r>
    <s v="DOLFUT"/>
    <x v="100"/>
    <x v="18"/>
    <n v="5395"/>
    <n v="5397"/>
    <n v="5391"/>
    <n v="5394"/>
    <n v="2623900375"/>
    <n v="9730"/>
  </r>
  <r>
    <s v="DOLFUT"/>
    <x v="100"/>
    <x v="0"/>
    <n v="5389.5"/>
    <n v="5396"/>
    <n v="5387"/>
    <n v="5395"/>
    <n v="3754933125"/>
    <n v="13930"/>
  </r>
  <r>
    <s v="DOLFUT"/>
    <x v="100"/>
    <x v="1"/>
    <n v="5383.5"/>
    <n v="5390.5"/>
    <n v="5382.5"/>
    <n v="5389.5"/>
    <n v="1023406375"/>
    <n v="3800"/>
  </r>
  <r>
    <s v="DOLFUT"/>
    <x v="100"/>
    <x v="2"/>
    <n v="5387"/>
    <n v="5390.5"/>
    <n v="5383"/>
    <n v="5384"/>
    <n v="1564312625"/>
    <n v="5810"/>
  </r>
  <r>
    <s v="DOLFUT"/>
    <x v="100"/>
    <x v="3"/>
    <n v="5384.5"/>
    <n v="5389"/>
    <n v="5382.5"/>
    <n v="5387"/>
    <n v="3213379875"/>
    <n v="11935"/>
  </r>
  <r>
    <s v="DOLFUT"/>
    <x v="100"/>
    <x v="4"/>
    <n v="5391.5"/>
    <n v="5392.5"/>
    <n v="5383.5"/>
    <n v="5383.5"/>
    <n v="2206547750"/>
    <n v="8195"/>
  </r>
  <r>
    <s v="DOLFUT"/>
    <x v="100"/>
    <x v="5"/>
    <n v="5393.5"/>
    <n v="5400"/>
    <n v="5387.5"/>
    <n v="5391.5"/>
    <n v="3537489500"/>
    <n v="13115"/>
  </r>
  <r>
    <s v="DOLFUT"/>
    <x v="100"/>
    <x v="6"/>
    <n v="5397"/>
    <n v="5398"/>
    <n v="5389"/>
    <n v="5393.5"/>
    <n v="5031700500"/>
    <n v="18660"/>
  </r>
  <r>
    <s v="DOLFUT"/>
    <x v="100"/>
    <x v="7"/>
    <n v="5396"/>
    <n v="5402"/>
    <n v="5393.5"/>
    <n v="5398"/>
    <n v="4431574125"/>
    <n v="16420"/>
  </r>
  <r>
    <s v="DOLFUT"/>
    <x v="100"/>
    <x v="8"/>
    <n v="5396.5"/>
    <n v="5414.5"/>
    <n v="5384.5"/>
    <n v="5397"/>
    <n v="8354940125"/>
    <n v="30985"/>
  </r>
  <r>
    <s v="DOLFUT"/>
    <x v="100"/>
    <x v="9"/>
    <n v="5416"/>
    <n v="5424"/>
    <n v="5392.5"/>
    <n v="5395.5"/>
    <n v="7946140375"/>
    <n v="29365"/>
  </r>
  <r>
    <s v="DOLFUT"/>
    <x v="100"/>
    <x v="10"/>
    <n v="5417"/>
    <n v="5421.5"/>
    <n v="5411"/>
    <n v="5416"/>
    <n v="2622347625"/>
    <n v="9680"/>
  </r>
  <r>
    <s v="DOLFUT"/>
    <x v="100"/>
    <x v="11"/>
    <n v="5429"/>
    <n v="5429"/>
    <n v="5413"/>
    <n v="5417.5"/>
    <n v="1909378625"/>
    <n v="7045"/>
  </r>
  <r>
    <s v="DOLFUT"/>
    <x v="101"/>
    <x v="12"/>
    <n v="5418.5"/>
    <n v="5420"/>
    <n v="5417"/>
    <n v="5420"/>
    <n v="1010583250"/>
    <n v="3730"/>
  </r>
  <r>
    <s v="DOLFUT"/>
    <x v="101"/>
    <x v="13"/>
    <n v="5420.5"/>
    <n v="5422"/>
    <n v="5417.5"/>
    <n v="5418"/>
    <n v="600294500"/>
    <n v="2215"/>
  </r>
  <r>
    <s v="DOLFUT"/>
    <x v="101"/>
    <x v="14"/>
    <n v="5421"/>
    <n v="5422"/>
    <n v="5419.5"/>
    <n v="5421"/>
    <n v="3318971250"/>
    <n v="12245"/>
  </r>
  <r>
    <s v="DOLFUT"/>
    <x v="101"/>
    <x v="15"/>
    <n v="5423"/>
    <n v="5423.5"/>
    <n v="5419.5"/>
    <n v="5420.5"/>
    <n v="792873500"/>
    <n v="2925"/>
  </r>
  <r>
    <s v="DOLFUT"/>
    <x v="101"/>
    <x v="16"/>
    <n v="5425.5"/>
    <n v="5427"/>
    <n v="5421.5"/>
    <n v="5422.5"/>
    <n v="1433362250"/>
    <n v="5285"/>
  </r>
  <r>
    <s v="DOLFUT"/>
    <x v="101"/>
    <x v="17"/>
    <n v="5422"/>
    <n v="5426"/>
    <n v="5419.5"/>
    <n v="5425.5"/>
    <n v="1640671875"/>
    <n v="6050"/>
  </r>
  <r>
    <s v="DOLFUT"/>
    <x v="101"/>
    <x v="18"/>
    <n v="5417"/>
    <n v="5423.5"/>
    <n v="5416.5"/>
    <n v="5422"/>
    <n v="2744992750"/>
    <n v="10130"/>
  </r>
  <r>
    <s v="DOLFUT"/>
    <x v="101"/>
    <x v="0"/>
    <n v="5419.5"/>
    <n v="5420"/>
    <n v="5413.5"/>
    <n v="5417"/>
    <n v="5659579250"/>
    <n v="20895"/>
  </r>
  <r>
    <s v="DOLFUT"/>
    <x v="101"/>
    <x v="1"/>
    <n v="5417"/>
    <n v="5420.5"/>
    <n v="5414.5"/>
    <n v="5419.5"/>
    <n v="2478536375"/>
    <n v="9150"/>
  </r>
  <r>
    <s v="DOLFUT"/>
    <x v="101"/>
    <x v="2"/>
    <n v="5422.5"/>
    <n v="5423.5"/>
    <n v="5414.5"/>
    <n v="5417"/>
    <n v="4297342250"/>
    <n v="15865"/>
  </r>
  <r>
    <s v="DOLFUT"/>
    <x v="101"/>
    <x v="3"/>
    <n v="5421"/>
    <n v="5427.5"/>
    <n v="5418.5"/>
    <n v="5422.5"/>
    <n v="1863779625"/>
    <n v="6875"/>
  </r>
  <r>
    <s v="DOLFUT"/>
    <x v="101"/>
    <x v="4"/>
    <n v="5425"/>
    <n v="5428.5"/>
    <n v="5420"/>
    <n v="5420"/>
    <n v="1370990125"/>
    <n v="5055"/>
  </r>
  <r>
    <s v="DOLFUT"/>
    <x v="101"/>
    <x v="5"/>
    <n v="5418.5"/>
    <n v="5424.5"/>
    <n v="5412.5"/>
    <n v="5424.5"/>
    <n v="1739095125"/>
    <n v="6420"/>
  </r>
  <r>
    <s v="DOLFUT"/>
    <x v="101"/>
    <x v="6"/>
    <n v="5422.5"/>
    <n v="5424"/>
    <n v="5414"/>
    <n v="5418.5"/>
    <n v="2280245250"/>
    <n v="8415"/>
  </r>
  <r>
    <s v="DOLFUT"/>
    <x v="101"/>
    <x v="7"/>
    <n v="5419"/>
    <n v="5428"/>
    <n v="5417"/>
    <n v="5422"/>
    <n v="11076328500"/>
    <n v="40845"/>
  </r>
  <r>
    <s v="DOLFUT"/>
    <x v="101"/>
    <x v="8"/>
    <n v="5415"/>
    <n v="5423"/>
    <n v="5413"/>
    <n v="5418"/>
    <n v="2686257250"/>
    <n v="9915"/>
  </r>
  <r>
    <s v="DOLFUT"/>
    <x v="101"/>
    <x v="9"/>
    <n v="5412.5"/>
    <n v="5417"/>
    <n v="5406.5"/>
    <n v="5415"/>
    <n v="4898599000"/>
    <n v="18100"/>
  </r>
  <r>
    <s v="DOLFUT"/>
    <x v="101"/>
    <x v="10"/>
    <n v="5418.5"/>
    <n v="5421"/>
    <n v="5410"/>
    <n v="5412.5"/>
    <n v="2024955750"/>
    <n v="7480"/>
  </r>
  <r>
    <s v="DOLFUT"/>
    <x v="101"/>
    <x v="11"/>
    <n v="5422.5"/>
    <n v="5427.5"/>
    <n v="5418"/>
    <n v="5418.5"/>
    <n v="1540244375"/>
    <n v="5680"/>
  </r>
  <r>
    <s v="DOLFUT"/>
    <x v="102"/>
    <x v="12"/>
    <n v="5420.5"/>
    <n v="5424"/>
    <n v="5418.5"/>
    <n v="5421"/>
    <n v="1133022125"/>
    <n v="4180"/>
  </r>
  <r>
    <s v="DOLFUT"/>
    <x v="102"/>
    <x v="13"/>
    <n v="5421"/>
    <n v="5422.5"/>
    <n v="5419.5"/>
    <n v="5420.5"/>
    <n v="2782138000"/>
    <n v="10265"/>
  </r>
  <r>
    <s v="DOLFUT"/>
    <x v="102"/>
    <x v="14"/>
    <n v="5418.5"/>
    <n v="5422"/>
    <n v="5418"/>
    <n v="5421.5"/>
    <n v="1014790125"/>
    <n v="3745"/>
  </r>
  <r>
    <s v="DOLFUT"/>
    <x v="102"/>
    <x v="15"/>
    <n v="5420.5"/>
    <n v="5422.5"/>
    <n v="5417.5"/>
    <n v="5418.5"/>
    <n v="861770375"/>
    <n v="3180"/>
  </r>
  <r>
    <s v="DOLFUT"/>
    <x v="102"/>
    <x v="16"/>
    <n v="5418"/>
    <n v="5424"/>
    <n v="5418"/>
    <n v="5421"/>
    <n v="4547874000"/>
    <n v="16780"/>
  </r>
  <r>
    <s v="DOLFUT"/>
    <x v="102"/>
    <x v="17"/>
    <n v="5422.5"/>
    <n v="5423"/>
    <n v="5415"/>
    <n v="5418.5"/>
    <n v="1816354375"/>
    <n v="6705"/>
  </r>
  <r>
    <s v="DOLFUT"/>
    <x v="102"/>
    <x v="18"/>
    <n v="5428"/>
    <n v="5428.5"/>
    <n v="5420"/>
    <n v="5423"/>
    <n v="1983422250"/>
    <n v="7315"/>
  </r>
  <r>
    <s v="DOLFUT"/>
    <x v="102"/>
    <x v="0"/>
    <n v="5424"/>
    <n v="5430.5"/>
    <n v="5423"/>
    <n v="5428"/>
    <n v="1973553750"/>
    <n v="7275"/>
  </r>
  <r>
    <s v="DOLFUT"/>
    <x v="102"/>
    <x v="1"/>
    <n v="5423"/>
    <n v="5427"/>
    <n v="5420"/>
    <n v="5423.5"/>
    <n v="1498637625"/>
    <n v="5525"/>
  </r>
  <r>
    <s v="DOLFUT"/>
    <x v="102"/>
    <x v="2"/>
    <n v="5423.5"/>
    <n v="5427"/>
    <n v="5421"/>
    <n v="5423"/>
    <n v="1422508750"/>
    <n v="5245"/>
  </r>
  <r>
    <s v="DOLFUT"/>
    <x v="102"/>
    <x v="3"/>
    <n v="5425"/>
    <n v="5429.5"/>
    <n v="5422.5"/>
    <n v="5424"/>
    <n v="1576566375"/>
    <n v="5810"/>
  </r>
  <r>
    <s v="DOLFUT"/>
    <x v="102"/>
    <x v="4"/>
    <n v="5429.5"/>
    <n v="5431.5"/>
    <n v="5424"/>
    <n v="5425.5"/>
    <n v="2055817500"/>
    <n v="7575"/>
  </r>
  <r>
    <s v="DOLFUT"/>
    <x v="102"/>
    <x v="5"/>
    <n v="5422.5"/>
    <n v="5433.5"/>
    <n v="5421"/>
    <n v="5429.5"/>
    <n v="3100616375"/>
    <n v="11425"/>
  </r>
  <r>
    <s v="DOLFUT"/>
    <x v="102"/>
    <x v="6"/>
    <n v="5426"/>
    <n v="5432"/>
    <n v="5419.5"/>
    <n v="5422"/>
    <n v="3983968875"/>
    <n v="14685"/>
  </r>
  <r>
    <s v="DOLFUT"/>
    <x v="102"/>
    <x v="7"/>
    <n v="5413.5"/>
    <n v="5428.5"/>
    <n v="5410"/>
    <n v="5426"/>
    <n v="3735613625"/>
    <n v="13780"/>
  </r>
  <r>
    <s v="DOLFUT"/>
    <x v="102"/>
    <x v="8"/>
    <n v="5418"/>
    <n v="5420.5"/>
    <n v="5410.5"/>
    <n v="5414"/>
    <n v="4329001875"/>
    <n v="15990"/>
  </r>
  <r>
    <s v="DOLFUT"/>
    <x v="102"/>
    <x v="9"/>
    <n v="5415.5"/>
    <n v="5424"/>
    <n v="5413"/>
    <n v="5417.5"/>
    <n v="3044474125"/>
    <n v="11240"/>
  </r>
  <r>
    <s v="DOLFUT"/>
    <x v="102"/>
    <x v="10"/>
    <n v="5412"/>
    <n v="5421"/>
    <n v="5410"/>
    <n v="5414.5"/>
    <n v="4045711125"/>
    <n v="14940"/>
  </r>
  <r>
    <s v="DOLFUT"/>
    <x v="102"/>
    <x v="11"/>
    <n v="5404"/>
    <n v="5418"/>
    <n v="5401.5"/>
    <n v="5413"/>
    <n v="2136182250"/>
    <n v="7895"/>
  </r>
  <r>
    <s v="DOLFUT"/>
    <x v="103"/>
    <x v="12"/>
    <n v="5410"/>
    <n v="5414"/>
    <n v="5409"/>
    <n v="5409.5"/>
    <n v="1969438125"/>
    <n v="7280"/>
  </r>
  <r>
    <s v="DOLFUT"/>
    <x v="103"/>
    <x v="13"/>
    <n v="5410"/>
    <n v="5411"/>
    <n v="5406"/>
    <n v="5410"/>
    <n v="1112730500"/>
    <n v="4115"/>
  </r>
  <r>
    <s v="DOLFUT"/>
    <x v="103"/>
    <x v="14"/>
    <n v="5416"/>
    <n v="5416"/>
    <n v="5409.5"/>
    <n v="5409.5"/>
    <n v="4790585625"/>
    <n v="17700"/>
  </r>
  <r>
    <s v="DOLFUT"/>
    <x v="103"/>
    <x v="15"/>
    <n v="5412"/>
    <n v="5418.5"/>
    <n v="5411.5"/>
    <n v="5416"/>
    <n v="2654206125"/>
    <n v="9805"/>
  </r>
  <r>
    <s v="DOLFUT"/>
    <x v="103"/>
    <x v="16"/>
    <n v="5407"/>
    <n v="5414"/>
    <n v="5407"/>
    <n v="5412"/>
    <n v="1878764000"/>
    <n v="6945"/>
  </r>
  <r>
    <s v="DOLFUT"/>
    <x v="103"/>
    <x v="17"/>
    <n v="5414.5"/>
    <n v="5415.5"/>
    <n v="5405"/>
    <n v="5408"/>
    <n v="3233107500"/>
    <n v="11955"/>
  </r>
  <r>
    <s v="DOLFUT"/>
    <x v="103"/>
    <x v="18"/>
    <n v="5406"/>
    <n v="5415"/>
    <n v="5402.5"/>
    <n v="5414.5"/>
    <n v="3257191750"/>
    <n v="12045"/>
  </r>
  <r>
    <s v="DOLFUT"/>
    <x v="103"/>
    <x v="0"/>
    <n v="5407.5"/>
    <n v="5407.5"/>
    <n v="5399.5"/>
    <n v="5406"/>
    <n v="2375224375"/>
    <n v="8790"/>
  </r>
  <r>
    <s v="DOLFUT"/>
    <x v="103"/>
    <x v="1"/>
    <n v="5405.5"/>
    <n v="5409"/>
    <n v="5404"/>
    <n v="5408"/>
    <n v="3521479625"/>
    <n v="13025"/>
  </r>
  <r>
    <s v="DOLFUT"/>
    <x v="103"/>
    <x v="2"/>
    <n v="5401.5"/>
    <n v="5407.5"/>
    <n v="5401"/>
    <n v="5405.5"/>
    <n v="2274065875"/>
    <n v="8415"/>
  </r>
  <r>
    <s v="DOLFUT"/>
    <x v="103"/>
    <x v="3"/>
    <n v="5406"/>
    <n v="5408"/>
    <n v="5400.5"/>
    <n v="5401"/>
    <n v="3008985375"/>
    <n v="11135"/>
  </r>
  <r>
    <s v="DOLFUT"/>
    <x v="103"/>
    <x v="4"/>
    <n v="5414"/>
    <n v="5417.5"/>
    <n v="5405"/>
    <n v="5405.5"/>
    <n v="3030487625"/>
    <n v="11200"/>
  </r>
  <r>
    <s v="DOLFUT"/>
    <x v="103"/>
    <x v="5"/>
    <n v="5403.5"/>
    <n v="5414.5"/>
    <n v="5400.5"/>
    <n v="5413.5"/>
    <n v="3132220125"/>
    <n v="11590"/>
  </r>
  <r>
    <s v="DOLFUT"/>
    <x v="103"/>
    <x v="6"/>
    <n v="5411.5"/>
    <n v="5416"/>
    <n v="5397"/>
    <n v="5403"/>
    <n v="5212052250"/>
    <n v="19280"/>
  </r>
  <r>
    <s v="DOLFUT"/>
    <x v="103"/>
    <x v="7"/>
    <n v="5428"/>
    <n v="5429"/>
    <n v="5406"/>
    <n v="5412"/>
    <n v="6023395000"/>
    <n v="22250"/>
  </r>
  <r>
    <s v="DOLFUT"/>
    <x v="103"/>
    <x v="8"/>
    <n v="5428"/>
    <n v="5431"/>
    <n v="5422"/>
    <n v="5428"/>
    <n v="3027715625"/>
    <n v="11160"/>
  </r>
  <r>
    <s v="DOLFUT"/>
    <x v="103"/>
    <x v="9"/>
    <n v="5434.5"/>
    <n v="5440"/>
    <n v="5420"/>
    <n v="5427.5"/>
    <n v="4567841000"/>
    <n v="16825"/>
  </r>
  <r>
    <s v="DOLFUT"/>
    <x v="103"/>
    <x v="10"/>
    <n v="5446.5"/>
    <n v="5452"/>
    <n v="5431"/>
    <n v="5434.5"/>
    <n v="5427226500"/>
    <n v="19960"/>
  </r>
  <r>
    <s v="DOLFUT"/>
    <x v="103"/>
    <x v="11"/>
    <n v="5450"/>
    <n v="5451.5"/>
    <n v="5439.5"/>
    <n v="5446"/>
    <n v="2346998375"/>
    <n v="8620"/>
  </r>
  <r>
    <s v="DOLFUT"/>
    <x v="104"/>
    <x v="12"/>
    <n v="5444.5"/>
    <n v="5449.5"/>
    <n v="5443.5"/>
    <n v="5448"/>
    <n v="3952187000"/>
    <n v="14515"/>
  </r>
  <r>
    <s v="DOLFUT"/>
    <x v="104"/>
    <x v="13"/>
    <n v="5442.5"/>
    <n v="5445"/>
    <n v="5440.5"/>
    <n v="5444.5"/>
    <n v="590587000"/>
    <n v="2170"/>
  </r>
  <r>
    <s v="DOLFUT"/>
    <x v="104"/>
    <x v="14"/>
    <n v="5441.5"/>
    <n v="5444"/>
    <n v="5440.5"/>
    <n v="5442.5"/>
    <n v="786410375"/>
    <n v="2890"/>
  </r>
  <r>
    <s v="DOLFUT"/>
    <x v="104"/>
    <x v="15"/>
    <n v="5438.5"/>
    <n v="5442.5"/>
    <n v="5437.5"/>
    <n v="5441"/>
    <n v="1757188750"/>
    <n v="6460"/>
  </r>
  <r>
    <s v="DOLFUT"/>
    <x v="104"/>
    <x v="16"/>
    <n v="5436"/>
    <n v="5439"/>
    <n v="5434.5"/>
    <n v="5438.5"/>
    <n v="1318636750"/>
    <n v="4850"/>
  </r>
  <r>
    <s v="DOLFUT"/>
    <x v="104"/>
    <x v="17"/>
    <n v="5433.5"/>
    <n v="5438.5"/>
    <n v="5433"/>
    <n v="5436.5"/>
    <n v="2185212375"/>
    <n v="8040"/>
  </r>
  <r>
    <s v="DOLFUT"/>
    <x v="104"/>
    <x v="18"/>
    <n v="5433.5"/>
    <n v="5437"/>
    <n v="5432.5"/>
    <n v="5433.5"/>
    <n v="2150944750"/>
    <n v="7915"/>
  </r>
  <r>
    <s v="DOLFUT"/>
    <x v="104"/>
    <x v="0"/>
    <n v="5444.5"/>
    <n v="5447"/>
    <n v="5432"/>
    <n v="5433.5"/>
    <n v="2470624125"/>
    <n v="9085"/>
  </r>
  <r>
    <s v="DOLFUT"/>
    <x v="104"/>
    <x v="1"/>
    <n v="5446.5"/>
    <n v="5448"/>
    <n v="5440"/>
    <n v="5445"/>
    <n v="3965321750"/>
    <n v="14570"/>
  </r>
  <r>
    <s v="DOLFUT"/>
    <x v="104"/>
    <x v="2"/>
    <n v="5450.5"/>
    <n v="5451"/>
    <n v="5444.5"/>
    <n v="5446"/>
    <n v="4674300625"/>
    <n v="17160"/>
  </r>
  <r>
    <s v="DOLFUT"/>
    <x v="104"/>
    <x v="3"/>
    <n v="5451"/>
    <n v="5455.5"/>
    <n v="5445.5"/>
    <n v="5450.5"/>
    <n v="2833127000"/>
    <n v="10395"/>
  </r>
  <r>
    <s v="DOLFUT"/>
    <x v="104"/>
    <x v="4"/>
    <n v="5455"/>
    <n v="5461"/>
    <n v="5449"/>
    <n v="5450"/>
    <n v="1932272000"/>
    <n v="7085"/>
  </r>
  <r>
    <s v="DOLFUT"/>
    <x v="104"/>
    <x v="5"/>
    <n v="5471.5"/>
    <n v="5476.5"/>
    <n v="5452"/>
    <n v="5454.5"/>
    <n v="3271221375"/>
    <n v="11970"/>
  </r>
  <r>
    <s v="DOLFUT"/>
    <x v="104"/>
    <x v="6"/>
    <n v="5467.5"/>
    <n v="5475"/>
    <n v="5463"/>
    <n v="5471.5"/>
    <n v="3397798500"/>
    <n v="12425"/>
  </r>
  <r>
    <s v="DOLFUT"/>
    <x v="104"/>
    <x v="7"/>
    <n v="5479"/>
    <n v="5482.5"/>
    <n v="5462.5"/>
    <n v="5467"/>
    <n v="6089077500"/>
    <n v="22260"/>
  </r>
  <r>
    <s v="DOLFUT"/>
    <x v="104"/>
    <x v="8"/>
    <n v="5486"/>
    <n v="5489"/>
    <n v="5477.5"/>
    <n v="5479.5"/>
    <n v="3146243625"/>
    <n v="11475"/>
  </r>
  <r>
    <s v="DOLFUT"/>
    <x v="104"/>
    <x v="9"/>
    <n v="5476"/>
    <n v="5489.5"/>
    <n v="5475"/>
    <n v="5486"/>
    <n v="3988221500"/>
    <n v="14550"/>
  </r>
  <r>
    <s v="DOLFUT"/>
    <x v="104"/>
    <x v="10"/>
    <n v="5465.5"/>
    <n v="5480"/>
    <n v="5459.5"/>
    <n v="5475"/>
    <n v="2901678625"/>
    <n v="10605"/>
  </r>
  <r>
    <s v="DOLFUT"/>
    <x v="104"/>
    <x v="11"/>
    <n v="5460"/>
    <n v="5473"/>
    <n v="5456.5"/>
    <n v="5465.5"/>
    <n v="2304034500"/>
    <n v="8430"/>
  </r>
  <r>
    <s v="DOLFUT"/>
    <x v="105"/>
    <x v="12"/>
    <n v="5463"/>
    <n v="5464"/>
    <n v="5452"/>
    <n v="5455.5"/>
    <n v="955339750"/>
    <n v="3500"/>
  </r>
  <r>
    <s v="DOLFUT"/>
    <x v="105"/>
    <x v="13"/>
    <n v="5465.5"/>
    <n v="5465.5"/>
    <n v="5462.5"/>
    <n v="5462.5"/>
    <n v="461706250"/>
    <n v="1690"/>
  </r>
  <r>
    <s v="DOLFUT"/>
    <x v="105"/>
    <x v="14"/>
    <n v="5461"/>
    <n v="5466"/>
    <n v="5460.5"/>
    <n v="5465.5"/>
    <n v="3837321250"/>
    <n v="14050"/>
  </r>
  <r>
    <s v="DOLFUT"/>
    <x v="105"/>
    <x v="15"/>
    <n v="5459"/>
    <n v="5461"/>
    <n v="5455.5"/>
    <n v="5460.5"/>
    <n v="6163917000"/>
    <n v="22590"/>
  </r>
  <r>
    <s v="DOLFUT"/>
    <x v="105"/>
    <x v="16"/>
    <n v="5463"/>
    <n v="5465.5"/>
    <n v="5458"/>
    <n v="5459"/>
    <n v="2931525250"/>
    <n v="10735"/>
  </r>
  <r>
    <s v="DOLFUT"/>
    <x v="105"/>
    <x v="17"/>
    <n v="5457.5"/>
    <n v="5463.5"/>
    <n v="5456"/>
    <n v="5463"/>
    <n v="2040572875"/>
    <n v="7475"/>
  </r>
  <r>
    <s v="DOLFUT"/>
    <x v="105"/>
    <x v="18"/>
    <n v="5459.5"/>
    <n v="5462"/>
    <n v="5454.5"/>
    <n v="5458"/>
    <n v="1799604500"/>
    <n v="6595"/>
  </r>
  <r>
    <s v="DOLFUT"/>
    <x v="105"/>
    <x v="0"/>
    <n v="5456.5"/>
    <n v="5462.5"/>
    <n v="5456.5"/>
    <n v="5460"/>
    <n v="2124968625"/>
    <n v="7785"/>
  </r>
  <r>
    <s v="DOLFUT"/>
    <x v="105"/>
    <x v="1"/>
    <n v="5461"/>
    <n v="5463"/>
    <n v="5454"/>
    <n v="5457"/>
    <n v="2826723625"/>
    <n v="10360"/>
  </r>
  <r>
    <s v="DOLFUT"/>
    <x v="105"/>
    <x v="2"/>
    <n v="5470"/>
    <n v="5470.5"/>
    <n v="5459.5"/>
    <n v="5461"/>
    <n v="2545848000"/>
    <n v="9315"/>
  </r>
  <r>
    <s v="DOLFUT"/>
    <x v="105"/>
    <x v="3"/>
    <n v="5475.5"/>
    <n v="5479.5"/>
    <n v="5468.5"/>
    <n v="5470.5"/>
    <n v="3950163375"/>
    <n v="14430"/>
  </r>
  <r>
    <s v="DOLFUT"/>
    <x v="105"/>
    <x v="4"/>
    <n v="5487"/>
    <n v="5488"/>
    <n v="5474"/>
    <n v="5475"/>
    <n v="2180283875"/>
    <n v="7955"/>
  </r>
  <r>
    <s v="DOLFUT"/>
    <x v="105"/>
    <x v="5"/>
    <n v="5474.5"/>
    <n v="5491"/>
    <n v="5474"/>
    <n v="5486"/>
    <n v="2550091000"/>
    <n v="9305"/>
  </r>
  <r>
    <s v="DOLFUT"/>
    <x v="105"/>
    <x v="6"/>
    <n v="5462.5"/>
    <n v="5479.5"/>
    <n v="5462.5"/>
    <n v="5474.5"/>
    <n v="3632010500"/>
    <n v="13270"/>
  </r>
  <r>
    <s v="DOLFUT"/>
    <x v="105"/>
    <x v="7"/>
    <n v="5470"/>
    <n v="5474.5"/>
    <n v="5457.5"/>
    <n v="5462"/>
    <n v="4048382250"/>
    <n v="14810"/>
  </r>
  <r>
    <s v="DOLFUT"/>
    <x v="105"/>
    <x v="8"/>
    <n v="5475"/>
    <n v="5478.5"/>
    <n v="5459.5"/>
    <n v="5470.5"/>
    <n v="3895415375"/>
    <n v="14250"/>
  </r>
  <r>
    <s v="DOLFUT"/>
    <x v="105"/>
    <x v="9"/>
    <n v="5472"/>
    <n v="5481.5"/>
    <n v="5470.5"/>
    <n v="5475.5"/>
    <n v="4077309125"/>
    <n v="14890"/>
  </r>
  <r>
    <s v="DOLFUT"/>
    <x v="105"/>
    <x v="10"/>
    <n v="5485.5"/>
    <n v="5490.5"/>
    <n v="5468"/>
    <n v="5472"/>
    <n v="5311538750"/>
    <n v="19390"/>
  </r>
  <r>
    <s v="DOLFUT"/>
    <x v="105"/>
    <x v="11"/>
    <n v="5508.5"/>
    <n v="5513.5"/>
    <n v="5481.5"/>
    <n v="5485"/>
    <n v="5529476125"/>
    <n v="20130"/>
  </r>
  <r>
    <s v="DOLFUT"/>
    <x v="106"/>
    <x v="16"/>
    <n v="5770.5349999999999"/>
    <n v="5777.8"/>
    <n v="5769.4970000000003"/>
    <n v="5775.2060000000001"/>
    <n v="2316731103.9200001"/>
    <n v="8025"/>
  </r>
  <r>
    <s v="DOLFUT"/>
    <x v="106"/>
    <x v="17"/>
    <n v="5776.7619999999997"/>
    <n v="5777.2809999999999"/>
    <n v="5768.9780000000001"/>
    <n v="5771.0540000000001"/>
    <n v="2783582847.0500002"/>
    <n v="9645"/>
  </r>
  <r>
    <s v="DOLFUT"/>
    <x v="106"/>
    <x v="18"/>
    <n v="5761.7129999999997"/>
    <n v="5777.8"/>
    <n v="5761.1940000000004"/>
    <n v="5775.2060000000001"/>
    <n v="3022908273.6300001"/>
    <n v="10475"/>
  </r>
  <r>
    <s v="DOLFUT"/>
    <x v="106"/>
    <x v="0"/>
    <n v="5759.1189999999997"/>
    <n v="5764.8270000000002"/>
    <n v="5759.1189999999997"/>
    <n v="5762.232"/>
    <n v="1741579983.51"/>
    <n v="6045"/>
  </r>
  <r>
    <s v="DOLFUT"/>
    <x v="106"/>
    <x v="1"/>
    <n v="5762.232"/>
    <n v="5763.7889999999998"/>
    <n v="5758.0810000000001"/>
    <n v="5758.6"/>
    <n v="1444398972.9300001"/>
    <n v="5015"/>
  </r>
  <r>
    <s v="DOLFUT"/>
    <x v="106"/>
    <x v="2"/>
    <n v="5761.1940000000004"/>
    <n v="5765.3459999999995"/>
    <n v="5757.5619999999999"/>
    <n v="5762.232"/>
    <n v="2597509160.3699999"/>
    <n v="9015"/>
  </r>
  <r>
    <s v="DOLFUT"/>
    <x v="106"/>
    <x v="3"/>
    <n v="5759.6379999999999"/>
    <n v="5765.8649999999998"/>
    <n v="5752.3729999999996"/>
    <n v="5761.1940000000004"/>
    <n v="4323342121.1000004"/>
    <n v="15015"/>
  </r>
  <r>
    <s v="DOLFUT"/>
    <x v="106"/>
    <x v="4"/>
    <n v="5765.3459999999995"/>
    <n v="5767.9409999999998"/>
    <n v="5756.5240000000003"/>
    <n v="5760.1570000000002"/>
    <n v="2656951901.04"/>
    <n v="9225"/>
  </r>
  <r>
    <s v="DOLFUT"/>
    <x v="106"/>
    <x v="5"/>
    <n v="5775.2060000000001"/>
    <n v="5776.7619999999997"/>
    <n v="5764.308"/>
    <n v="5766.384"/>
    <n v="4876541725.6899996"/>
    <n v="16900"/>
  </r>
  <r>
    <s v="DOLFUT"/>
    <x v="106"/>
    <x v="6"/>
    <n v="5772.6109999999999"/>
    <n v="5777.8"/>
    <n v="5768.46"/>
    <n v="5775.2060000000001"/>
    <n v="5256589854.4300003"/>
    <n v="18210"/>
  </r>
  <r>
    <s v="DOLFUT"/>
    <x v="106"/>
    <x v="7"/>
    <n v="5770.0159999999996"/>
    <n v="5775.2060000000001"/>
    <n v="5762.232"/>
    <n v="5772.0919999999996"/>
    <n v="7120168917.46"/>
    <n v="24690"/>
  </r>
  <r>
    <s v="DOLFUT"/>
    <x v="106"/>
    <x v="8"/>
    <n v="5788.6980000000003"/>
    <n v="5795.9629999999997"/>
    <n v="5770.5349999999999"/>
    <n v="5770.5349999999999"/>
    <n v="5604617869.25"/>
    <n v="19380"/>
  </r>
  <r>
    <s v="DOLFUT"/>
    <x v="106"/>
    <x v="9"/>
    <n v="5785.5839999999998"/>
    <n v="5795.9629999999997"/>
    <n v="5776.7619999999997"/>
    <n v="5788.6980000000003"/>
    <n v="6680192067.2700005"/>
    <n v="23090"/>
  </r>
  <r>
    <s v="DOLFUT"/>
    <x v="106"/>
    <x v="10"/>
    <n v="5795.4440000000004"/>
    <n v="5795.4440000000004"/>
    <n v="5773.13"/>
    <n v="5785.0649999999996"/>
    <n v="8703994946.5100002"/>
    <n v="30115"/>
  </r>
  <r>
    <s v="DOLFUT"/>
    <x v="106"/>
    <x v="11"/>
    <n v="5801.6710000000003"/>
    <n v="5814.6450000000004"/>
    <n v="5792.33"/>
    <n v="5798.558"/>
    <n v="3086673207.5100002"/>
    <n v="10640"/>
  </r>
  <r>
    <s v="DOLFUT"/>
    <x v="107"/>
    <x v="12"/>
    <n v="5808.9359999999997"/>
    <n v="5811.0119999999997"/>
    <n v="5804.2659999999996"/>
    <n v="5804.2659999999996"/>
    <n v="1112296364.1300001"/>
    <n v="3830"/>
  </r>
  <r>
    <s v="DOLFUT"/>
    <x v="107"/>
    <x v="13"/>
    <n v="5805.8230000000003"/>
    <n v="5811.0119999999997"/>
    <n v="5804.7849999999999"/>
    <n v="5808.9359999999997"/>
    <n v="1012140602.88"/>
    <n v="3485"/>
  </r>
  <r>
    <s v="DOLFUT"/>
    <x v="107"/>
    <x v="14"/>
    <n v="5803.7470000000003"/>
    <n v="5807.38"/>
    <n v="5800.6329999999998"/>
    <n v="5805.3040000000001"/>
    <n v="3654496085.4000001"/>
    <n v="12590"/>
  </r>
  <r>
    <s v="DOLFUT"/>
    <x v="107"/>
    <x v="15"/>
    <n v="5807.38"/>
    <n v="5809.4549999999999"/>
    <n v="5802.19"/>
    <n v="5803.7470000000003"/>
    <n v="1417882014.05"/>
    <n v="4885"/>
  </r>
  <r>
    <s v="DOLFUT"/>
    <x v="107"/>
    <x v="16"/>
    <n v="5809.4549999999999"/>
    <n v="5812.05"/>
    <n v="5805.3040000000001"/>
    <n v="5807.8980000000001"/>
    <n v="2246742995.4200001"/>
    <n v="7735"/>
  </r>
  <r>
    <s v="DOLFUT"/>
    <x v="107"/>
    <x v="17"/>
    <n v="5801.6710000000003"/>
    <n v="5812.5690000000004"/>
    <n v="5801.152"/>
    <n v="5809.4549999999999"/>
    <n v="2380943877"/>
    <n v="8200"/>
  </r>
  <r>
    <s v="DOLFUT"/>
    <x v="107"/>
    <x v="18"/>
    <n v="5803.7470000000003"/>
    <n v="5804.7849999999999"/>
    <n v="5800.1139999999996"/>
    <n v="5801.6710000000003"/>
    <n v="3632671967.6399999"/>
    <n v="12520"/>
  </r>
  <r>
    <s v="DOLFUT"/>
    <x v="107"/>
    <x v="0"/>
    <n v="5800.6329999999998"/>
    <n v="5804.7849999999999"/>
    <n v="5796.482"/>
    <n v="5802.19"/>
    <n v="3204834907.0100002"/>
    <n v="11050"/>
  </r>
  <r>
    <s v="DOLFUT"/>
    <x v="107"/>
    <x v="1"/>
    <n v="5793.8869999999997"/>
    <n v="5805.3040000000001"/>
    <n v="5792.8490000000002"/>
    <n v="5800.6329999999998"/>
    <n v="1391609991.5599999"/>
    <n v="4800"/>
  </r>
  <r>
    <s v="DOLFUT"/>
    <x v="107"/>
    <x v="2"/>
    <n v="5804.7849999999999"/>
    <n v="5809.9740000000002"/>
    <n v="5793.3680000000004"/>
    <n v="5793.8869999999997"/>
    <n v="3622849992.46"/>
    <n v="12490"/>
  </r>
  <r>
    <s v="DOLFUT"/>
    <x v="107"/>
    <x v="3"/>
    <n v="5800.1139999999996"/>
    <n v="5805.3040000000001"/>
    <n v="5797.0010000000002"/>
    <n v="5805.3040000000001"/>
    <n v="2804429813.9099998"/>
    <n v="9670"/>
  </r>
  <r>
    <s v="DOLFUT"/>
    <x v="107"/>
    <x v="4"/>
    <n v="5792.8490000000002"/>
    <n v="5800.1139999999996"/>
    <n v="5791.2929999999997"/>
    <n v="5800.1139999999996"/>
    <n v="1253497652.27"/>
    <n v="4325"/>
  </r>
  <r>
    <s v="DOLFUT"/>
    <x v="107"/>
    <x v="5"/>
    <n v="5795.9629999999997"/>
    <n v="5799.5959999999995"/>
    <n v="5786.1030000000001"/>
    <n v="5792.8490000000002"/>
    <n v="5931625334.1000004"/>
    <n v="20485"/>
  </r>
  <r>
    <s v="DOLFUT"/>
    <x v="107"/>
    <x v="6"/>
    <n v="5778.3190000000004"/>
    <n v="5799.0770000000002"/>
    <n v="5777.8"/>
    <n v="5795.9629999999997"/>
    <n v="5560782817.8400002"/>
    <n v="19210"/>
  </r>
  <r>
    <s v="DOLFUT"/>
    <x v="107"/>
    <x v="7"/>
    <n v="5788.1790000000001"/>
    <n v="5788.1790000000001"/>
    <n v="5772.6109999999999"/>
    <n v="5777.8"/>
    <n v="7436063431.4899998"/>
    <n v="25735"/>
  </r>
  <r>
    <s v="DOLFUT"/>
    <x v="107"/>
    <x v="8"/>
    <n v="5780.9139999999998"/>
    <n v="5795.4440000000004"/>
    <n v="5777.8"/>
    <n v="5787.1409999999996"/>
    <n v="5836813674.9300003"/>
    <n v="20170"/>
  </r>
  <r>
    <s v="DOLFUT"/>
    <x v="107"/>
    <x v="9"/>
    <n v="5787.66"/>
    <n v="5789.2169999999996"/>
    <n v="5779.8760000000002"/>
    <n v="5781.433"/>
    <n v="3679259180.3699999"/>
    <n v="12720"/>
  </r>
  <r>
    <s v="DOLFUT"/>
    <x v="107"/>
    <x v="10"/>
    <n v="5788.1790000000001"/>
    <n v="5794.9250000000002"/>
    <n v="5778.3190000000004"/>
    <n v="5787.66"/>
    <n v="3746226839.1700001"/>
    <n v="12950"/>
  </r>
  <r>
    <s v="DOLFUT"/>
    <x v="107"/>
    <x v="11"/>
    <n v="5792.8490000000002"/>
    <n v="5807.38"/>
    <n v="5781.433"/>
    <n v="5788.1790000000001"/>
    <n v="4333324835.79"/>
    <n v="14960"/>
  </r>
  <r>
    <s v="DOLFUT"/>
    <x v="108"/>
    <x v="12"/>
    <n v="5796.482"/>
    <n v="5798.558"/>
    <n v="5794.4059999999999"/>
    <n v="5796.482"/>
    <n v="343434419.63999999"/>
    <n v="1185"/>
  </r>
  <r>
    <s v="DOLFUT"/>
    <x v="108"/>
    <x v="13"/>
    <n v="5796.482"/>
    <n v="5798.0389999999998"/>
    <n v="5794.4059999999999"/>
    <n v="5795.4440000000004"/>
    <n v="527430428.20999998"/>
    <n v="1820"/>
  </r>
  <r>
    <s v="DOLFUT"/>
    <x v="108"/>
    <x v="14"/>
    <n v="5799.0770000000002"/>
    <n v="5800.1139999999996"/>
    <n v="5794.9250000000002"/>
    <n v="5797.52"/>
    <n v="1330291697.1900001"/>
    <n v="4590"/>
  </r>
  <r>
    <s v="DOLFUT"/>
    <x v="108"/>
    <x v="15"/>
    <n v="5800.6329999999998"/>
    <n v="5800.6329999999998"/>
    <n v="5793.3680000000004"/>
    <n v="5799.0770000000002"/>
    <n v="1784178417.51"/>
    <n v="6155"/>
  </r>
  <r>
    <s v="DOLFUT"/>
    <x v="108"/>
    <x v="16"/>
    <n v="5794.9250000000002"/>
    <n v="5804.7849999999999"/>
    <n v="5794.4059999999999"/>
    <n v="5800.1139999999996"/>
    <n v="2674881685.8800001"/>
    <n v="9225"/>
  </r>
  <r>
    <s v="DOLFUT"/>
    <x v="108"/>
    <x v="17"/>
    <n v="5800.6329999999998"/>
    <n v="5801.152"/>
    <n v="5791.8119999999999"/>
    <n v="5794.9250000000002"/>
    <n v="3496248755.3600001"/>
    <n v="12065"/>
  </r>
  <r>
    <s v="DOLFUT"/>
    <x v="108"/>
    <x v="18"/>
    <n v="5812.05"/>
    <n v="5812.5690000000004"/>
    <n v="5798.558"/>
    <n v="5801.152"/>
    <n v="4153223549.3400002"/>
    <n v="14305"/>
  </r>
  <r>
    <s v="DOLFUT"/>
    <x v="108"/>
    <x v="0"/>
    <n v="5808.4170000000004"/>
    <n v="5813.607"/>
    <n v="5808.4170000000004"/>
    <n v="5812.05"/>
    <n v="1612512646.9300001"/>
    <n v="5550"/>
  </r>
  <r>
    <s v="DOLFUT"/>
    <x v="108"/>
    <x v="1"/>
    <n v="5814.1260000000002"/>
    <n v="5815.6819999999998"/>
    <n v="5807.38"/>
    <n v="5808.4170000000004"/>
    <n v="1402274195.0599999"/>
    <n v="4825"/>
  </r>
  <r>
    <s v="DOLFUT"/>
    <x v="108"/>
    <x v="2"/>
    <n v="5813.0879999999997"/>
    <n v="5818.277"/>
    <n v="5808.9359999999997"/>
    <n v="5813.0879999999997"/>
    <n v="1674173956.03"/>
    <n v="5760"/>
  </r>
  <r>
    <s v="DOLFUT"/>
    <x v="108"/>
    <x v="3"/>
    <n v="5813.607"/>
    <n v="5819.8339999999998"/>
    <n v="5811.0119999999997"/>
    <n v="5813.607"/>
    <n v="3248910094.6700001"/>
    <n v="11175"/>
  </r>
  <r>
    <s v="DOLFUT"/>
    <x v="108"/>
    <x v="4"/>
    <n v="5809.4549999999999"/>
    <n v="5816.72"/>
    <n v="5808.4170000000004"/>
    <n v="5813.0879999999997"/>
    <n v="2624210470.1999998"/>
    <n v="9030"/>
  </r>
  <r>
    <s v="DOLFUT"/>
    <x v="108"/>
    <x v="5"/>
    <n v="5823.9849999999997"/>
    <n v="5824.5039999999999"/>
    <n v="5805.8230000000003"/>
    <n v="5810.4930000000004"/>
    <n v="3080823794.4000001"/>
    <n v="10595"/>
  </r>
  <r>
    <s v="DOLFUT"/>
    <x v="108"/>
    <x v="6"/>
    <n v="5825.0230000000001"/>
    <n v="5830.732"/>
    <n v="5815.1639999999998"/>
    <n v="5823.9849999999997"/>
    <n v="3310867974.0100002"/>
    <n v="11375"/>
  </r>
  <r>
    <s v="DOLFUT"/>
    <x v="108"/>
    <x v="7"/>
    <n v="5823.4660000000003"/>
    <n v="5830.732"/>
    <n v="5815.6819999999998"/>
    <n v="5825.0230000000001"/>
    <n v="5619956102.5299997"/>
    <n v="19295"/>
  </r>
  <r>
    <s v="DOLFUT"/>
    <x v="108"/>
    <x v="8"/>
    <n v="5835.9210000000003"/>
    <n v="5835.9210000000003"/>
    <n v="5809.9740000000002"/>
    <n v="5823.9849999999997"/>
    <n v="7481621340.5600004"/>
    <n v="25700"/>
  </r>
  <r>
    <s v="DOLFUT"/>
    <x v="108"/>
    <x v="9"/>
    <n v="5808.9359999999997"/>
    <n v="5837.4780000000001"/>
    <n v="5802.19"/>
    <n v="5835.402"/>
    <n v="5217221778.54"/>
    <n v="17935"/>
  </r>
  <r>
    <s v="DOLFUT"/>
    <x v="108"/>
    <x v="10"/>
    <n v="5804.2659999999996"/>
    <n v="5818.277"/>
    <n v="5800.1139999999996"/>
    <n v="5808.4170000000004"/>
    <n v="6106186361.79"/>
    <n v="21025"/>
  </r>
  <r>
    <s v="DOLFUT"/>
    <x v="108"/>
    <x v="11"/>
    <n v="5806.3419999999996"/>
    <n v="5806.8609999999999"/>
    <n v="5789.2169999999996"/>
    <n v="5803.2280000000001"/>
    <n v="4715746953.4099998"/>
    <n v="16270"/>
  </r>
  <r>
    <s v="DOLFUT"/>
    <x v="109"/>
    <x v="12"/>
    <n v="5799.5959999999995"/>
    <n v="5803.7470000000003"/>
    <n v="5796.482"/>
    <n v="5803.7470000000003"/>
    <n v="501772952.16000003"/>
    <n v="1730"/>
  </r>
  <r>
    <s v="DOLFUT"/>
    <x v="109"/>
    <x v="13"/>
    <n v="5800.1139999999996"/>
    <n v="5803.2280000000001"/>
    <n v="5797.52"/>
    <n v="5798.558"/>
    <n v="813443610.78999996"/>
    <n v="2805"/>
  </r>
  <r>
    <s v="DOLFUT"/>
    <x v="109"/>
    <x v="14"/>
    <n v="5809.4549999999999"/>
    <n v="5810.4930000000004"/>
    <n v="5798.0389999999998"/>
    <n v="5799.5959999999995"/>
    <n v="2817543381.3099999"/>
    <n v="9710"/>
  </r>
  <r>
    <s v="DOLFUT"/>
    <x v="109"/>
    <x v="15"/>
    <n v="5801.6710000000003"/>
    <n v="5809.4549999999999"/>
    <n v="5799.0770000000002"/>
    <n v="5809.4549999999999"/>
    <n v="2687117348.3200002"/>
    <n v="9260"/>
  </r>
  <r>
    <s v="DOLFUT"/>
    <x v="109"/>
    <x v="16"/>
    <n v="5804.2659999999996"/>
    <n v="5806.8609999999999"/>
    <n v="5801.6710000000003"/>
    <n v="5802.19"/>
    <n v="3163457652.1599998"/>
    <n v="10900"/>
  </r>
  <r>
    <s v="DOLFUT"/>
    <x v="109"/>
    <x v="17"/>
    <n v="5808.9359999999997"/>
    <n v="5809.9740000000002"/>
    <n v="5800.1139999999996"/>
    <n v="5804.2659999999996"/>
    <n v="5586959616.1099997"/>
    <n v="19255"/>
  </r>
  <r>
    <s v="DOLFUT"/>
    <x v="109"/>
    <x v="18"/>
    <n v="5823.4660000000003"/>
    <n v="5826.58"/>
    <n v="5801.152"/>
    <n v="5808.4170000000004"/>
    <n v="7034618266.8699999"/>
    <n v="24205"/>
  </r>
  <r>
    <s v="DOLFUT"/>
    <x v="109"/>
    <x v="0"/>
    <n v="5815.6819999999998"/>
    <n v="5824.5039999999999"/>
    <n v="5815.1639999999998"/>
    <n v="5822.9480000000003"/>
    <n v="2040458424.03"/>
    <n v="7010"/>
  </r>
  <r>
    <s v="DOLFUT"/>
    <x v="109"/>
    <x v="1"/>
    <n v="5821.3909999999996"/>
    <n v="5825.0230000000001"/>
    <n v="5807.38"/>
    <n v="5816.72"/>
    <n v="5110599333.3500004"/>
    <n v="17575"/>
  </r>
  <r>
    <s v="DOLFUT"/>
    <x v="109"/>
    <x v="2"/>
    <n v="5825.0230000000001"/>
    <n v="5826.0609999999997"/>
    <n v="5813.0879999999997"/>
    <n v="5821.3909999999996"/>
    <n v="5604929358.8000002"/>
    <n v="19260"/>
  </r>
  <r>
    <s v="DOLFUT"/>
    <x v="109"/>
    <x v="3"/>
    <n v="5839.0339999999997"/>
    <n v="5839.5529999999999"/>
    <n v="5823.9849999999997"/>
    <n v="5825.0230000000001"/>
    <n v="2455165960.0900002"/>
    <n v="8420"/>
  </r>
  <r>
    <s v="DOLFUT"/>
    <x v="109"/>
    <x v="4"/>
    <n v="5849.4129999999996"/>
    <n v="5851.4889999999996"/>
    <n v="5839.0339999999997"/>
    <n v="5839.5529999999999"/>
    <n v="2775786656.6799998"/>
    <n v="9500"/>
  </r>
  <r>
    <s v="DOLFUT"/>
    <x v="109"/>
    <x v="5"/>
    <n v="5851.4889999999996"/>
    <n v="5858.7539999999999"/>
    <n v="5844.7430000000004"/>
    <n v="5848.8940000000002"/>
    <n v="5258995627.9499998"/>
    <n v="17970"/>
  </r>
  <r>
    <s v="DOLFUT"/>
    <x v="109"/>
    <x v="6"/>
    <n v="5823.4660000000003"/>
    <n v="5853.0460000000003"/>
    <n v="5823.4660000000003"/>
    <n v="5851.4889999999996"/>
    <n v="5448837027.8999996"/>
    <n v="18650"/>
  </r>
  <r>
    <s v="DOLFUT"/>
    <x v="109"/>
    <x v="7"/>
    <n v="5834.3639999999996"/>
    <n v="5839.5529999999999"/>
    <n v="5823.4660000000003"/>
    <n v="5824.5039999999999"/>
    <n v="3287887284.2600002"/>
    <n v="11275"/>
  </r>
  <r>
    <s v="DOLFUT"/>
    <x v="109"/>
    <x v="8"/>
    <n v="5835.402"/>
    <n v="5846.8180000000002"/>
    <n v="5828.1369999999997"/>
    <n v="5833.8450000000003"/>
    <n v="3851346584.04"/>
    <n v="13195"/>
  </r>
  <r>
    <s v="DOLFUT"/>
    <x v="109"/>
    <x v="9"/>
    <n v="5820.8720000000003"/>
    <n v="5843.1859999999997"/>
    <n v="5819.3149999999996"/>
    <n v="5834.3639999999996"/>
    <n v="4425923375.3199997"/>
    <n v="15175"/>
  </r>
  <r>
    <s v="DOLFUT"/>
    <x v="109"/>
    <x v="10"/>
    <n v="5830.732"/>
    <n v="5850.451"/>
    <n v="5803.7470000000003"/>
    <n v="5821.3909999999996"/>
    <n v="5656044262.21"/>
    <n v="19435"/>
  </r>
  <r>
    <s v="DOLFUT"/>
    <x v="109"/>
    <x v="11"/>
    <n v="5837.9970000000003"/>
    <n v="5840.0720000000001"/>
    <n v="5819.3149999999996"/>
    <n v="5826.58"/>
    <n v="3109077362.6599998"/>
    <n v="10670"/>
  </r>
  <r>
    <s v="DOLFUT"/>
    <x v="110"/>
    <x v="12"/>
    <n v="5832.2879999999996"/>
    <n v="5832.2879999999996"/>
    <n v="5825.0230000000001"/>
    <n v="5825.0230000000001"/>
    <n v="536211423.73000002"/>
    <n v="1840"/>
  </r>
  <r>
    <s v="DOLFUT"/>
    <x v="110"/>
    <x v="13"/>
    <n v="5829.1750000000002"/>
    <n v="5832.8069999999998"/>
    <n v="5828.6559999999999"/>
    <n v="5831.7690000000002"/>
    <n v="806072167.10000002"/>
    <n v="2765"/>
  </r>
  <r>
    <s v="DOLFUT"/>
    <x v="110"/>
    <x v="14"/>
    <n v="5828.6559999999999"/>
    <n v="5829.6940000000004"/>
    <n v="5824.5039999999999"/>
    <n v="5829.1750000000002"/>
    <n v="1279073915.3"/>
    <n v="4390"/>
  </r>
  <r>
    <s v="DOLFUT"/>
    <x v="110"/>
    <x v="15"/>
    <n v="5833.326"/>
    <n v="5834.3639999999996"/>
    <n v="5826.58"/>
    <n v="5828.1369999999997"/>
    <n v="1630647929.25"/>
    <n v="5595"/>
  </r>
  <r>
    <s v="DOLFUT"/>
    <x v="110"/>
    <x v="16"/>
    <n v="5831.25"/>
    <n v="5837.4780000000001"/>
    <n v="5831.25"/>
    <n v="5833.8450000000003"/>
    <n v="2228786485.5300002"/>
    <n v="7640"/>
  </r>
  <r>
    <s v="DOLFUT"/>
    <x v="110"/>
    <x v="17"/>
    <n v="5833.326"/>
    <n v="5838.5159999999996"/>
    <n v="5830.2129999999997"/>
    <n v="5831.25"/>
    <n v="3659452544.5"/>
    <n v="12545"/>
  </r>
  <r>
    <s v="DOLFUT"/>
    <x v="110"/>
    <x v="18"/>
    <n v="5829.1750000000002"/>
    <n v="5833.8450000000003"/>
    <n v="5828.1369999999997"/>
    <n v="5833.326"/>
    <n v="1332462912.99"/>
    <n v="4570"/>
  </r>
  <r>
    <s v="DOLFUT"/>
    <x v="110"/>
    <x v="0"/>
    <n v="5828.6559999999999"/>
    <n v="5833.8450000000003"/>
    <n v="5827.0990000000002"/>
    <n v="5828.6559999999999"/>
    <n v="2745879248.8499999"/>
    <n v="9420"/>
  </r>
  <r>
    <s v="DOLFUT"/>
    <x v="110"/>
    <x v="1"/>
    <n v="5831.25"/>
    <n v="5831.25"/>
    <n v="5820.3530000000001"/>
    <n v="5828.6559999999999"/>
    <n v="2426134640.9499998"/>
    <n v="8330"/>
  </r>
  <r>
    <s v="DOLFUT"/>
    <x v="110"/>
    <x v="2"/>
    <n v="5835.402"/>
    <n v="5837.9970000000003"/>
    <n v="5823.9849999999997"/>
    <n v="5830.732"/>
    <n v="3308567933.0900002"/>
    <n v="11350"/>
  </r>
  <r>
    <s v="DOLFUT"/>
    <x v="110"/>
    <x v="3"/>
    <n v="5834.8829999999998"/>
    <n v="5840.5910000000003"/>
    <n v="5832.8069999999998"/>
    <n v="5835.402"/>
    <n v="2429239157.8000002"/>
    <n v="8325"/>
  </r>
  <r>
    <s v="DOLFUT"/>
    <x v="110"/>
    <x v="4"/>
    <n v="5836.9589999999998"/>
    <n v="5846.3"/>
    <n v="5834.8829999999998"/>
    <n v="5835.402"/>
    <n v="1469114196.3299999"/>
    <n v="5030"/>
  </r>
  <r>
    <s v="DOLFUT"/>
    <x v="110"/>
    <x v="5"/>
    <n v="5841.11"/>
    <n v="5841.11"/>
    <n v="5833.8450000000003"/>
    <n v="5836.9589999999998"/>
    <n v="2765410201.5500002"/>
    <n v="9475"/>
  </r>
  <r>
    <s v="DOLFUT"/>
    <x v="110"/>
    <x v="6"/>
    <n v="5842.1480000000001"/>
    <n v="5844.7430000000004"/>
    <n v="5833.326"/>
    <n v="5840.5910000000003"/>
    <n v="2885806167.21"/>
    <n v="9885"/>
  </r>
  <r>
    <s v="DOLFUT"/>
    <x v="110"/>
    <x v="7"/>
    <n v="5840.0720000000001"/>
    <n v="5852.0079999999998"/>
    <n v="5839.0339999999997"/>
    <n v="5841.11"/>
    <n v="3822062414.7800002"/>
    <n v="13075"/>
  </r>
  <r>
    <s v="DOLFUT"/>
    <x v="110"/>
    <x v="8"/>
    <n v="5835.9210000000003"/>
    <n v="5844.2240000000002"/>
    <n v="5832.2879999999996"/>
    <n v="5840.0720000000001"/>
    <n v="5326700690.5900002"/>
    <n v="18245"/>
  </r>
  <r>
    <s v="DOLFUT"/>
    <x v="110"/>
    <x v="9"/>
    <n v="5856.6779999999999"/>
    <n v="5856.6779999999999"/>
    <n v="5832.8069999999998"/>
    <n v="5835.402"/>
    <n v="7257042044.6800003"/>
    <n v="24840"/>
  </r>
  <r>
    <s v="DOLFUT"/>
    <x v="110"/>
    <x v="10"/>
    <n v="5868.6139999999996"/>
    <n v="5872.7650000000003"/>
    <n v="5848.8940000000002"/>
    <n v="5857.1970000000001"/>
    <n v="5050249627.4700003"/>
    <n v="17235"/>
  </r>
  <r>
    <s v="DOLFUT"/>
    <x v="110"/>
    <x v="11"/>
    <n v="5880.549"/>
    <n v="5883.6629999999996"/>
    <n v="5866.5379999999996"/>
    <n v="5870.17"/>
    <n v="2556409794.1599998"/>
    <n v="8705"/>
  </r>
  <r>
    <s v="DOLFUT"/>
    <x v="111"/>
    <x v="12"/>
    <n v="5882.1059999999998"/>
    <n v="5883.6629999999996"/>
    <n v="5876.3980000000001"/>
    <n v="5877.4350000000004"/>
    <n v="520380723"/>
    <n v="1770"/>
  </r>
  <r>
    <s v="DOLFUT"/>
    <x v="111"/>
    <x v="13"/>
    <n v="5883.6629999999996"/>
    <n v="5884.701"/>
    <n v="5877.9539999999997"/>
    <n v="5881.5870000000004"/>
    <n v="1465981267.9000001"/>
    <n v="4985"/>
  </r>
  <r>
    <s v="DOLFUT"/>
    <x v="111"/>
    <x v="14"/>
    <n v="5889.89"/>
    <n v="5890.9279999999999"/>
    <n v="5880.03"/>
    <n v="5883.6629999999996"/>
    <n v="2826607973.73"/>
    <n v="9605"/>
  </r>
  <r>
    <s v="DOLFUT"/>
    <x v="111"/>
    <x v="15"/>
    <n v="5894.56"/>
    <n v="5895.0789999999997"/>
    <n v="5888.3329999999996"/>
    <n v="5889.89"/>
    <n v="1743549593.8299999"/>
    <n v="5920"/>
  </r>
  <r>
    <s v="DOLFUT"/>
    <x v="111"/>
    <x v="16"/>
    <n v="5894.56"/>
    <n v="5899.2309999999998"/>
    <n v="5892.4849999999997"/>
    <n v="5894.56"/>
    <n v="4929853402.3500004"/>
    <n v="16720"/>
  </r>
  <r>
    <s v="DOLFUT"/>
    <x v="111"/>
    <x v="17"/>
    <n v="5890.9279999999999"/>
    <n v="5895.0789999999997"/>
    <n v="5890.9279999999999"/>
    <n v="5892.4849999999997"/>
    <n v="2513514789.9299998"/>
    <n v="8530"/>
  </r>
  <r>
    <s v="DOLFUT"/>
    <x v="111"/>
    <x v="18"/>
    <n v="5887.2950000000001"/>
    <n v="5892.4849999999997"/>
    <n v="5884.1819999999998"/>
    <n v="5890.4089999999997"/>
    <n v="2741365569.3600001"/>
    <n v="9310"/>
  </r>
  <r>
    <s v="DOLFUT"/>
    <x v="111"/>
    <x v="0"/>
    <n v="5883.1440000000002"/>
    <n v="5890.4089999999997"/>
    <n v="5879.5110000000004"/>
    <n v="5887.2950000000001"/>
    <n v="1624235992.73"/>
    <n v="5520"/>
  </r>
  <r>
    <s v="DOLFUT"/>
    <x v="111"/>
    <x v="1"/>
    <n v="5886.2569999999996"/>
    <n v="5888.3329999999996"/>
    <n v="5881.0680000000002"/>
    <n v="5883.6629999999996"/>
    <n v="1341732094.76"/>
    <n v="4560"/>
  </r>
  <r>
    <s v="DOLFUT"/>
    <x v="111"/>
    <x v="2"/>
    <n v="5888.3329999999996"/>
    <n v="5893.5219999999999"/>
    <n v="5883.1440000000002"/>
    <n v="5885.7380000000003"/>
    <n v="4115254387.1700001"/>
    <n v="13975"/>
  </r>
  <r>
    <s v="DOLFUT"/>
    <x v="111"/>
    <x v="3"/>
    <n v="5885.7380000000003"/>
    <n v="5890.4089999999997"/>
    <n v="5882.625"/>
    <n v="5888.3329999999996"/>
    <n v="1392349471.1300001"/>
    <n v="4730"/>
  </r>
  <r>
    <s v="DOLFUT"/>
    <x v="111"/>
    <x v="4"/>
    <n v="5884.701"/>
    <n v="5886.2569999999996"/>
    <n v="5881.5870000000004"/>
    <n v="5885.7380000000003"/>
    <n v="2431344858.3000002"/>
    <n v="8265"/>
  </r>
  <r>
    <s v="DOLFUT"/>
    <x v="111"/>
    <x v="5"/>
    <n v="5874.3220000000001"/>
    <n v="5890.9279999999999"/>
    <n v="5874.3220000000001"/>
    <n v="5884.701"/>
    <n v="3022104316.6300001"/>
    <n v="10275"/>
  </r>
  <r>
    <s v="DOLFUT"/>
    <x v="111"/>
    <x v="6"/>
    <n v="5875.36"/>
    <n v="5880.549"/>
    <n v="5872.2460000000001"/>
    <n v="5873.2839999999997"/>
    <n v="1847965406.04"/>
    <n v="6290"/>
  </r>
  <r>
    <s v="DOLFUT"/>
    <x v="111"/>
    <x v="7"/>
    <n v="5882.625"/>
    <n v="5888.8519999999999"/>
    <n v="5862.3860000000004"/>
    <n v="5875.36"/>
    <n v="4650013836.2799997"/>
    <n v="15835"/>
  </r>
  <r>
    <s v="DOLFUT"/>
    <x v="111"/>
    <x v="8"/>
    <n v="5883.1440000000002"/>
    <n v="5886.7759999999998"/>
    <n v="5873.8029999999999"/>
    <n v="5883.1440000000002"/>
    <n v="8068114261.2600002"/>
    <n v="27445"/>
  </r>
  <r>
    <s v="DOLFUT"/>
    <x v="111"/>
    <x v="9"/>
    <n v="5869.6509999999998"/>
    <n v="5883.1440000000002"/>
    <n v="5868.0950000000003"/>
    <n v="5883.1440000000002"/>
    <n v="7555352772.46"/>
    <n v="25715"/>
  </r>
  <r>
    <s v="DOLFUT"/>
    <x v="111"/>
    <x v="10"/>
    <n v="5861.8680000000004"/>
    <n v="5871.2079999999996"/>
    <n v="5858.2349999999997"/>
    <n v="5869.6509999999998"/>
    <n v="4105333036.3099999"/>
    <n v="14000"/>
  </r>
  <r>
    <s v="DOLFUT"/>
    <x v="111"/>
    <x v="11"/>
    <n v="5883.6629999999996"/>
    <n v="5884.701"/>
    <n v="5855.64"/>
    <n v="5862.3860000000004"/>
    <n v="4287474248.4899998"/>
    <n v="14620"/>
  </r>
  <r>
    <s v="DOLFUT"/>
    <x v="112"/>
    <x v="12"/>
    <n v="5887.2950000000001"/>
    <n v="5889.89"/>
    <n v="5883.6629999999996"/>
    <n v="5889.89"/>
    <n v="392857601.38"/>
    <n v="1335"/>
  </r>
  <r>
    <s v="DOLFUT"/>
    <x v="112"/>
    <x v="13"/>
    <n v="5884.1819999999998"/>
    <n v="5888.8519999999999"/>
    <n v="5883.6629999999996"/>
    <n v="5886.7759999999998"/>
    <n v="666629932.19000006"/>
    <n v="2265"/>
  </r>
  <r>
    <s v="DOLFUT"/>
    <x v="112"/>
    <x v="14"/>
    <n v="5884.701"/>
    <n v="5888.8519999999999"/>
    <n v="5880.549"/>
    <n v="5884.1819999999998"/>
    <n v="1335862702.73"/>
    <n v="4540"/>
  </r>
  <r>
    <s v="DOLFUT"/>
    <x v="112"/>
    <x v="15"/>
    <n v="5889.89"/>
    <n v="5889.89"/>
    <n v="5884.1819999999998"/>
    <n v="5884.1819999999998"/>
    <n v="1953008608.29"/>
    <n v="6635"/>
  </r>
  <r>
    <s v="DOLFUT"/>
    <x v="112"/>
    <x v="16"/>
    <n v="5887.2950000000001"/>
    <n v="5895.0789999999997"/>
    <n v="5882.625"/>
    <n v="5888.8519999999999"/>
    <n v="2539458198.0799999"/>
    <n v="8625"/>
  </r>
  <r>
    <s v="DOLFUT"/>
    <x v="112"/>
    <x v="17"/>
    <n v="5883.6629999999996"/>
    <n v="5894.0410000000002"/>
    <n v="5879.5110000000004"/>
    <n v="5887.2950000000001"/>
    <n v="3757777639.75"/>
    <n v="12770"/>
  </r>
  <r>
    <s v="DOLFUT"/>
    <x v="112"/>
    <x v="18"/>
    <n v="5885.2190000000001"/>
    <n v="5885.2190000000001"/>
    <n v="5872.7650000000003"/>
    <n v="5882.625"/>
    <n v="4418016781.9499998"/>
    <n v="15030"/>
  </r>
  <r>
    <s v="DOLFUT"/>
    <x v="112"/>
    <x v="0"/>
    <n v="5889.3710000000001"/>
    <n v="5889.89"/>
    <n v="5880.549"/>
    <n v="5885.7380000000003"/>
    <n v="2080448960.0899999"/>
    <n v="7070"/>
  </r>
  <r>
    <s v="DOLFUT"/>
    <x v="112"/>
    <x v="1"/>
    <n v="5891.9660000000003"/>
    <n v="5891.9660000000003"/>
    <n v="5884.1819999999998"/>
    <n v="5890.4089999999997"/>
    <n v="5323366675.6099997"/>
    <n v="18080"/>
  </r>
  <r>
    <s v="DOLFUT"/>
    <x v="112"/>
    <x v="2"/>
    <n v="5898.7120000000004"/>
    <n v="5901.8249999999998"/>
    <n v="5890.4089999999997"/>
    <n v="5890.9279999999999"/>
    <n v="1830755251.5799999"/>
    <n v="6210"/>
  </r>
  <r>
    <s v="DOLFUT"/>
    <x v="112"/>
    <x v="3"/>
    <n v="5894.56"/>
    <n v="5901.3059999999996"/>
    <n v="5893.5219999999999"/>
    <n v="5898.7120000000004"/>
    <n v="2270578367.8699999"/>
    <n v="7700"/>
  </r>
  <r>
    <s v="DOLFUT"/>
    <x v="112"/>
    <x v="4"/>
    <n v="5902.3440000000001"/>
    <n v="5907.5339999999997"/>
    <n v="5893.5219999999999"/>
    <n v="5894.56"/>
    <n v="3012596425.6700001"/>
    <n v="10210"/>
  </r>
  <r>
    <s v="DOLFUT"/>
    <x v="112"/>
    <x v="5"/>
    <n v="5891.9660000000003"/>
    <n v="5902.3440000000001"/>
    <n v="5889.89"/>
    <n v="5901.8249999999998"/>
    <n v="3587355881.3699999"/>
    <n v="12170"/>
  </r>
  <r>
    <s v="DOLFUT"/>
    <x v="112"/>
    <x v="6"/>
    <n v="5900.2690000000002"/>
    <n v="5909.09"/>
    <n v="5890.9279999999999"/>
    <n v="5892.4849999999997"/>
    <n v="6729967734.2600002"/>
    <n v="22820"/>
  </r>
  <r>
    <s v="DOLFUT"/>
    <x v="112"/>
    <x v="7"/>
    <n v="5941.2640000000001"/>
    <n v="5948.01"/>
    <n v="5898.1930000000002"/>
    <n v="5900.7870000000003"/>
    <n v="10564412150.6"/>
    <n v="35685"/>
  </r>
  <r>
    <s v="DOLFUT"/>
    <x v="112"/>
    <x v="8"/>
    <n v="5935.0370000000003"/>
    <n v="5951.1239999999998"/>
    <n v="5929.848"/>
    <n v="5941.7830000000004"/>
    <n v="4264505753.6700001"/>
    <n v="14360"/>
  </r>
  <r>
    <s v="DOLFUT"/>
    <x v="112"/>
    <x v="9"/>
    <n v="5959.9459999999999"/>
    <n v="5960.4650000000001"/>
    <n v="5934.518"/>
    <n v="5934.518"/>
    <n v="3947529264.2800002"/>
    <n v="13275"/>
  </r>
  <r>
    <s v="DOLFUT"/>
    <x v="112"/>
    <x v="10"/>
    <n v="5958.3890000000001"/>
    <n v="5961.5029999999997"/>
    <n v="5954.7569999999996"/>
    <n v="5959.9459999999999"/>
    <n v="1222854137.9400001"/>
    <n v="4105"/>
  </r>
  <r>
    <s v="DOLFUT"/>
    <x v="112"/>
    <x v="11"/>
    <n v="5936.5940000000001"/>
    <n v="5937.6319999999996"/>
    <n v="5926.7340000000004"/>
    <n v="5927.7719999999999"/>
    <n v="748864470.99000001"/>
    <n v="2525"/>
  </r>
  <r>
    <s v="DOLFUT"/>
    <x v="113"/>
    <x v="12"/>
    <n v="5925.6959999999999"/>
    <n v="5929.848"/>
    <n v="5924.6580000000004"/>
    <n v="5929.848"/>
    <n v="407456225.37"/>
    <n v="1375"/>
  </r>
  <r>
    <s v="DOLFUT"/>
    <x v="113"/>
    <x v="13"/>
    <n v="5927.2529999999997"/>
    <n v="5929.3289999999997"/>
    <n v="5924.6580000000004"/>
    <n v="5925.6959999999999"/>
    <n v="894891706.58000004"/>
    <n v="3020"/>
  </r>
  <r>
    <s v="DOLFUT"/>
    <x v="113"/>
    <x v="14"/>
    <n v="5925.6959999999999"/>
    <n v="5929.848"/>
    <n v="5923.1019999999999"/>
    <n v="5927.2529999999997"/>
    <n v="2189879611.3699999"/>
    <n v="7390"/>
  </r>
  <r>
    <s v="DOLFUT"/>
    <x v="113"/>
    <x v="15"/>
    <n v="5934.518"/>
    <n v="5938.1509999999998"/>
    <n v="5925.1769999999997"/>
    <n v="5925.6959999999999"/>
    <n v="2641675939.71"/>
    <n v="8905"/>
  </r>
  <r>
    <s v="DOLFUT"/>
    <x v="113"/>
    <x v="16"/>
    <n v="5934.518"/>
    <n v="5936.0749999999998"/>
    <n v="5931.9229999999998"/>
    <n v="5934.518"/>
    <n v="1763918104.4400001"/>
    <n v="5945"/>
  </r>
  <r>
    <s v="DOLFUT"/>
    <x v="113"/>
    <x v="17"/>
    <n v="5937.6319999999996"/>
    <n v="5940.2259999999997"/>
    <n v="5932.442"/>
    <n v="5934.518"/>
    <n v="1769046589.8399999"/>
    <n v="5960"/>
  </r>
  <r>
    <s v="DOLFUT"/>
    <x v="113"/>
    <x v="18"/>
    <n v="5952.1620000000003"/>
    <n v="5952.6809999999996"/>
    <n v="5936.5940000000001"/>
    <n v="5938.1509999999998"/>
    <n v="6063957667.5699997"/>
    <n v="20395"/>
  </r>
  <r>
    <s v="DOLFUT"/>
    <x v="113"/>
    <x v="0"/>
    <n v="5959.4269999999997"/>
    <n v="5959.4269999999997"/>
    <n v="5949.567"/>
    <n v="5951.1239999999998"/>
    <n v="3348482056.2600002"/>
    <n v="11250"/>
  </r>
  <r>
    <s v="DOLFUT"/>
    <x v="113"/>
    <x v="1"/>
    <n v="5953.7190000000001"/>
    <n v="5960.9840000000004"/>
    <n v="5950.6049999999996"/>
    <n v="5959.9459999999999"/>
    <n v="1445363280.23"/>
    <n v="4855"/>
  </r>
  <r>
    <s v="DOLFUT"/>
    <x v="113"/>
    <x v="2"/>
    <n v="5951.1239999999998"/>
    <n v="5956.3130000000001"/>
    <n v="5947.491"/>
    <n v="5954.2380000000003"/>
    <n v="3189057915.8400002"/>
    <n v="10715"/>
  </r>
  <r>
    <s v="DOLFUT"/>
    <x v="113"/>
    <x v="3"/>
    <n v="5959.9459999999999"/>
    <n v="5962.5410000000002"/>
    <n v="5951.1239999999998"/>
    <n v="5951.1239999999998"/>
    <n v="3486848543"/>
    <n v="11705"/>
  </r>
  <r>
    <s v="DOLFUT"/>
    <x v="113"/>
    <x v="4"/>
    <n v="5938.67"/>
    <n v="5959.9459999999999"/>
    <n v="5938.67"/>
    <n v="5959.9459999999999"/>
    <n v="4079132886.04"/>
    <n v="13710"/>
  </r>
  <r>
    <s v="DOLFUT"/>
    <x v="113"/>
    <x v="5"/>
    <n v="5940.7449999999999"/>
    <n v="5949.567"/>
    <n v="5937.6319999999996"/>
    <n v="5939.7070000000003"/>
    <n v="5254129852.3999996"/>
    <n v="17680"/>
  </r>
  <r>
    <s v="DOLFUT"/>
    <x v="113"/>
    <x v="6"/>
    <n v="5936.5940000000001"/>
    <n v="5941.2640000000001"/>
    <n v="5929.3289999999997"/>
    <n v="5941.2640000000001"/>
    <n v="4028600225.4899998"/>
    <n v="13575"/>
  </r>
  <r>
    <s v="DOLFUT"/>
    <x v="113"/>
    <x v="7"/>
    <n v="5937.1130000000003"/>
    <n v="5949.0479999999998"/>
    <n v="5933.48"/>
    <n v="5936.0749999999998"/>
    <n v="3556741816.4899998"/>
    <n v="11975"/>
  </r>
  <r>
    <s v="DOLFUT"/>
    <x v="113"/>
    <x v="8"/>
    <n v="5924.6580000000004"/>
    <n v="5941.7830000000004"/>
    <n v="5924.1390000000001"/>
    <n v="5938.1509999999998"/>
    <n v="3313443438.6300001"/>
    <n v="11170"/>
  </r>
  <r>
    <s v="DOLFUT"/>
    <x v="113"/>
    <x v="9"/>
    <n v="5929.3289999999997"/>
    <n v="5944.8969999999999"/>
    <n v="5917.9120000000003"/>
    <n v="5925.6959999999999"/>
    <n v="6476095058.0699997"/>
    <n v="21835"/>
  </r>
  <r>
    <s v="DOLFUT"/>
    <x v="113"/>
    <x v="10"/>
    <n v="5935.0370000000003"/>
    <n v="5945.9350000000004"/>
    <n v="5928.81"/>
    <n v="5929.848"/>
    <n v="3530644155.5"/>
    <n v="11895"/>
  </r>
  <r>
    <s v="DOLFUT"/>
    <x v="113"/>
    <x v="11"/>
    <n v="5954.7569999999996"/>
    <n v="5962.0219999999999"/>
    <n v="5929.3289999999997"/>
    <n v="5934.518"/>
    <n v="4251243641.6999998"/>
    <n v="14305"/>
  </r>
  <r>
    <s v="DOLFUT"/>
    <x v="114"/>
    <x v="12"/>
    <n v="5978.6270000000004"/>
    <n v="5990.0439999999999"/>
    <n v="5978.6270000000004"/>
    <n v="5986.93"/>
    <n v="2712131736.6100001"/>
    <n v="9065"/>
  </r>
  <r>
    <s v="DOLFUT"/>
    <x v="114"/>
    <x v="13"/>
    <n v="5977.0709999999999"/>
    <n v="5979.665"/>
    <n v="5975.5140000000001"/>
    <n v="5978.6270000000004"/>
    <n v="4626993318.4200001"/>
    <n v="15480"/>
  </r>
  <r>
    <s v="DOLFUT"/>
    <x v="114"/>
    <x v="14"/>
    <n v="5976.5519999999997"/>
    <n v="5978.1090000000004"/>
    <n v="5968.2489999999998"/>
    <n v="5977.0709999999999"/>
    <n v="4821474628.3199997"/>
    <n v="16140"/>
  </r>
  <r>
    <s v="DOLFUT"/>
    <x v="114"/>
    <x v="15"/>
    <n v="5972.9189999999999"/>
    <n v="5979.1459999999997"/>
    <n v="5969.2870000000003"/>
    <n v="5976.0330000000004"/>
    <n v="3614778897.3200002"/>
    <n v="12100"/>
  </r>
  <r>
    <s v="DOLFUT"/>
    <x v="114"/>
    <x v="16"/>
    <n v="5967.2110000000002"/>
    <n v="5976.0330000000004"/>
    <n v="5967.2110000000002"/>
    <n v="5972.9189999999999"/>
    <n v="3265685642.7199998"/>
    <n v="10935"/>
  </r>
  <r>
    <s v="DOLFUT"/>
    <x v="114"/>
    <x v="17"/>
    <n v="5965.6540000000005"/>
    <n v="5972.9189999999999"/>
    <n v="5964.0969999999998"/>
    <n v="5966.692"/>
    <n v="6169341808.8199997"/>
    <n v="20675"/>
  </r>
  <r>
    <s v="DOLFUT"/>
    <x v="114"/>
    <x v="18"/>
    <n v="5970.8429999999998"/>
    <n v="5973.4380000000001"/>
    <n v="5960.4650000000001"/>
    <n v="5965.6540000000005"/>
    <n v="6502035352.6199999"/>
    <n v="21795"/>
  </r>
  <r>
    <s v="DOLFUT"/>
    <x v="114"/>
    <x v="0"/>
    <n v="5965.1350000000002"/>
    <n v="5970.8429999999998"/>
    <n v="5963.0590000000002"/>
    <n v="5970.3249999999998"/>
    <n v="3423141340.4200001"/>
    <n v="11475"/>
  </r>
  <r>
    <s v="DOLFUT"/>
    <x v="114"/>
    <x v="1"/>
    <n v="5966.692"/>
    <n v="5967.73"/>
    <n v="5961.5029999999997"/>
    <n v="5965.1350000000002"/>
    <n v="3194031629.46"/>
    <n v="10710"/>
  </r>
  <r>
    <s v="DOLFUT"/>
    <x v="114"/>
    <x v="2"/>
    <n v="5977.0709999999999"/>
    <n v="5977.59"/>
    <n v="5965.6540000000005"/>
    <n v="5966.1729999999998"/>
    <n v="2402326771.9499998"/>
    <n v="8050"/>
  </r>
  <r>
    <s v="DOLFUT"/>
    <x v="114"/>
    <x v="3"/>
    <n v="5973.9570000000003"/>
    <n v="5978.1090000000004"/>
    <n v="5967.73"/>
    <n v="5976.5519999999997"/>
    <n v="2845956391.7399998"/>
    <n v="9530"/>
  </r>
  <r>
    <s v="DOLFUT"/>
    <x v="114"/>
    <x v="4"/>
    <n v="5970.8429999999998"/>
    <n v="5982.7790000000005"/>
    <n v="5969.8059999999996"/>
    <n v="5974.9949999999999"/>
    <n v="2965280241.7600002"/>
    <n v="9925"/>
  </r>
  <r>
    <s v="DOLFUT"/>
    <x v="114"/>
    <x v="5"/>
    <n v="5986.93"/>
    <n v="5989.0060000000003"/>
    <n v="5964.616"/>
    <n v="5970.8429999999998"/>
    <n v="5107655296.54"/>
    <n v="17095"/>
  </r>
  <r>
    <s v="DOLFUT"/>
    <x v="114"/>
    <x v="6"/>
    <n v="5976.5519999999997"/>
    <n v="5996.2709999999997"/>
    <n v="5970.3249999999998"/>
    <n v="5987.4489999999996"/>
    <n v="6404124365.9300003"/>
    <n v="21405"/>
  </r>
  <r>
    <s v="DOLFUT"/>
    <x v="114"/>
    <x v="7"/>
    <n v="5971.3620000000001"/>
    <n v="5976.0330000000004"/>
    <n v="5962.0219999999999"/>
    <n v="5976.0330000000004"/>
    <n v="6569465769.9499998"/>
    <n v="22005"/>
  </r>
  <r>
    <s v="DOLFUT"/>
    <x v="114"/>
    <x v="8"/>
    <n v="5946.973"/>
    <n v="5971.8810000000003"/>
    <n v="5945.9350000000004"/>
    <n v="5971.3620000000001"/>
    <n v="5298231116.4499998"/>
    <n v="17785"/>
  </r>
  <r>
    <s v="DOLFUT"/>
    <x v="114"/>
    <x v="9"/>
    <n v="5931.9229999999998"/>
    <n v="5946.973"/>
    <n v="5928.2910000000002"/>
    <n v="5945.9350000000004"/>
    <n v="4841810446.1499996"/>
    <n v="16305"/>
  </r>
  <r>
    <s v="DOLFUT"/>
    <x v="114"/>
    <x v="10"/>
    <n v="5932.442"/>
    <n v="5941.7830000000004"/>
    <n v="5914.28"/>
    <n v="5931.9229999999998"/>
    <n v="4431203259.4300003"/>
    <n v="14945"/>
  </r>
  <r>
    <s v="DOLFUT"/>
    <x v="114"/>
    <x v="11"/>
    <n v="5921.0259999999998"/>
    <n v="5945.9350000000004"/>
    <n v="5912.2039999999997"/>
    <n v="5932.9610000000002"/>
    <n v="5546589221.0799999"/>
    <n v="18695"/>
  </r>
  <r>
    <s v="DOLFUT"/>
    <x v="115"/>
    <x v="12"/>
    <n v="5922.067"/>
    <n v="5922.5889999999999"/>
    <n v="5917.8890000000001"/>
    <n v="5921.5450000000001"/>
    <n v="352271070.69"/>
    <n v="1190"/>
  </r>
  <r>
    <s v="DOLFUT"/>
    <x v="115"/>
    <x v="13"/>
    <n v="5923.634"/>
    <n v="5924.1559999999999"/>
    <n v="5919.4560000000001"/>
    <n v="5921.5450000000001"/>
    <n v="3766731702.9699998"/>
    <n v="12720"/>
  </r>
  <r>
    <s v="DOLFUT"/>
    <x v="115"/>
    <x v="14"/>
    <n v="5921.0230000000001"/>
    <n v="5930.4229999999998"/>
    <n v="5921.0230000000001"/>
    <n v="5923.1120000000001"/>
    <n v="1747821009.4300001"/>
    <n v="5900"/>
  </r>
  <r>
    <s v="DOLFUT"/>
    <x v="115"/>
    <x v="15"/>
    <n v="5916.3220000000001"/>
    <n v="5923.634"/>
    <n v="5913.7110000000002"/>
    <n v="5920.5"/>
    <n v="1988722722.9100001"/>
    <n v="6720"/>
  </r>
  <r>
    <s v="DOLFUT"/>
    <x v="115"/>
    <x v="16"/>
    <n v="5910.5770000000002"/>
    <n v="5917.3670000000002"/>
    <n v="5909.5320000000002"/>
    <n v="5916.3220000000001"/>
    <n v="4802106473.3900003"/>
    <n v="16245"/>
  </r>
  <r>
    <s v="DOLFUT"/>
    <x v="115"/>
    <x v="17"/>
    <n v="5910.5770000000002"/>
    <n v="5912.6660000000002"/>
    <n v="5907.4430000000002"/>
    <n v="5910.0550000000003"/>
    <n v="2768850866.3000002"/>
    <n v="9370"/>
  </r>
  <r>
    <s v="DOLFUT"/>
    <x v="115"/>
    <x v="18"/>
    <n v="5915.2780000000002"/>
    <n v="5915.8"/>
    <n v="5908.4880000000003"/>
    <n v="5911.0990000000002"/>
    <n v="2684300158.3299999"/>
    <n v="9080"/>
  </r>
  <r>
    <s v="DOLFUT"/>
    <x v="115"/>
    <x v="0"/>
    <n v="5912.6660000000002"/>
    <n v="5915.8"/>
    <n v="5904.8320000000003"/>
    <n v="5915.8"/>
    <n v="3219875761.0700002"/>
    <n v="10895"/>
  </r>
  <r>
    <s v="DOLFUT"/>
    <x v="115"/>
    <x v="1"/>
    <n v="5906.3990000000003"/>
    <n v="5913.1880000000001"/>
    <n v="5904.31"/>
    <n v="5912.1440000000002"/>
    <n v="6348929084.5299997"/>
    <n v="21485"/>
  </r>
  <r>
    <s v="DOLFUT"/>
    <x v="115"/>
    <x v="2"/>
    <n v="5903.7870000000003"/>
    <n v="5907.4430000000002"/>
    <n v="5903.2650000000003"/>
    <n v="5906.3990000000003"/>
    <n v="1694780931.49"/>
    <n v="5740"/>
  </r>
  <r>
    <s v="DOLFUT"/>
    <x v="115"/>
    <x v="3"/>
    <n v="5905.3540000000003"/>
    <n v="5907.9660000000003"/>
    <n v="5901.6980000000003"/>
    <n v="5904.31"/>
    <n v="4330231609.4300003"/>
    <n v="14665"/>
  </r>
  <r>
    <s v="DOLFUT"/>
    <x v="115"/>
    <x v="4"/>
    <n v="5904.31"/>
    <n v="5905.8770000000004"/>
    <n v="5898.0420000000004"/>
    <n v="5905.3540000000003"/>
    <n v="3600506451.0100002"/>
    <n v="12200"/>
  </r>
  <r>
    <s v="DOLFUT"/>
    <x v="115"/>
    <x v="5"/>
    <n v="5899.0870000000004"/>
    <n v="5907.9660000000003"/>
    <n v="5896.4759999999997"/>
    <n v="5904.8320000000003"/>
    <n v="7766062526.5699997"/>
    <n v="26315"/>
  </r>
  <r>
    <s v="DOLFUT"/>
    <x v="115"/>
    <x v="6"/>
    <n v="5916.8440000000001"/>
    <n v="5917.3670000000002"/>
    <n v="5897.52"/>
    <n v="5899.6090000000004"/>
    <n v="5538075811.4899998"/>
    <n v="18760"/>
  </r>
  <r>
    <s v="DOLFUT"/>
    <x v="115"/>
    <x v="7"/>
    <n v="5920.5"/>
    <n v="5921.0230000000001"/>
    <n v="5912.6660000000002"/>
    <n v="5916.8440000000001"/>
    <n v="3504227684.3299999"/>
    <n v="11845"/>
  </r>
  <r>
    <s v="DOLFUT"/>
    <x v="115"/>
    <x v="8"/>
    <n v="5927.8119999999999"/>
    <n v="5933.0349999999999"/>
    <n v="5915.2780000000002"/>
    <n v="5921.0230000000001"/>
    <n v="4969285659.1700001"/>
    <n v="16780"/>
  </r>
  <r>
    <s v="DOLFUT"/>
    <x v="115"/>
    <x v="9"/>
    <n v="5918.4110000000001"/>
    <n v="5928.3339999999998"/>
    <n v="5913.7110000000002"/>
    <n v="5928.3339999999998"/>
    <n v="9869015102.4500008"/>
    <n v="33350"/>
  </r>
  <r>
    <s v="DOLFUT"/>
    <x v="115"/>
    <x v="10"/>
    <n v="5937.2129999999997"/>
    <n v="5945.0469999999996"/>
    <n v="5918.4110000000001"/>
    <n v="5918.933"/>
    <n v="4208450846.7399998"/>
    <n v="14190"/>
  </r>
  <r>
    <s v="DOLFUT"/>
    <x v="115"/>
    <x v="11"/>
    <n v="5948.7030000000004"/>
    <n v="5959.6710000000003"/>
    <n v="5927.8119999999999"/>
    <n v="5937.2129999999997"/>
    <n v="3194982345.0700002"/>
    <n v="10755"/>
  </r>
  <r>
    <s v="DOLFUT"/>
    <x v="116"/>
    <x v="12"/>
    <n v="5945.5690000000004"/>
    <n v="5947.6589999999997"/>
    <n v="5942.9579999999996"/>
    <n v="5945.5690000000004"/>
    <n v="533589785.69"/>
    <n v="1795"/>
  </r>
  <r>
    <s v="DOLFUT"/>
    <x v="116"/>
    <x v="13"/>
    <n v="5946.6139999999996"/>
    <n v="5948.7030000000004"/>
    <n v="5942.9579999999996"/>
    <n v="5945.5690000000004"/>
    <n v="1092528802.1900001"/>
    <n v="3675"/>
  </r>
  <r>
    <s v="DOLFUT"/>
    <x v="116"/>
    <x v="14"/>
    <n v="5951.8370000000004"/>
    <n v="5954.97"/>
    <n v="5946.6139999999996"/>
    <n v="5946.6139999999996"/>
    <n v="831494071.41999996"/>
    <n v="2795"/>
  </r>
  <r>
    <s v="DOLFUT"/>
    <x v="116"/>
    <x v="15"/>
    <n v="5948.7030000000004"/>
    <n v="5954.4480000000003"/>
    <n v="5947.1360000000004"/>
    <n v="5951.8370000000004"/>
    <n v="1908598158.1500001"/>
    <n v="6415"/>
  </r>
  <r>
    <s v="DOLFUT"/>
    <x v="116"/>
    <x v="16"/>
    <n v="5945.0469999999996"/>
    <n v="5949.2250000000004"/>
    <n v="5939.3019999999997"/>
    <n v="5948.7030000000004"/>
    <n v="3499380457.54"/>
    <n v="11775"/>
  </r>
  <r>
    <s v="DOLFUT"/>
    <x v="116"/>
    <x v="17"/>
    <n v="5943.48"/>
    <n v="5951.3140000000003"/>
    <n v="5937.7349999999997"/>
    <n v="5945.0469999999996"/>
    <n v="4438146122.8599997"/>
    <n v="14930"/>
  </r>
  <r>
    <s v="DOLFUT"/>
    <x v="116"/>
    <x v="18"/>
    <n v="5951.3140000000003"/>
    <n v="5957.0590000000002"/>
    <n v="5942.9579999999996"/>
    <n v="5942.9579999999996"/>
    <n v="7685110810.0699997"/>
    <n v="25840"/>
  </r>
  <r>
    <s v="DOLFUT"/>
    <x v="116"/>
    <x v="0"/>
    <n v="5949.7479999999996"/>
    <n v="5951.8370000000004"/>
    <n v="5945.0469999999996"/>
    <n v="5951.8370000000004"/>
    <n v="3566580825.1199999"/>
    <n v="11990"/>
  </r>
  <r>
    <s v="DOLFUT"/>
    <x v="116"/>
    <x v="1"/>
    <n v="5963.8490000000002"/>
    <n v="5965.9380000000001"/>
    <n v="5945.5690000000004"/>
    <n v="5948.7030000000004"/>
    <n v="7107321873.3999996"/>
    <n v="23875"/>
  </r>
  <r>
    <s v="DOLFUT"/>
    <x v="116"/>
    <x v="2"/>
    <n v="5969.5940000000001"/>
    <n v="5971.1610000000001"/>
    <n v="5960.1930000000002"/>
    <n v="5963.8490000000002"/>
    <n v="2961938116.27"/>
    <n v="9930"/>
  </r>
  <r>
    <s v="DOLFUT"/>
    <x v="116"/>
    <x v="3"/>
    <n v="5967.5050000000001"/>
    <n v="5975.3389999999999"/>
    <n v="5964.3710000000001"/>
    <n v="5969.5940000000001"/>
    <n v="3492702790.2800002"/>
    <n v="11700"/>
  </r>
  <r>
    <s v="DOLFUT"/>
    <x v="116"/>
    <x v="4"/>
    <n v="5953.9260000000004"/>
    <n v="5968.027"/>
    <n v="5953.4040000000005"/>
    <n v="5967.5050000000001"/>
    <n v="2243849357.4400001"/>
    <n v="7530"/>
  </r>
  <r>
    <s v="DOLFUT"/>
    <x v="116"/>
    <x v="5"/>
    <n v="5953.9260000000004"/>
    <n v="5959.1490000000003"/>
    <n v="5950.27"/>
    <n v="5953.9260000000004"/>
    <n v="3619885957.2199998"/>
    <n v="12160"/>
  </r>
  <r>
    <s v="DOLFUT"/>
    <x v="116"/>
    <x v="6"/>
    <n v="5943.48"/>
    <n v="5956.0150000000003"/>
    <n v="5941.9129999999996"/>
    <n v="5953.9260000000004"/>
    <n v="4266164887.0100002"/>
    <n v="14340"/>
  </r>
  <r>
    <s v="DOLFUT"/>
    <x v="116"/>
    <x v="7"/>
    <n v="5937.2129999999997"/>
    <n v="5948.7030000000004"/>
    <n v="5936.6909999999998"/>
    <n v="5943.48"/>
    <n v="4411969870.8699999"/>
    <n v="14850"/>
  </r>
  <r>
    <s v="DOLFUT"/>
    <x v="116"/>
    <x v="8"/>
    <n v="5941.9129999999996"/>
    <n v="5942.9579999999996"/>
    <n v="5926.768"/>
    <n v="5937.7349999999997"/>
    <n v="8747077823.8700008"/>
    <n v="29475"/>
  </r>
  <r>
    <s v="DOLFUT"/>
    <x v="116"/>
    <x v="9"/>
    <n v="5922.067"/>
    <n v="5943.48"/>
    <n v="5919.9780000000001"/>
    <n v="5941.9129999999996"/>
    <n v="8375670887.8800001"/>
    <n v="28230"/>
  </r>
  <r>
    <s v="DOLFUT"/>
    <x v="116"/>
    <x v="10"/>
    <n v="5904.31"/>
    <n v="5922.5889999999999"/>
    <n v="5899.6090000000004"/>
    <n v="5922.067"/>
    <n v="3897244237.3200002"/>
    <n v="13185"/>
  </r>
  <r>
    <s v="DOLFUT"/>
    <x v="116"/>
    <x v="11"/>
    <n v="5907.9660000000003"/>
    <n v="5919.9780000000001"/>
    <n v="5898.0420000000004"/>
    <n v="5903.7870000000003"/>
    <n v="4538563129.1099997"/>
    <n v="15370"/>
  </r>
  <r>
    <s v="DOLFUT"/>
    <x v="117"/>
    <x v="12"/>
    <n v="5898.5649999999996"/>
    <n v="5899.0870000000004"/>
    <n v="5893.3419999999996"/>
    <n v="5894.9089999999997"/>
    <n v="755927393.53999996"/>
    <n v="2565"/>
  </r>
  <r>
    <s v="DOLFUT"/>
    <x v="117"/>
    <x v="13"/>
    <n v="5895.9530000000004"/>
    <n v="5899.0870000000004"/>
    <n v="5891.7749999999996"/>
    <n v="5898.0420000000004"/>
    <n v="1971879771.8900001"/>
    <n v="6690"/>
  </r>
  <r>
    <s v="DOLFUT"/>
    <x v="117"/>
    <x v="14"/>
    <n v="5902.2209999999995"/>
    <n v="5904.31"/>
    <n v="5895.9530000000004"/>
    <n v="5896.4759999999997"/>
    <n v="3467061738.77"/>
    <n v="11750"/>
  </r>
  <r>
    <s v="DOLFUT"/>
    <x v="117"/>
    <x v="15"/>
    <n v="5904.8320000000003"/>
    <n v="5906.9210000000003"/>
    <n v="5901.6980000000003"/>
    <n v="5902.2209999999995"/>
    <n v="1818619193.3599999"/>
    <n v="6160"/>
  </r>
  <r>
    <s v="DOLFUT"/>
    <x v="117"/>
    <x v="16"/>
    <n v="5900.6540000000005"/>
    <n v="5904.8320000000003"/>
    <n v="5899.0870000000004"/>
    <n v="5904.31"/>
    <n v="3357417975.4899998"/>
    <n v="11375"/>
  </r>
  <r>
    <s v="DOLFUT"/>
    <x v="117"/>
    <x v="17"/>
    <n v="5904.31"/>
    <n v="5906.3990000000003"/>
    <n v="5897.52"/>
    <n v="5900.6540000000005"/>
    <n v="4440972540.2200003"/>
    <n v="15055"/>
  </r>
  <r>
    <s v="DOLFUT"/>
    <x v="117"/>
    <x v="18"/>
    <n v="5910.5770000000002"/>
    <n v="5912.1440000000002"/>
    <n v="5903.2650000000003"/>
    <n v="5904.8320000000003"/>
    <n v="4729158217.1899996"/>
    <n v="16010"/>
  </r>
  <r>
    <s v="DOLFUT"/>
    <x v="117"/>
    <x v="0"/>
    <n v="5911.6220000000003"/>
    <n v="5912.1440000000002"/>
    <n v="5906.3990000000003"/>
    <n v="5910.0550000000003"/>
    <n v="1809592859.05"/>
    <n v="6125"/>
  </r>
  <r>
    <s v="DOLFUT"/>
    <x v="117"/>
    <x v="1"/>
    <n v="5918.933"/>
    <n v="5919.9780000000001"/>
    <n v="5909.5320000000002"/>
    <n v="5911.0990000000002"/>
    <n v="2307006408.7800002"/>
    <n v="7800"/>
  </r>
  <r>
    <s v="DOLFUT"/>
    <x v="117"/>
    <x v="2"/>
    <n v="5907.9660000000003"/>
    <n v="5920.5"/>
    <n v="5907.9660000000003"/>
    <n v="5918.933"/>
    <n v="2050867606.8599999"/>
    <n v="6935"/>
  </r>
  <r>
    <s v="DOLFUT"/>
    <x v="117"/>
    <x v="3"/>
    <n v="5909.01"/>
    <n v="5911.6220000000003"/>
    <n v="5905.3540000000003"/>
    <n v="5908.4880000000003"/>
    <n v="3336803813.0900002"/>
    <n v="11295"/>
  </r>
  <r>
    <s v="DOLFUT"/>
    <x v="117"/>
    <x v="4"/>
    <n v="5915.2780000000002"/>
    <n v="5915.2780000000002"/>
    <n v="5904.31"/>
    <n v="5909.01"/>
    <n v="3715258578.1700001"/>
    <n v="12575"/>
  </r>
  <r>
    <s v="DOLFUT"/>
    <x v="117"/>
    <x v="5"/>
    <n v="5910.5770000000002"/>
    <n v="5918.4110000000001"/>
    <n v="5907.9660000000003"/>
    <n v="5915.8"/>
    <n v="4753217561.3000002"/>
    <n v="16080"/>
  </r>
  <r>
    <s v="DOLFUT"/>
    <x v="117"/>
    <x v="6"/>
    <n v="5914.7550000000001"/>
    <n v="5926.2449999999999"/>
    <n v="5909.5320000000002"/>
    <n v="5910.5770000000002"/>
    <n v="4119999272.8200002"/>
    <n v="13930"/>
  </r>
  <r>
    <s v="DOLFUT"/>
    <x v="117"/>
    <x v="7"/>
    <n v="5914.7550000000001"/>
    <n v="5916.3220000000001"/>
    <n v="5905.8770000000004"/>
    <n v="5914.7550000000001"/>
    <n v="5452153872.6300001"/>
    <n v="18450"/>
  </r>
  <r>
    <s v="DOLFUT"/>
    <x v="117"/>
    <x v="8"/>
    <n v="5924.1559999999999"/>
    <n v="5929.3789999999999"/>
    <n v="5913.1880000000001"/>
    <n v="5915.8"/>
    <n v="11144226930.4"/>
    <n v="37660"/>
  </r>
  <r>
    <s v="DOLFUT"/>
    <x v="117"/>
    <x v="9"/>
    <n v="5912.6660000000002"/>
    <n v="5927.29"/>
    <n v="5905.8770000000004"/>
    <n v="5923.1120000000001"/>
    <n v="8586036534.9799995"/>
    <n v="29025"/>
  </r>
  <r>
    <s v="DOLFUT"/>
    <x v="117"/>
    <x v="10"/>
    <n v="5901.1760000000004"/>
    <n v="5918.4110000000001"/>
    <n v="5900.1319999999996"/>
    <n v="5912.1440000000002"/>
    <n v="4708318432.3400002"/>
    <n v="15930"/>
  </r>
  <r>
    <s v="DOLFUT"/>
    <x v="117"/>
    <x v="11"/>
    <n v="5919.4560000000001"/>
    <n v="5929.3789999999999"/>
    <n v="5900.6540000000005"/>
    <n v="5901.1760000000004"/>
    <n v="3366416759.8400002"/>
    <n v="11380"/>
  </r>
  <r>
    <s v="DOLFUT"/>
    <x v="118"/>
    <x v="12"/>
    <n v="5929.3789999999999"/>
    <n v="5929.9009999999998"/>
    <n v="5921.5450000000001"/>
    <n v="5921.5450000000001"/>
    <n v="254844475.90000001"/>
    <n v="860"/>
  </r>
  <r>
    <s v="DOLFUT"/>
    <x v="118"/>
    <x v="13"/>
    <n v="5931.99"/>
    <n v="5931.99"/>
    <n v="5925.723"/>
    <n v="5929.3789999999999"/>
    <n v="478723445.45999998"/>
    <n v="1615"/>
  </r>
  <r>
    <s v="DOLFUT"/>
    <x v="118"/>
    <x v="14"/>
    <n v="5935.1239999999998"/>
    <n v="5935.6459999999997"/>
    <n v="5929.9009999999998"/>
    <n v="5931.99"/>
    <n v="458310097.49000001"/>
    <n v="1545"/>
  </r>
  <r>
    <s v="DOLFUT"/>
    <x v="118"/>
    <x v="15"/>
    <n v="5933.5569999999998"/>
    <n v="5937.7349999999997"/>
    <n v="5933.0349999999999"/>
    <n v="5935.1239999999998"/>
    <n v="772998447.82000005"/>
    <n v="2605"/>
  </r>
  <r>
    <s v="DOLFUT"/>
    <x v="118"/>
    <x v="16"/>
    <n v="5932.5129999999999"/>
    <n v="5936.1679999999997"/>
    <n v="5930.4229999999998"/>
    <n v="5933.5569999999998"/>
    <n v="956730853"/>
    <n v="3225"/>
  </r>
  <r>
    <s v="DOLFUT"/>
    <x v="118"/>
    <x v="17"/>
    <n v="5934.6019999999999"/>
    <n v="5936.6909999999998"/>
    <n v="5930.4229999999998"/>
    <n v="5932.5129999999999"/>
    <n v="4035698864.7600002"/>
    <n v="13605"/>
  </r>
  <r>
    <s v="DOLFUT"/>
    <x v="118"/>
    <x v="18"/>
    <n v="5927.8119999999999"/>
    <n v="5938.78"/>
    <n v="5926.768"/>
    <n v="5934.6019999999999"/>
    <n v="2183968009.8400002"/>
    <n v="7360"/>
  </r>
  <r>
    <s v="DOLFUT"/>
    <x v="118"/>
    <x v="0"/>
    <n v="5924.1559999999999"/>
    <n v="5929.3789999999999"/>
    <n v="5924.1559999999999"/>
    <n v="5928.3339999999998"/>
    <n v="1998789819.1199999"/>
    <n v="6745"/>
  </r>
  <r>
    <s v="DOLFUT"/>
    <x v="118"/>
    <x v="1"/>
    <n v="5925.723"/>
    <n v="5928.3339999999998"/>
    <n v="5922.5889999999999"/>
    <n v="5924.6779999999999"/>
    <n v="758419947.13"/>
    <n v="2560"/>
  </r>
  <r>
    <s v="DOLFUT"/>
    <x v="118"/>
    <x v="2"/>
    <n v="5931.4679999999998"/>
    <n v="5932.5129999999999"/>
    <n v="5924.6779999999999"/>
    <n v="5926.2449999999999"/>
    <n v="1049032762.84"/>
    <n v="3540"/>
  </r>
  <r>
    <s v="DOLFUT"/>
    <x v="118"/>
    <x v="3"/>
    <n v="5934.0789999999997"/>
    <n v="5934.0789999999997"/>
    <n v="5927.8119999999999"/>
    <n v="5932.5129999999999"/>
    <n v="1066101989.16"/>
    <n v="3595"/>
  </r>
  <r>
    <s v="DOLFUT"/>
    <x v="118"/>
    <x v="4"/>
    <n v="5929.9009999999998"/>
    <n v="5935.1239999999998"/>
    <n v="5928.3339999999998"/>
    <n v="5934.6019999999999"/>
    <n v="1866806691.21"/>
    <n v="6295"/>
  </r>
  <r>
    <s v="DOLFUT"/>
    <x v="118"/>
    <x v="5"/>
    <n v="5924.6779999999999"/>
    <n v="5929.9009999999998"/>
    <n v="5919.9780000000001"/>
    <n v="5929.9009999999998"/>
    <n v="1466523737.3699999"/>
    <n v="4950"/>
  </r>
  <r>
    <s v="DOLFUT"/>
    <x v="118"/>
    <x v="6"/>
    <n v="5916.3220000000001"/>
    <n v="5930.4229999999998"/>
    <n v="5915.2780000000002"/>
    <n v="5924.6779999999999"/>
    <n v="1955116728.8199999"/>
    <n v="6600"/>
  </r>
  <r>
    <s v="DOLFUT"/>
    <x v="118"/>
    <x v="7"/>
    <n v="5915.2780000000002"/>
    <n v="5922.5889999999999"/>
    <n v="5911.0990000000002"/>
    <n v="5916.3220000000001"/>
    <n v="2577988112.6900001"/>
    <n v="8715"/>
  </r>
  <r>
    <s v="DOLFUT"/>
    <x v="118"/>
    <x v="8"/>
    <n v="5915.8"/>
    <n v="5920.5"/>
    <n v="5905.3540000000003"/>
    <n v="5915.8"/>
    <n v="1595124225.8900001"/>
    <n v="5395"/>
  </r>
  <r>
    <s v="DOLFUT"/>
    <x v="118"/>
    <x v="9"/>
    <n v="5917.3670000000002"/>
    <n v="5925.201"/>
    <n v="5908.4880000000003"/>
    <n v="5915.2780000000002"/>
    <n v="2601747410.2800002"/>
    <n v="8795"/>
  </r>
  <r>
    <s v="DOLFUT"/>
    <x v="118"/>
    <x v="10"/>
    <n v="5913.1880000000001"/>
    <n v="5920.5"/>
    <n v="5905.8770000000004"/>
    <n v="5918.933"/>
    <n v="2232109025.29"/>
    <n v="7550"/>
  </r>
  <r>
    <s v="DOLFUT"/>
    <x v="118"/>
    <x v="11"/>
    <n v="5901.6980000000003"/>
    <n v="5918.933"/>
    <n v="5893.3419999999996"/>
    <n v="5913.7110000000002"/>
    <n v="2851342899.9699998"/>
    <n v="9655"/>
  </r>
  <r>
    <s v="DOLFUT"/>
    <x v="119"/>
    <x v="12"/>
    <n v="5904.8320000000003"/>
    <n v="5915.2780000000002"/>
    <n v="5904.8320000000003"/>
    <n v="5909.5320000000002"/>
    <n v="727129586.25"/>
    <n v="2460"/>
  </r>
  <r>
    <s v="DOLFUT"/>
    <x v="119"/>
    <x v="13"/>
    <n v="5905.3540000000003"/>
    <n v="5909.01"/>
    <n v="5904.8320000000003"/>
    <n v="5905.3540000000003"/>
    <n v="751622679.08000004"/>
    <n v="2545"/>
  </r>
  <r>
    <s v="DOLFUT"/>
    <x v="119"/>
    <x v="14"/>
    <n v="5904.31"/>
    <n v="5907.4430000000002"/>
    <n v="5901.6980000000003"/>
    <n v="5904.8320000000003"/>
    <n v="2025265203.6500001"/>
    <n v="6860"/>
  </r>
  <r>
    <s v="DOLFUT"/>
    <x v="119"/>
    <x v="15"/>
    <n v="5912.1440000000002"/>
    <n v="5915.2780000000002"/>
    <n v="5904.31"/>
    <n v="5904.31"/>
    <n v="1446284045.5599999"/>
    <n v="4895"/>
  </r>
  <r>
    <s v="DOLFUT"/>
    <x v="119"/>
    <x v="16"/>
    <n v="5913.1880000000001"/>
    <n v="5913.7110000000002"/>
    <n v="5904.31"/>
    <n v="5912.6660000000002"/>
    <n v="2793771832.2600002"/>
    <n v="9455"/>
  </r>
  <r>
    <s v="DOLFUT"/>
    <x v="119"/>
    <x v="17"/>
    <n v="5921.5450000000001"/>
    <n v="5923.634"/>
    <n v="5911.6220000000003"/>
    <n v="5912.6660000000002"/>
    <n v="5325814178.5100002"/>
    <n v="18000"/>
  </r>
  <r>
    <s v="DOLFUT"/>
    <x v="119"/>
    <x v="18"/>
    <n v="5931.4679999999998"/>
    <n v="5932.5129999999999"/>
    <n v="5921.0230000000001"/>
    <n v="5922.067"/>
    <n v="3664992559.5999999"/>
    <n v="12370"/>
  </r>
  <r>
    <s v="DOLFUT"/>
    <x v="119"/>
    <x v="0"/>
    <n v="5926.768"/>
    <n v="5932.5129999999999"/>
    <n v="5925.723"/>
    <n v="5931.4679999999998"/>
    <n v="2670560691.1300001"/>
    <n v="9010"/>
  </r>
  <r>
    <s v="DOLFUT"/>
    <x v="119"/>
    <x v="1"/>
    <n v="5939.8239999999996"/>
    <n v="5941.3909999999996"/>
    <n v="5926.2449999999999"/>
    <n v="5926.768"/>
    <n v="2240818600.3000002"/>
    <n v="7555"/>
  </r>
  <r>
    <s v="DOLFUT"/>
    <x v="119"/>
    <x v="2"/>
    <n v="5931.99"/>
    <n v="5940.3469999999998"/>
    <n v="5930.9459999999999"/>
    <n v="5939.8239999999996"/>
    <n v="2894831758.0500002"/>
    <n v="9755"/>
  </r>
  <r>
    <s v="DOLFUT"/>
    <x v="119"/>
    <x v="3"/>
    <n v="5950.27"/>
    <n v="5950.7920000000004"/>
    <n v="5929.3789999999999"/>
    <n v="5931.99"/>
    <n v="4440763238.8400002"/>
    <n v="14965"/>
  </r>
  <r>
    <s v="DOLFUT"/>
    <x v="119"/>
    <x v="4"/>
    <n v="5936.6909999999998"/>
    <n v="5950.27"/>
    <n v="5932.5129999999999"/>
    <n v="5949.7479999999996"/>
    <n v="3323244791.6300001"/>
    <n v="11190"/>
  </r>
  <r>
    <s v="DOLFUT"/>
    <x v="119"/>
    <x v="5"/>
    <n v="5945.0469999999996"/>
    <n v="5948.1809999999996"/>
    <n v="5933.5569999999998"/>
    <n v="5937.2129999999997"/>
    <n v="3782916719.0799999"/>
    <n v="12735"/>
  </r>
  <r>
    <s v="DOLFUT"/>
    <x v="119"/>
    <x v="6"/>
    <n v="5952.3590000000004"/>
    <n v="5955.4930000000004"/>
    <n v="5941.3909999999996"/>
    <n v="5944.5249999999996"/>
    <n v="4250664311.2399998"/>
    <n v="14290"/>
  </r>
  <r>
    <s v="DOLFUT"/>
    <x v="119"/>
    <x v="7"/>
    <n v="5969.5940000000001"/>
    <n v="5971.683"/>
    <n v="5945.0469999999996"/>
    <n v="5952.3590000000004"/>
    <n v="9316547585.4799995"/>
    <n v="31290"/>
  </r>
  <r>
    <s v="DOLFUT"/>
    <x v="119"/>
    <x v="8"/>
    <n v="5988.9179999999997"/>
    <n v="5990.4849999999997"/>
    <n v="5967.5050000000001"/>
    <n v="5970.116"/>
    <n v="7665146748.4700003"/>
    <n v="25640"/>
  </r>
  <r>
    <s v="DOLFUT"/>
    <x v="119"/>
    <x v="9"/>
    <n v="5958.1040000000003"/>
    <n v="6009.2870000000003"/>
    <n v="5953.4040000000005"/>
    <n v="5988.3959999999997"/>
    <n v="9338210866.1700001"/>
    <n v="31175"/>
  </r>
  <r>
    <s v="DOLFUT"/>
    <x v="119"/>
    <x v="10"/>
    <n v="5948.1809999999996"/>
    <n v="5971.683"/>
    <n v="5948.1809999999996"/>
    <n v="5957.5820000000003"/>
    <n v="8843357765.6700001"/>
    <n v="29675"/>
  </r>
  <r>
    <s v="DOLFUT"/>
    <x v="119"/>
    <x v="11"/>
    <n v="5985.7849999999999"/>
    <n v="6004.5860000000002"/>
    <n v="5943.48"/>
    <n v="5947.1360000000004"/>
    <n v="11485338568.41"/>
    <n v="38430"/>
  </r>
  <r>
    <s v="DOLFUT"/>
    <x v="120"/>
    <x v="12"/>
    <n v="5981.0839999999998"/>
    <n v="6039.5789999999997"/>
    <n v="5981.0839999999998"/>
    <n v="6020.2550000000001"/>
    <n v="6969279712.0100002"/>
    <n v="23180"/>
  </r>
  <r>
    <s v="DOLFUT"/>
    <x v="120"/>
    <x v="13"/>
    <n v="5961.2380000000003"/>
    <n v="5981.6059999999998"/>
    <n v="5938.78"/>
    <n v="5980.04"/>
    <n v="6379480296.8599997"/>
    <n v="21405"/>
  </r>
  <r>
    <s v="DOLFUT"/>
    <x v="120"/>
    <x v="14"/>
    <n v="5922.5889999999999"/>
    <n v="5962.8040000000001"/>
    <n v="5918.4110000000001"/>
    <n v="5960.7150000000001"/>
    <n v="9560357582.7999992"/>
    <n v="32205"/>
  </r>
  <r>
    <s v="DOLFUT"/>
    <x v="120"/>
    <x v="15"/>
    <n v="5911.6220000000003"/>
    <n v="5926.768"/>
    <n v="5908.4880000000003"/>
    <n v="5922.5889999999999"/>
    <n v="4156591891.8800001"/>
    <n v="14045"/>
  </r>
  <r>
    <s v="DOLFUT"/>
    <x v="120"/>
    <x v="16"/>
    <n v="5916.3220000000001"/>
    <n v="5918.4110000000001"/>
    <n v="5890.2079999999996"/>
    <n v="5911.6220000000003"/>
    <n v="7927791650.5799999"/>
    <n v="26845"/>
  </r>
  <r>
    <s v="DOLFUT"/>
    <x v="120"/>
    <x v="17"/>
    <n v="5866.7060000000001"/>
    <n v="5917.8890000000001"/>
    <n v="5860.9610000000002"/>
    <n v="5916.8440000000001"/>
    <n v="11077277646.15"/>
    <n v="37600"/>
  </r>
  <r>
    <s v="DOLFUT"/>
    <x v="120"/>
    <x v="18"/>
    <n v="5862.5280000000002"/>
    <n v="5872.973"/>
    <n v="5862.0060000000003"/>
    <n v="5866.7060000000001"/>
    <n v="6850144137.54"/>
    <n v="23350"/>
  </r>
  <r>
    <s v="DOLFUT"/>
    <x v="120"/>
    <x v="0"/>
    <n v="5866.7060000000001"/>
    <n v="5869.317"/>
    <n v="5854.1710000000003"/>
    <n v="5862.0060000000003"/>
    <n v="5770987774.3599997"/>
    <n v="19690"/>
  </r>
  <r>
    <s v="DOLFUT"/>
    <x v="120"/>
    <x v="1"/>
    <n v="5889.6859999999997"/>
    <n v="5893.8639999999996"/>
    <n v="5857.8270000000002"/>
    <n v="5866.7060000000001"/>
    <n v="9606542159.1200008"/>
    <n v="32715"/>
  </r>
  <r>
    <s v="DOLFUT"/>
    <x v="120"/>
    <x v="2"/>
    <n v="5883.9409999999998"/>
    <n v="5890.2079999999996"/>
    <n v="5883.9409999999998"/>
    <n v="5889.6859999999997"/>
    <n v="1223135084.75"/>
    <n v="4155"/>
  </r>
  <r>
    <s v="DOLFUT"/>
    <x v="120"/>
    <x v="3"/>
    <n v="5881.8519999999999"/>
    <n v="5887.0749999999998"/>
    <n v="5877.674"/>
    <n v="5883.9409999999998"/>
    <n v="2150273229.1399999"/>
    <n v="7310"/>
  </r>
  <r>
    <s v="DOLFUT"/>
    <x v="120"/>
    <x v="4"/>
    <n v="5878.7179999999998"/>
    <n v="5883.9409999999998"/>
    <n v="5875.585"/>
    <n v="5881.8519999999999"/>
    <n v="6681719327.8100004"/>
    <n v="22730"/>
  </r>
  <r>
    <s v="DOLFUT"/>
    <x v="120"/>
    <x v="5"/>
    <n v="5898.5649999999996"/>
    <n v="5899.6090000000004"/>
    <n v="5875.585"/>
    <n v="5879.241"/>
    <n v="7112411304.8400002"/>
    <n v="24155"/>
  </r>
  <r>
    <s v="DOLFUT"/>
    <x v="120"/>
    <x v="6"/>
    <n v="5910.5770000000002"/>
    <n v="5912.6660000000002"/>
    <n v="5897.52"/>
    <n v="5897.52"/>
    <n v="3334450053.8699999"/>
    <n v="11290"/>
  </r>
  <r>
    <s v="DOLFUT"/>
    <x v="120"/>
    <x v="7"/>
    <n v="5906.3990000000003"/>
    <n v="5912.1440000000002"/>
    <n v="5896.4759999999997"/>
    <n v="5911.0990000000002"/>
    <n v="4809122443.7700005"/>
    <n v="16295"/>
  </r>
  <r>
    <s v="DOLFUT"/>
    <x v="120"/>
    <x v="8"/>
    <n v="5903.2650000000003"/>
    <n v="5913.7110000000002"/>
    <n v="5901.1760000000004"/>
    <n v="5905.3540000000003"/>
    <n v="3679606966.6399999"/>
    <n v="12460"/>
  </r>
  <r>
    <s v="DOLFUT"/>
    <x v="120"/>
    <x v="9"/>
    <n v="5919.9780000000001"/>
    <n v="5919.9780000000001"/>
    <n v="5900.6540000000005"/>
    <n v="5902.7430000000004"/>
    <n v="5468232997.6400003"/>
    <n v="18505"/>
  </r>
  <r>
    <s v="DOLFUT"/>
    <x v="120"/>
    <x v="10"/>
    <n v="5924.1559999999999"/>
    <n v="5944.0029999999997"/>
    <n v="5917.3670000000002"/>
    <n v="5920.5"/>
    <n v="4897544900.8999996"/>
    <n v="16515"/>
  </r>
  <r>
    <s v="DOLFUT"/>
    <x v="120"/>
    <x v="11"/>
    <n v="5913.7110000000002"/>
    <n v="5937.2129999999997"/>
    <n v="5911.6220000000003"/>
    <n v="5924.1559999999999"/>
    <n v="3908393485.6599998"/>
    <n v="13190"/>
  </r>
  <r>
    <s v="DOLFUT"/>
    <x v="121"/>
    <x v="12"/>
    <n v="5910.0550000000003"/>
    <n v="5911.6220000000003"/>
    <n v="5907.4430000000002"/>
    <n v="5909.5320000000002"/>
    <n v="880506501.35000002"/>
    <n v="2980"/>
  </r>
  <r>
    <s v="DOLFUT"/>
    <x v="121"/>
    <x v="13"/>
    <n v="5911.0990000000002"/>
    <n v="5912.6660000000002"/>
    <n v="5907.9660000000003"/>
    <n v="5909.5320000000002"/>
    <n v="883562980.5"/>
    <n v="2990"/>
  </r>
  <r>
    <s v="DOLFUT"/>
    <x v="121"/>
    <x v="14"/>
    <n v="5904.8320000000003"/>
    <n v="5912.6660000000002"/>
    <n v="5904.31"/>
    <n v="5912.1440000000002"/>
    <n v="2387643324.52"/>
    <n v="8080"/>
  </r>
  <r>
    <s v="DOLFUT"/>
    <x v="121"/>
    <x v="15"/>
    <n v="5914.7550000000001"/>
    <n v="5915.2780000000002"/>
    <n v="5904.8320000000003"/>
    <n v="5904.8320000000003"/>
    <n v="2269509994.23"/>
    <n v="7680"/>
  </r>
  <r>
    <s v="DOLFUT"/>
    <x v="121"/>
    <x v="16"/>
    <n v="5921.0230000000001"/>
    <n v="5924.1559999999999"/>
    <n v="5911.0990000000002"/>
    <n v="5914.7550000000001"/>
    <n v="5200393034.1300001"/>
    <n v="17575"/>
  </r>
  <r>
    <s v="DOLFUT"/>
    <x v="121"/>
    <x v="17"/>
    <n v="5919.9780000000001"/>
    <n v="5923.1120000000001"/>
    <n v="5917.3670000000002"/>
    <n v="5921.0230000000001"/>
    <n v="1235849458.28"/>
    <n v="4175"/>
  </r>
  <r>
    <s v="DOLFUT"/>
    <x v="121"/>
    <x v="18"/>
    <n v="5923.1120000000001"/>
    <n v="5926.2449999999999"/>
    <n v="5915.8"/>
    <n v="5919.4560000000001"/>
    <n v="2754592258.5599999"/>
    <n v="9305"/>
  </r>
  <r>
    <s v="DOLFUT"/>
    <x v="121"/>
    <x v="0"/>
    <n v="5928.3339999999998"/>
    <n v="5931.99"/>
    <n v="5915.8"/>
    <n v="5922.5889999999999"/>
    <n v="5545305522.5799999"/>
    <n v="18725"/>
  </r>
  <r>
    <s v="DOLFUT"/>
    <x v="121"/>
    <x v="1"/>
    <n v="5918.933"/>
    <n v="5930.4229999999998"/>
    <n v="5911.6220000000003"/>
    <n v="5928.3339999999998"/>
    <n v="5514800139.8100004"/>
    <n v="18625"/>
  </r>
  <r>
    <s v="DOLFUT"/>
    <x v="121"/>
    <x v="2"/>
    <n v="5921.5450000000001"/>
    <n v="5922.5889999999999"/>
    <n v="5917.3670000000002"/>
    <n v="5918.933"/>
    <n v="2517468415.46"/>
    <n v="8505"/>
  </r>
  <r>
    <s v="DOLFUT"/>
    <x v="121"/>
    <x v="3"/>
    <n v="5924.1559999999999"/>
    <n v="5924.6779999999999"/>
    <n v="5921.0230000000001"/>
    <n v="5922.067"/>
    <n v="2440255921.04"/>
    <n v="8240"/>
  </r>
  <r>
    <s v="DOLFUT"/>
    <x v="121"/>
    <x v="4"/>
    <n v="5922.067"/>
    <n v="5930.4229999999998"/>
    <n v="5921.5450000000001"/>
    <n v="5924.6779999999999"/>
    <n v="3025392994.46"/>
    <n v="10210"/>
  </r>
  <r>
    <s v="DOLFUT"/>
    <x v="121"/>
    <x v="5"/>
    <n v="5911.6220000000003"/>
    <n v="5924.1559999999999"/>
    <n v="5911.6220000000003"/>
    <n v="5922.5889999999999"/>
    <n v="2809965857.5999999"/>
    <n v="9495"/>
  </r>
  <r>
    <s v="DOLFUT"/>
    <x v="121"/>
    <x v="6"/>
    <n v="5925.723"/>
    <n v="5926.2449999999999"/>
    <n v="5909.5320000000002"/>
    <n v="5911.6220000000003"/>
    <n v="5300254601.7799997"/>
    <n v="17925"/>
  </r>
  <r>
    <s v="DOLFUT"/>
    <x v="121"/>
    <x v="7"/>
    <n v="5921.5450000000001"/>
    <n v="5927.8119999999999"/>
    <n v="5919.9780000000001"/>
    <n v="5925.201"/>
    <n v="2843608933.1500001"/>
    <n v="9600"/>
  </r>
  <r>
    <s v="DOLFUT"/>
    <x v="121"/>
    <x v="8"/>
    <n v="5929.9009999999998"/>
    <n v="5934.6019999999999"/>
    <n v="5920.5"/>
    <n v="5922.067"/>
    <n v="4878691977.6499996"/>
    <n v="16460"/>
  </r>
  <r>
    <s v="DOLFUT"/>
    <x v="121"/>
    <x v="9"/>
    <n v="5923.1120000000001"/>
    <n v="5931.4679999999998"/>
    <n v="5921.5450000000001"/>
    <n v="5929.3789999999999"/>
    <n v="2714747176.96"/>
    <n v="9160"/>
  </r>
  <r>
    <s v="DOLFUT"/>
    <x v="121"/>
    <x v="10"/>
    <n v="5921.0230000000001"/>
    <n v="5930.9459999999999"/>
    <n v="5915.2780000000002"/>
    <n v="5923.1120000000001"/>
    <n v="3400278668.2800002"/>
    <n v="11480"/>
  </r>
  <r>
    <s v="DOLFUT"/>
    <x v="121"/>
    <x v="11"/>
    <n v="5937.2129999999997"/>
    <n v="5944.5249999999996"/>
    <n v="5915.8"/>
    <n v="5919.9780000000001"/>
    <n v="7690174519.5"/>
    <n v="25935"/>
  </r>
  <r>
    <s v="DOLFUT"/>
    <x v="122"/>
    <x v="12"/>
    <n v="5936.1679999999997"/>
    <n v="5937.7349999999997"/>
    <n v="5928.857"/>
    <n v="5929.3789999999999"/>
    <n v="373825326.63"/>
    <n v="1260"/>
  </r>
  <r>
    <s v="DOLFUT"/>
    <x v="122"/>
    <x v="13"/>
    <n v="5936.6909999999998"/>
    <n v="5938.2579999999998"/>
    <n v="5934.0789999999997"/>
    <n v="5936.1679999999997"/>
    <n v="461574180.63"/>
    <n v="1555"/>
  </r>
  <r>
    <s v="DOLFUT"/>
    <x v="122"/>
    <x v="14"/>
    <n v="5936.1679999999997"/>
    <n v="5940.8689999999997"/>
    <n v="5933.5569999999998"/>
    <n v="5935.6459999999997"/>
    <n v="1214164633.78"/>
    <n v="4090"/>
  </r>
  <r>
    <s v="DOLFUT"/>
    <x v="122"/>
    <x v="15"/>
    <n v="5939.3019999999997"/>
    <n v="5939.8239999999996"/>
    <n v="5933.5569999999998"/>
    <n v="5935.6459999999997"/>
    <n v="3147905071.5900002"/>
    <n v="10605"/>
  </r>
  <r>
    <s v="DOLFUT"/>
    <x v="122"/>
    <x v="16"/>
    <n v="5948.7030000000004"/>
    <n v="5949.2250000000004"/>
    <n v="5938.2579999999998"/>
    <n v="5939.8239999999996"/>
    <n v="4768577123.0500002"/>
    <n v="16045"/>
  </r>
  <r>
    <s v="DOLFUT"/>
    <x v="122"/>
    <x v="17"/>
    <n v="5942.9579999999996"/>
    <n v="5951.8370000000004"/>
    <n v="5942.4359999999997"/>
    <n v="5948.7030000000004"/>
    <n v="3711296736.71"/>
    <n v="12480"/>
  </r>
  <r>
    <s v="DOLFUT"/>
    <x v="122"/>
    <x v="18"/>
    <n v="5936.6909999999998"/>
    <n v="5945.0469999999996"/>
    <n v="5936.1679999999997"/>
    <n v="5942.9579999999996"/>
    <n v="2938005815.3499999"/>
    <n v="9890"/>
  </r>
  <r>
    <s v="DOLFUT"/>
    <x v="122"/>
    <x v="0"/>
    <n v="5939.3019999999997"/>
    <n v="5941.9129999999996"/>
    <n v="5934.0789999999997"/>
    <n v="5937.2129999999997"/>
    <n v="5437276108.8299999"/>
    <n v="18315"/>
  </r>
  <r>
    <s v="DOLFUT"/>
    <x v="122"/>
    <x v="1"/>
    <n v="5934.6019999999999"/>
    <n v="5941.9129999999996"/>
    <n v="5934.0789999999997"/>
    <n v="5939.3019999999997"/>
    <n v="2400470770.4000001"/>
    <n v="8085"/>
  </r>
  <r>
    <s v="DOLFUT"/>
    <x v="122"/>
    <x v="2"/>
    <n v="5938.2579999999998"/>
    <n v="5940.8689999999997"/>
    <n v="5933.5569999999998"/>
    <n v="5935.1239999999998"/>
    <n v="2615148443.8000002"/>
    <n v="8810"/>
  </r>
  <r>
    <s v="DOLFUT"/>
    <x v="122"/>
    <x v="3"/>
    <n v="5938.2579999999998"/>
    <n v="5942.9579999999996"/>
    <n v="5932.5129999999999"/>
    <n v="5937.2129999999997"/>
    <n v="2033300783.8099999"/>
    <n v="6850"/>
  </r>
  <r>
    <s v="DOLFUT"/>
    <x v="122"/>
    <x v="4"/>
    <n v="5936.6909999999998"/>
    <n v="5938.78"/>
    <n v="5926.2449999999999"/>
    <n v="5937.2129999999997"/>
    <n v="3116139963.46"/>
    <n v="10505"/>
  </r>
  <r>
    <s v="DOLFUT"/>
    <x v="122"/>
    <x v="5"/>
    <n v="5935.6459999999997"/>
    <n v="5940.8689999999997"/>
    <n v="5930.9459999999999"/>
    <n v="5936.1679999999997"/>
    <n v="3556463721.1599998"/>
    <n v="11985"/>
  </r>
  <r>
    <s v="DOLFUT"/>
    <x v="122"/>
    <x v="6"/>
    <n v="5935.6459999999997"/>
    <n v="5944.0029999999997"/>
    <n v="5929.9009999999998"/>
    <n v="5936.1679999999997"/>
    <n v="5413342763.3599997"/>
    <n v="18235"/>
  </r>
  <r>
    <s v="DOLFUT"/>
    <x v="122"/>
    <x v="7"/>
    <n v="5931.4679999999998"/>
    <n v="5939.8239999999996"/>
    <n v="5924.1559999999999"/>
    <n v="5935.6459999999997"/>
    <n v="3235290814.4499998"/>
    <n v="10910"/>
  </r>
  <r>
    <s v="DOLFUT"/>
    <x v="122"/>
    <x v="8"/>
    <n v="5931.4679999999998"/>
    <n v="5937.7349999999997"/>
    <n v="5926.768"/>
    <n v="5930.9459999999999"/>
    <n v="4468728541.0699997"/>
    <n v="15065"/>
  </r>
  <r>
    <s v="DOLFUT"/>
    <x v="122"/>
    <x v="9"/>
    <n v="5918.933"/>
    <n v="5933.0349999999999"/>
    <n v="5909.5320000000002"/>
    <n v="5930.9459999999999"/>
    <n v="5388053202.3900003"/>
    <n v="18200"/>
  </r>
  <r>
    <s v="DOLFUT"/>
    <x v="122"/>
    <x v="10"/>
    <n v="5926.768"/>
    <n v="5930.9459999999999"/>
    <n v="5910.0550000000003"/>
    <n v="5919.9780000000001"/>
    <n v="6394110372.1199999"/>
    <n v="21605"/>
  </r>
  <r>
    <s v="DOLFUT"/>
    <x v="122"/>
    <x v="11"/>
    <n v="5913.7110000000002"/>
    <n v="5932.5129999999999"/>
    <n v="5909.01"/>
    <n v="5927.8119999999999"/>
    <n v="3051289568.6199999"/>
    <n v="10310"/>
  </r>
  <r>
    <s v="DOLFUT"/>
    <x v="123"/>
    <x v="12"/>
    <n v="5921.0230000000001"/>
    <n v="5921.0230000000001"/>
    <n v="5916.3220000000001"/>
    <n v="5917.3670000000002"/>
    <n v="350728011.58999997"/>
    <n v="1185"/>
  </r>
  <r>
    <s v="DOLFUT"/>
    <x v="123"/>
    <x v="13"/>
    <n v="5918.4110000000001"/>
    <n v="5922.067"/>
    <n v="5917.8890000000001"/>
    <n v="5922.067"/>
    <n v="1018147556.16"/>
    <n v="3440"/>
  </r>
  <r>
    <s v="DOLFUT"/>
    <x v="123"/>
    <x v="14"/>
    <n v="5924.6779999999999"/>
    <n v="5925.201"/>
    <n v="5916.8440000000001"/>
    <n v="5917.3670000000002"/>
    <n v="1141180601.8"/>
    <n v="3855"/>
  </r>
  <r>
    <s v="DOLFUT"/>
    <x v="123"/>
    <x v="15"/>
    <n v="5919.4560000000001"/>
    <n v="5925.723"/>
    <n v="5919.4560000000001"/>
    <n v="5924.1559999999999"/>
    <n v="2218458214.1300001"/>
    <n v="7490"/>
  </r>
  <r>
    <s v="DOLFUT"/>
    <x v="123"/>
    <x v="16"/>
    <n v="5914.2330000000002"/>
    <n v="5919.4560000000001"/>
    <n v="5910.0550000000003"/>
    <n v="5918.933"/>
    <n v="2995289240.5500002"/>
    <n v="10130"/>
  </r>
  <r>
    <s v="DOLFUT"/>
    <x v="123"/>
    <x v="17"/>
    <n v="5918.933"/>
    <n v="5919.4560000000001"/>
    <n v="5912.6660000000002"/>
    <n v="5914.2330000000002"/>
    <n v="2394997989.6999998"/>
    <n v="8095"/>
  </r>
  <r>
    <s v="DOLFUT"/>
    <x v="123"/>
    <x v="18"/>
    <n v="5916.3220000000001"/>
    <n v="5918.933"/>
    <n v="5915.8"/>
    <n v="5918.4110000000001"/>
    <n v="1587276533.8699999"/>
    <n v="5365"/>
  </r>
  <r>
    <s v="DOLFUT"/>
    <x v="123"/>
    <x v="0"/>
    <n v="5917.3670000000002"/>
    <n v="5920.5"/>
    <n v="5915.8"/>
    <n v="5916.3220000000001"/>
    <n v="1481067637.3900001"/>
    <n v="5005"/>
  </r>
  <r>
    <s v="DOLFUT"/>
    <x v="123"/>
    <x v="1"/>
    <n v="5915.8"/>
    <n v="5921.0230000000001"/>
    <n v="5910.0550000000003"/>
    <n v="5917.3670000000002"/>
    <n v="1563141982.27"/>
    <n v="5285"/>
  </r>
  <r>
    <s v="DOLFUT"/>
    <x v="123"/>
    <x v="2"/>
    <n v="5906.3990000000003"/>
    <n v="5916.8440000000001"/>
    <n v="5906.3990000000003"/>
    <n v="5915.8"/>
    <n v="1046423742.11"/>
    <n v="3540"/>
  </r>
  <r>
    <s v="DOLFUT"/>
    <x v="123"/>
    <x v="3"/>
    <n v="5912.6660000000002"/>
    <n v="5914.2330000000002"/>
    <n v="5906.3990000000003"/>
    <n v="5906.3990000000003"/>
    <n v="9902716542.1499996"/>
    <n v="33510"/>
  </r>
  <r>
    <s v="DOLFUT"/>
    <x v="123"/>
    <x v="4"/>
    <n v="5907.9660000000003"/>
    <n v="5915.8"/>
    <n v="5905.8770000000004"/>
    <n v="5913.1880000000001"/>
    <n v="1578306605.1700001"/>
    <n v="5340"/>
  </r>
  <r>
    <s v="DOLFUT"/>
    <x v="123"/>
    <x v="5"/>
    <n v="5922.5889999999999"/>
    <n v="5922.5889999999999"/>
    <n v="5902.2209999999995"/>
    <n v="5907.9660000000003"/>
    <n v="4279716204.9299998"/>
    <n v="14480"/>
  </r>
  <r>
    <s v="DOLFUT"/>
    <x v="123"/>
    <x v="6"/>
    <n v="5937.2129999999997"/>
    <n v="5937.7349999999997"/>
    <n v="5919.4560000000001"/>
    <n v="5923.1120000000001"/>
    <n v="2886204963.4899998"/>
    <n v="9740"/>
  </r>
  <r>
    <s v="DOLFUT"/>
    <x v="123"/>
    <x v="7"/>
    <n v="5932.5129999999999"/>
    <n v="5938.2579999999998"/>
    <n v="5928.857"/>
    <n v="5936.6909999999998"/>
    <n v="5310767720.1499996"/>
    <n v="17900"/>
  </r>
  <r>
    <s v="DOLFUT"/>
    <x v="123"/>
    <x v="8"/>
    <n v="5941.9129999999996"/>
    <n v="5951.3140000000003"/>
    <n v="5929.3789999999999"/>
    <n v="5932.5129999999999"/>
    <n v="3523321767.6900001"/>
    <n v="11870"/>
  </r>
  <r>
    <s v="DOLFUT"/>
    <x v="123"/>
    <x v="9"/>
    <n v="5952.8810000000003"/>
    <n v="5958.1040000000003"/>
    <n v="5941.3909999999996"/>
    <n v="5941.9129999999996"/>
    <n v="3405730296.8699999"/>
    <n v="11445"/>
  </r>
  <r>
    <s v="DOLFUT"/>
    <x v="123"/>
    <x v="10"/>
    <n v="5954.97"/>
    <n v="5962.8040000000001"/>
    <n v="5948.7030000000004"/>
    <n v="5952.3590000000004"/>
    <n v="3734129781.02"/>
    <n v="12540"/>
  </r>
  <r>
    <s v="DOLFUT"/>
    <x v="123"/>
    <x v="11"/>
    <n v="5934.0789999999997"/>
    <n v="5958.1040000000003"/>
    <n v="5925.201"/>
    <n v="5956.0150000000003"/>
    <n v="3087753185.9499998"/>
    <n v="10395"/>
  </r>
  <r>
    <s v="DOLFUT"/>
    <x v="124"/>
    <x v="12"/>
    <n v="5936.1679999999997"/>
    <n v="5941.9129999999996"/>
    <n v="5934.6019999999999"/>
    <n v="5941.9129999999996"/>
    <n v="417110889.48000002"/>
    <n v="1405"/>
  </r>
  <r>
    <s v="DOLFUT"/>
    <x v="124"/>
    <x v="13"/>
    <n v="5938.2579999999998"/>
    <n v="5939.3019999999997"/>
    <n v="5934.0789999999997"/>
    <n v="5936.1679999999997"/>
    <n v="960213769.02999997"/>
    <n v="3235"/>
  </r>
  <r>
    <s v="DOLFUT"/>
    <x v="124"/>
    <x v="14"/>
    <n v="5941.3909999999996"/>
    <n v="5944.5249999999996"/>
    <n v="5936.1679999999997"/>
    <n v="5937.7349999999997"/>
    <n v="2391818514.98"/>
    <n v="8055"/>
  </r>
  <r>
    <s v="DOLFUT"/>
    <x v="124"/>
    <x v="15"/>
    <n v="5939.8239999999996"/>
    <n v="5942.4359999999997"/>
    <n v="5938.2579999999998"/>
    <n v="5941.3909999999996"/>
    <n v="1859549691.29"/>
    <n v="6260"/>
  </r>
  <r>
    <s v="DOLFUT"/>
    <x v="124"/>
    <x v="16"/>
    <n v="5941.9129999999996"/>
    <n v="5941.9129999999996"/>
    <n v="5933.5569999999998"/>
    <n v="5938.78"/>
    <n v="1711534965.3299999"/>
    <n v="5765"/>
  </r>
  <r>
    <s v="DOLFUT"/>
    <x v="124"/>
    <x v="17"/>
    <n v="5941.9129999999996"/>
    <n v="5944.0029999999997"/>
    <n v="5933.0349999999999"/>
    <n v="5942.9579999999996"/>
    <n v="4367650074.5500002"/>
    <n v="14705"/>
  </r>
  <r>
    <s v="DOLFUT"/>
    <x v="124"/>
    <x v="18"/>
    <n v="5950.27"/>
    <n v="5950.7920000000004"/>
    <n v="5936.6909999999998"/>
    <n v="5941.9129999999996"/>
    <n v="2112895501.4000001"/>
    <n v="7110"/>
  </r>
  <r>
    <s v="DOLFUT"/>
    <x v="124"/>
    <x v="0"/>
    <n v="5948.7030000000004"/>
    <n v="5951.8370000000004"/>
    <n v="5944.0029999999997"/>
    <n v="5950.7920000000004"/>
    <n v="2065638043.3099999"/>
    <n v="6945"/>
  </r>
  <r>
    <s v="DOLFUT"/>
    <x v="124"/>
    <x v="1"/>
    <n v="5947.6589999999997"/>
    <n v="5952.3590000000004"/>
    <n v="5945.0469999999996"/>
    <n v="5949.2250000000004"/>
    <n v="2875142673.8099999"/>
    <n v="9665"/>
  </r>
  <r>
    <s v="DOLFUT"/>
    <x v="124"/>
    <x v="2"/>
    <n v="5948.7030000000004"/>
    <n v="5948.7030000000004"/>
    <n v="5940.3469999999998"/>
    <n v="5947.6589999999997"/>
    <n v="2564733315.9499998"/>
    <n v="8630"/>
  </r>
  <r>
    <s v="DOLFUT"/>
    <x v="124"/>
    <x v="3"/>
    <n v="5951.3140000000003"/>
    <n v="5952.8810000000003"/>
    <n v="5941.3909999999996"/>
    <n v="5948.1809999999996"/>
    <n v="2974883073.8499999"/>
    <n v="10005"/>
  </r>
  <r>
    <s v="DOLFUT"/>
    <x v="124"/>
    <x v="4"/>
    <n v="5953.9260000000004"/>
    <n v="5959.6710000000003"/>
    <n v="5950.7920000000004"/>
    <n v="5950.7920000000004"/>
    <n v="1868413337.1900001"/>
    <n v="6275"/>
  </r>
  <r>
    <s v="DOLFUT"/>
    <x v="124"/>
    <x v="5"/>
    <n v="5971.683"/>
    <n v="5973.7719999999999"/>
    <n v="5952.8810000000003"/>
    <n v="5954.4480000000003"/>
    <n v="3882973878.4099998"/>
    <n v="13020"/>
  </r>
  <r>
    <s v="DOLFUT"/>
    <x v="124"/>
    <x v="6"/>
    <n v="5969.5940000000001"/>
    <n v="5976.9059999999999"/>
    <n v="5966.46"/>
    <n v="5971.683"/>
    <n v="2695314007.0799999"/>
    <n v="9025"/>
  </r>
  <r>
    <s v="DOLFUT"/>
    <x v="124"/>
    <x v="7"/>
    <n v="5964.3710000000001"/>
    <n v="5972.7280000000001"/>
    <n v="5959.1490000000003"/>
    <n v="5969.0720000000001"/>
    <n v="5277155458.7700005"/>
    <n v="17690"/>
  </r>
  <r>
    <s v="DOLFUT"/>
    <x v="124"/>
    <x v="8"/>
    <n v="5976.9059999999999"/>
    <n v="5980.04"/>
    <n v="5963.3270000000002"/>
    <n v="5964.3710000000001"/>
    <n v="2904408830.4899998"/>
    <n v="9725"/>
  </r>
  <r>
    <s v="DOLFUT"/>
    <x v="124"/>
    <x v="9"/>
    <n v="5970.116"/>
    <n v="5989.44"/>
    <n v="5970.116"/>
    <n v="5977.4279999999999"/>
    <n v="5388654992.8299999"/>
    <n v="18025"/>
  </r>
  <r>
    <s v="DOLFUT"/>
    <x v="124"/>
    <x v="10"/>
    <n v="5973.25"/>
    <n v="5977.4279999999999"/>
    <n v="5963.3270000000002"/>
    <n v="5970.116"/>
    <n v="4968783100.8299999"/>
    <n v="16650"/>
  </r>
  <r>
    <s v="DOLFUT"/>
    <x v="124"/>
    <x v="11"/>
    <n v="5947.1360000000004"/>
    <n v="5982.6509999999998"/>
    <n v="5941.9129999999996"/>
    <n v="5974.2939999999999"/>
    <n v="6618014410.8500004"/>
    <n v="22185"/>
  </r>
  <r>
    <s v="DOLFUT"/>
    <x v="125"/>
    <x v="12"/>
    <n v="5957.0590000000002"/>
    <n v="5962.2820000000002"/>
    <n v="5954.4480000000003"/>
    <n v="5957.5820000000003"/>
    <n v="1101124521.4200001"/>
    <n v="3695"/>
  </r>
  <r>
    <s v="DOLFUT"/>
    <x v="125"/>
    <x v="13"/>
    <n v="5953.4040000000005"/>
    <n v="5960.1930000000002"/>
    <n v="5952.3590000000004"/>
    <n v="5957.5820000000003"/>
    <n v="957406284.10000002"/>
    <n v="3215"/>
  </r>
  <r>
    <s v="DOLFUT"/>
    <x v="125"/>
    <x v="14"/>
    <n v="5954.97"/>
    <n v="5956.5370000000003"/>
    <n v="5947.6589999999997"/>
    <n v="5952.8810000000003"/>
    <n v="1581860289.3499999"/>
    <n v="5315"/>
  </r>
  <r>
    <s v="DOLFUT"/>
    <x v="125"/>
    <x v="15"/>
    <n v="5959.1490000000003"/>
    <n v="5960.7150000000001"/>
    <n v="5953.9260000000004"/>
    <n v="5954.97"/>
    <n v="2308553515.5100002"/>
    <n v="7750"/>
  </r>
  <r>
    <s v="DOLFUT"/>
    <x v="125"/>
    <x v="16"/>
    <n v="5957.5820000000003"/>
    <n v="5967.5050000000001"/>
    <n v="5956.5370000000003"/>
    <n v="5960.1930000000002"/>
    <n v="2537893253.46"/>
    <n v="8515"/>
  </r>
  <r>
    <s v="DOLFUT"/>
    <x v="125"/>
    <x v="17"/>
    <n v="5964.8940000000002"/>
    <n v="5973.7719999999999"/>
    <n v="5956.5370000000003"/>
    <n v="5956.5370000000003"/>
    <n v="6484022094.1199999"/>
    <n v="21745"/>
  </r>
  <r>
    <s v="DOLFUT"/>
    <x v="125"/>
    <x v="18"/>
    <n v="5953.9260000000004"/>
    <n v="5970.116"/>
    <n v="5933.0349999999999"/>
    <n v="5964.8940000000002"/>
    <n v="8005979230.9200001"/>
    <n v="26895"/>
  </r>
  <r>
    <s v="DOLFUT"/>
    <x v="125"/>
    <x v="0"/>
    <n v="5935.6459999999997"/>
    <n v="5966.46"/>
    <n v="5926.2449999999999"/>
    <n v="5953.9260000000004"/>
    <n v="6890876954.6999998"/>
    <n v="23170"/>
  </r>
  <r>
    <s v="DOLFUT"/>
    <x v="125"/>
    <x v="1"/>
    <n v="5907.9660000000003"/>
    <n v="5943.48"/>
    <n v="5907.9660000000003"/>
    <n v="5936.1679999999997"/>
    <n v="4991678295.7700005"/>
    <n v="16845"/>
  </r>
  <r>
    <s v="DOLFUT"/>
    <x v="125"/>
    <x v="2"/>
    <n v="5910.0550000000003"/>
    <n v="5914.7550000000001"/>
    <n v="5906.3990000000003"/>
    <n v="5907.4430000000002"/>
    <n v="3433905814.4699998"/>
    <n v="11620"/>
  </r>
  <r>
    <s v="DOLFUT"/>
    <x v="125"/>
    <x v="3"/>
    <n v="5910.5770000000002"/>
    <n v="5913.7110000000002"/>
    <n v="5906.9210000000003"/>
    <n v="5909.5320000000002"/>
    <n v="1988701179.0999999"/>
    <n v="6730"/>
  </r>
  <r>
    <s v="DOLFUT"/>
    <x v="125"/>
    <x v="4"/>
    <n v="5923.634"/>
    <n v="5923.634"/>
    <n v="5909.5320000000002"/>
    <n v="5909.5320000000002"/>
    <n v="2385825288.0500002"/>
    <n v="8065"/>
  </r>
  <r>
    <s v="DOLFUT"/>
    <x v="125"/>
    <x v="5"/>
    <n v="5917.8890000000001"/>
    <n v="5926.768"/>
    <n v="5913.7110000000002"/>
    <n v="5923.1120000000001"/>
    <n v="4043220004.8400002"/>
    <n v="13660"/>
  </r>
  <r>
    <s v="DOLFUT"/>
    <x v="125"/>
    <x v="6"/>
    <n v="5899.0870000000004"/>
    <n v="5920.5"/>
    <n v="5899.0870000000004"/>
    <n v="5918.4110000000001"/>
    <n v="3373431946.8000002"/>
    <n v="11410"/>
  </r>
  <r>
    <s v="DOLFUT"/>
    <x v="125"/>
    <x v="7"/>
    <n v="5901.6980000000003"/>
    <n v="5904.8320000000003"/>
    <n v="5892.82"/>
    <n v="5899.6090000000004"/>
    <n v="3896706164.3400002"/>
    <n v="13210"/>
  </r>
  <r>
    <s v="DOLFUT"/>
    <x v="125"/>
    <x v="8"/>
    <n v="5891.2529999999997"/>
    <n v="5901.6980000000003"/>
    <n v="5888.6419999999998"/>
    <n v="5901.6980000000003"/>
    <n v="3466436054.29"/>
    <n v="11760"/>
  </r>
  <r>
    <s v="DOLFUT"/>
    <x v="125"/>
    <x v="9"/>
    <n v="5893.8639999999996"/>
    <n v="5902.2209999999995"/>
    <n v="5887.0749999999998"/>
    <n v="5890.7309999999998"/>
    <n v="4662676890.6099997"/>
    <n v="15820"/>
  </r>
  <r>
    <s v="DOLFUT"/>
    <x v="125"/>
    <x v="10"/>
    <n v="5893.8639999999996"/>
    <n v="5899.6090000000004"/>
    <n v="5886.03"/>
    <n v="5893.3419999999996"/>
    <n v="3014819292.29"/>
    <n v="10235"/>
  </r>
  <r>
    <s v="DOLFUT"/>
    <x v="125"/>
    <x v="11"/>
    <n v="5903.2650000000003"/>
    <n v="5912.1440000000002"/>
    <n v="5890.2079999999996"/>
    <n v="5894.3869999999997"/>
    <n v="4100922293.9400001"/>
    <n v="13900"/>
  </r>
  <r>
    <s v="DOLFUT"/>
    <x v="126"/>
    <x v="12"/>
    <n v="5911.6220000000003"/>
    <n v="5917.3670000000002"/>
    <n v="5910.0550000000003"/>
    <n v="5915.2780000000002"/>
    <n v="245459730.91999999"/>
    <n v="830"/>
  </r>
  <r>
    <s v="DOLFUT"/>
    <x v="126"/>
    <x v="13"/>
    <n v="5909.5320000000002"/>
    <n v="5913.1880000000001"/>
    <n v="5909.01"/>
    <n v="5913.1880000000001"/>
    <n v="1047721854.62"/>
    <n v="3545"/>
  </r>
  <r>
    <s v="DOLFUT"/>
    <x v="126"/>
    <x v="14"/>
    <n v="5906.3990000000003"/>
    <n v="5911.0990000000002"/>
    <n v="5905.8770000000004"/>
    <n v="5909.01"/>
    <n v="1316060851.1199999"/>
    <n v="4455"/>
  </r>
  <r>
    <s v="DOLFUT"/>
    <x v="126"/>
    <x v="15"/>
    <n v="5901.6980000000003"/>
    <n v="5906.9210000000003"/>
    <n v="5899.0870000000004"/>
    <n v="5906.3990000000003"/>
    <n v="3206746701.8400002"/>
    <n v="10865"/>
  </r>
  <r>
    <s v="DOLFUT"/>
    <x v="126"/>
    <x v="16"/>
    <n v="5895.4309999999996"/>
    <n v="5903.2650000000003"/>
    <n v="5894.9089999999997"/>
    <n v="5901.1760000000004"/>
    <n v="3116774787.7399998"/>
    <n v="10565"/>
  </r>
  <r>
    <s v="DOLFUT"/>
    <x v="126"/>
    <x v="17"/>
    <n v="5897.52"/>
    <n v="5898.0420000000004"/>
    <n v="5889.6859999999997"/>
    <n v="5895.4309999999996"/>
    <n v="2064154915.1800001"/>
    <n v="7005"/>
  </r>
  <r>
    <s v="DOLFUT"/>
    <x v="126"/>
    <x v="18"/>
    <n v="5890.2079999999996"/>
    <n v="5909.5320000000002"/>
    <n v="5890.2079999999996"/>
    <n v="5897.52"/>
    <n v="5071435048.9200001"/>
    <n v="17190"/>
  </r>
  <r>
    <s v="DOLFUT"/>
    <x v="126"/>
    <x v="0"/>
    <n v="5892.2969999999996"/>
    <n v="5894.9089999999997"/>
    <n v="5888.6419999999998"/>
    <n v="5890.2079999999996"/>
    <n v="1400569385.45"/>
    <n v="4755"/>
  </r>
  <r>
    <s v="DOLFUT"/>
    <x v="126"/>
    <x v="1"/>
    <n v="5884.9859999999999"/>
    <n v="5898.0420000000004"/>
    <n v="5883.9409999999998"/>
    <n v="5892.82"/>
    <n v="2416716892.5900002"/>
    <n v="8205"/>
  </r>
  <r>
    <s v="DOLFUT"/>
    <x v="126"/>
    <x v="2"/>
    <n v="5889.6859999999997"/>
    <n v="5889.6859999999997"/>
    <n v="5881.8519999999999"/>
    <n v="5883.9409999999998"/>
    <n v="1547793518.8599999"/>
    <n v="5260"/>
  </r>
  <r>
    <s v="DOLFUT"/>
    <x v="126"/>
    <x v="3"/>
    <n v="5886.5519999999997"/>
    <n v="5890.2079999999996"/>
    <n v="5883.9409999999998"/>
    <n v="5888.1189999999997"/>
    <n v="3380815206.5"/>
    <n v="11485"/>
  </r>
  <r>
    <s v="DOLFUT"/>
    <x v="126"/>
    <x v="4"/>
    <n v="5883.4189999999999"/>
    <n v="5893.8639999999996"/>
    <n v="5876.6289999999999"/>
    <n v="5887.0749999999998"/>
    <n v="3160602732.3400002"/>
    <n v="10740"/>
  </r>
  <r>
    <s v="DOLFUT"/>
    <x v="126"/>
    <x v="5"/>
    <n v="5887.0749999999998"/>
    <n v="5894.9089999999997"/>
    <n v="5881.33"/>
    <n v="5882.8969999999999"/>
    <n v="4603769323.2399998"/>
    <n v="15635"/>
  </r>
  <r>
    <s v="DOLFUT"/>
    <x v="126"/>
    <x v="6"/>
    <n v="5879.7629999999999"/>
    <n v="5890.2079999999996"/>
    <n v="5879.7629999999999"/>
    <n v="5886.5519999999997"/>
    <n v="3366566391.3899999"/>
    <n v="11440"/>
  </r>
  <r>
    <s v="DOLFUT"/>
    <x v="126"/>
    <x v="7"/>
    <n v="5875.585"/>
    <n v="5882.3739999999998"/>
    <n v="5867.7510000000002"/>
    <n v="5877.674"/>
    <n v="4216948770.1399999"/>
    <n v="14355"/>
  </r>
  <r>
    <s v="DOLFUT"/>
    <x v="126"/>
    <x v="8"/>
    <n v="5874.54"/>
    <n v="5883.9409999999998"/>
    <n v="5867.7510000000002"/>
    <n v="5874.018"/>
    <n v="5563487323.4899998"/>
    <n v="18940"/>
  </r>
  <r>
    <s v="DOLFUT"/>
    <x v="126"/>
    <x v="9"/>
    <n v="5868.7950000000001"/>
    <n v="5885.5079999999998"/>
    <n v="5867.7510000000002"/>
    <n v="5874.54"/>
    <n v="5820746403.5500002"/>
    <n v="19810"/>
  </r>
  <r>
    <s v="DOLFUT"/>
    <x v="126"/>
    <x v="10"/>
    <n v="5866.7060000000001"/>
    <n v="5870.884"/>
    <n v="5854.1710000000003"/>
    <n v="5868.2730000000001"/>
    <n v="5939421201.6099997"/>
    <n v="20260"/>
  </r>
  <r>
    <s v="DOLFUT"/>
    <x v="126"/>
    <x v="11"/>
    <n v="5877.674"/>
    <n v="5890.2079999999996"/>
    <n v="5865.6610000000001"/>
    <n v="5867.2280000000001"/>
    <n v="5021716112.5699997"/>
    <n v="17080"/>
  </r>
  <r>
    <s v="DOLFUT"/>
    <x v="127"/>
    <x v="12"/>
    <n v="5884.4629999999997"/>
    <n v="5890.2079999999996"/>
    <n v="5882.8969999999999"/>
    <n v="5890.2079999999996"/>
    <n v="618092183.29999995"/>
    <n v="2100"/>
  </r>
  <r>
    <s v="DOLFUT"/>
    <x v="127"/>
    <x v="13"/>
    <n v="5881.33"/>
    <n v="5884.9859999999999"/>
    <n v="5878.7179999999998"/>
    <n v="5883.9409999999998"/>
    <n v="1501357859.22"/>
    <n v="5105"/>
  </r>
  <r>
    <s v="DOLFUT"/>
    <x v="127"/>
    <x v="14"/>
    <n v="5882.8969999999999"/>
    <n v="5884.4629999999997"/>
    <n v="5878.7179999999998"/>
    <n v="5881.8519999999999"/>
    <n v="1413153582.1300001"/>
    <n v="4805"/>
  </r>
  <r>
    <s v="DOLFUT"/>
    <x v="127"/>
    <x v="15"/>
    <n v="5875.585"/>
    <n v="5882.8969999999999"/>
    <n v="5875.585"/>
    <n v="5882.8969999999999"/>
    <n v="1319743406.45"/>
    <n v="4490"/>
  </r>
  <r>
    <s v="DOLFUT"/>
    <x v="127"/>
    <x v="16"/>
    <n v="5870.884"/>
    <n v="5878.1959999999999"/>
    <n v="5869.317"/>
    <n v="5875.585"/>
    <n v="4420103377.4499998"/>
    <n v="15045"/>
  </r>
  <r>
    <s v="DOLFUT"/>
    <x v="127"/>
    <x v="17"/>
    <n v="5874.54"/>
    <n v="5877.674"/>
    <n v="5869.317"/>
    <n v="5870.884"/>
    <n v="4540465773.9899998"/>
    <n v="15460"/>
  </r>
  <r>
    <s v="DOLFUT"/>
    <x v="127"/>
    <x v="18"/>
    <n v="5886.03"/>
    <n v="5889.1639999999998"/>
    <n v="5872.451"/>
    <n v="5874.018"/>
    <n v="5175560201.9399996"/>
    <n v="17600"/>
  </r>
  <r>
    <s v="DOLFUT"/>
    <x v="127"/>
    <x v="0"/>
    <n v="5883.4189999999999"/>
    <n v="5888.1189999999997"/>
    <n v="5881.33"/>
    <n v="5886.5519999999997"/>
    <n v="2399522059.3299999"/>
    <n v="8155"/>
  </r>
  <r>
    <s v="DOLFUT"/>
    <x v="127"/>
    <x v="1"/>
    <n v="5884.9859999999999"/>
    <n v="5892.82"/>
    <n v="5883.4189999999999"/>
    <n v="5883.9409999999998"/>
    <n v="2791158894.48"/>
    <n v="9480"/>
  </r>
  <r>
    <s v="DOLFUT"/>
    <x v="127"/>
    <x v="2"/>
    <n v="5888.6419999999998"/>
    <n v="5890.2079999999996"/>
    <n v="5880.2849999999999"/>
    <n v="5886.03"/>
    <n v="3003889137.98"/>
    <n v="10210"/>
  </r>
  <r>
    <s v="DOLFUT"/>
    <x v="127"/>
    <x v="3"/>
    <n v="5878.7179999999998"/>
    <n v="5890.2079999999996"/>
    <n v="5875.585"/>
    <n v="5888.6419999999998"/>
    <n v="3270528915.3899999"/>
    <n v="11120"/>
  </r>
  <r>
    <s v="DOLFUT"/>
    <x v="127"/>
    <x v="4"/>
    <n v="5887.0749999999998"/>
    <n v="5887.5969999999998"/>
    <n v="5875.0619999999999"/>
    <n v="5878.1959999999999"/>
    <n v="3521514568.4099998"/>
    <n v="11980"/>
  </r>
  <r>
    <s v="DOLFUT"/>
    <x v="127"/>
    <x v="5"/>
    <n v="5904.8320000000003"/>
    <n v="5906.3990000000003"/>
    <n v="5882.3739999999998"/>
    <n v="5886.03"/>
    <n v="5272188239.4899998"/>
    <n v="17890"/>
  </r>
  <r>
    <s v="DOLFUT"/>
    <x v="127"/>
    <x v="6"/>
    <n v="5901.1760000000004"/>
    <n v="5907.9660000000003"/>
    <n v="5899.0870000000004"/>
    <n v="5906.3990000000003"/>
    <n v="3398774126.9000001"/>
    <n v="11515"/>
  </r>
  <r>
    <s v="DOLFUT"/>
    <x v="127"/>
    <x v="7"/>
    <n v="5910.5770000000002"/>
    <n v="5917.3670000000002"/>
    <n v="5900.1319999999996"/>
    <n v="5901.6980000000003"/>
    <n v="6631215282.7799997"/>
    <n v="22435"/>
  </r>
  <r>
    <s v="DOLFUT"/>
    <x v="127"/>
    <x v="8"/>
    <n v="5911.0990000000002"/>
    <n v="5914.7550000000001"/>
    <n v="5898.5649999999996"/>
    <n v="5910.5770000000002"/>
    <n v="6083838633.5100002"/>
    <n v="20600"/>
  </r>
  <r>
    <s v="DOLFUT"/>
    <x v="127"/>
    <x v="9"/>
    <n v="5915.8"/>
    <n v="5919.9780000000001"/>
    <n v="5907.9660000000003"/>
    <n v="5911.6220000000003"/>
    <n v="8996219587.8500004"/>
    <n v="30420"/>
  </r>
  <r>
    <s v="DOLFUT"/>
    <x v="127"/>
    <x v="10"/>
    <n v="5928.857"/>
    <n v="5931.4679999999998"/>
    <n v="5915.2780000000002"/>
    <n v="5916.3220000000001"/>
    <n v="7094075563.6099997"/>
    <n v="23955"/>
  </r>
  <r>
    <s v="DOLFUT"/>
    <x v="127"/>
    <x v="11"/>
    <n v="5943.48"/>
    <n v="5952.8810000000003"/>
    <n v="5927.29"/>
    <n v="5934.0789999999997"/>
    <n v="4143372609.7800002"/>
    <n v="13955"/>
  </r>
  <r>
    <s v="DOLFUT"/>
    <x v="128"/>
    <x v="12"/>
    <n v="5956.0150000000003"/>
    <n v="5956.5370000000003"/>
    <n v="5949.2250000000004"/>
    <n v="5951.8370000000004"/>
    <n v="503120962.11000001"/>
    <n v="1690"/>
  </r>
  <r>
    <s v="DOLFUT"/>
    <x v="128"/>
    <x v="13"/>
    <n v="5959.6710000000003"/>
    <n v="5962.2820000000002"/>
    <n v="5955.4930000000004"/>
    <n v="5956.0150000000003"/>
    <n v="1090613622.72"/>
    <n v="3660"/>
  </r>
  <r>
    <s v="DOLFUT"/>
    <x v="128"/>
    <x v="14"/>
    <n v="5963.3270000000002"/>
    <n v="5965.9380000000001"/>
    <n v="5959.6710000000003"/>
    <n v="5960.7150000000001"/>
    <n v="1989998377.6199999"/>
    <n v="6675"/>
  </r>
  <r>
    <s v="DOLFUT"/>
    <x v="128"/>
    <x v="15"/>
    <n v="5966.46"/>
    <n v="5968.027"/>
    <n v="5958.6260000000002"/>
    <n v="5963.8490000000002"/>
    <n v="3031708072.8699999"/>
    <n v="10170"/>
  </r>
  <r>
    <s v="DOLFUT"/>
    <x v="128"/>
    <x v="16"/>
    <n v="5973.7719999999999"/>
    <n v="5975.3389999999999"/>
    <n v="5965.9380000000001"/>
    <n v="5966.46"/>
    <n v="1959242172.6700001"/>
    <n v="6565"/>
  </r>
  <r>
    <s v="DOLFUT"/>
    <x v="128"/>
    <x v="17"/>
    <n v="5983.1729999999998"/>
    <n v="5985.7849999999999"/>
    <n v="5971.683"/>
    <n v="5974.2939999999999"/>
    <n v="3811465662.7199998"/>
    <n v="12750"/>
  </r>
  <r>
    <s v="DOLFUT"/>
    <x v="128"/>
    <x v="18"/>
    <n v="5981.6059999999998"/>
    <n v="5988.3959999999997"/>
    <n v="5981.0839999999998"/>
    <n v="5982.6509999999998"/>
    <n v="2098893852.5599999"/>
    <n v="7015"/>
  </r>
  <r>
    <s v="DOLFUT"/>
    <x v="128"/>
    <x v="0"/>
    <n v="5977.4279999999999"/>
    <n v="5983.6949999999997"/>
    <n v="5977.4279999999999"/>
    <n v="5982.1289999999999"/>
    <n v="3356022850.5500002"/>
    <n v="11225"/>
  </r>
  <r>
    <s v="DOLFUT"/>
    <x v="128"/>
    <x v="1"/>
    <n v="5973.25"/>
    <n v="5977.4279999999999"/>
    <n v="5971.683"/>
    <n v="5976.9059999999999"/>
    <n v="1743064919.5"/>
    <n v="5835"/>
  </r>
  <r>
    <s v="DOLFUT"/>
    <x v="128"/>
    <x v="2"/>
    <n v="5969.0720000000001"/>
    <n v="5974.2939999999999"/>
    <n v="5962.2820000000002"/>
    <n v="5973.7719999999999"/>
    <n v="3391046819.0799999"/>
    <n v="11365"/>
  </r>
  <r>
    <s v="DOLFUT"/>
    <x v="128"/>
    <x v="3"/>
    <n v="5965.4160000000002"/>
    <n v="5971.1610000000001"/>
    <n v="5964.8940000000002"/>
    <n v="5969.0720000000001"/>
    <n v="1177341169.53"/>
    <n v="3945"/>
  </r>
  <r>
    <s v="DOLFUT"/>
    <x v="128"/>
    <x v="4"/>
    <n v="5971.683"/>
    <n v="5972.7280000000001"/>
    <n v="5964.3710000000001"/>
    <n v="5966.46"/>
    <n v="2179942450.9299998"/>
    <n v="7305"/>
  </r>
  <r>
    <s v="DOLFUT"/>
    <x v="128"/>
    <x v="5"/>
    <n v="5963.8490000000002"/>
    <n v="5973.25"/>
    <n v="5961.76"/>
    <n v="5973.25"/>
    <n v="4755954278.0699997"/>
    <n v="15940"/>
  </r>
  <r>
    <s v="DOLFUT"/>
    <x v="128"/>
    <x v="6"/>
    <n v="5977.4279999999999"/>
    <n v="5977.95"/>
    <n v="5962.8040000000001"/>
    <n v="5963.8490000000002"/>
    <n v="4746278495.8100004"/>
    <n v="15900"/>
  </r>
  <r>
    <s v="DOLFUT"/>
    <x v="128"/>
    <x v="7"/>
    <n v="5957.5820000000003"/>
    <n v="5977.4279999999999"/>
    <n v="5953.9260000000004"/>
    <n v="5976.9059999999999"/>
    <n v="4320830412.8199997"/>
    <n v="14485"/>
  </r>
  <r>
    <s v="DOLFUT"/>
    <x v="128"/>
    <x v="8"/>
    <n v="5954.97"/>
    <n v="5964.3710000000001"/>
    <n v="5940.3469999999998"/>
    <n v="5957.5820000000003"/>
    <n v="3979172998.2800002"/>
    <n v="13370"/>
  </r>
  <r>
    <s v="DOLFUT"/>
    <x v="128"/>
    <x v="9"/>
    <n v="5957.0590000000002"/>
    <n v="5959.6710000000003"/>
    <n v="5946.6139999999996"/>
    <n v="5954.4480000000003"/>
    <n v="3009216595.8800001"/>
    <n v="10110"/>
  </r>
  <r>
    <s v="DOLFUT"/>
    <x v="128"/>
    <x v="10"/>
    <n v="5974.2939999999999"/>
    <n v="5976.384"/>
    <n v="5954.97"/>
    <n v="5957.0590000000002"/>
    <n v="4764799644.3800001"/>
    <n v="15980"/>
  </r>
  <r>
    <s v="DOLFUT"/>
    <x v="128"/>
    <x v="11"/>
    <n v="5953.9260000000004"/>
    <n v="5980.04"/>
    <n v="5942.9579999999996"/>
    <n v="5974.817"/>
    <n v="4788723458.3400002"/>
    <n v="16065"/>
  </r>
  <r>
    <s v="DOLFUT"/>
    <x v="129"/>
    <x v="12"/>
    <n v="5937.2129999999997"/>
    <n v="5937.2129999999997"/>
    <n v="5927.29"/>
    <n v="5927.29"/>
    <n v="959870112.61000001"/>
    <n v="3235"/>
  </r>
  <r>
    <s v="DOLFUT"/>
    <x v="129"/>
    <x v="13"/>
    <n v="5935.6459999999997"/>
    <n v="5938.2579999999998"/>
    <n v="5934.0789999999997"/>
    <n v="5938.2579999999998"/>
    <n v="592001714.85000002"/>
    <n v="1995"/>
  </r>
  <r>
    <s v="DOLFUT"/>
    <x v="129"/>
    <x v="14"/>
    <n v="5936.6909999999998"/>
    <n v="5939.3019999999997"/>
    <n v="5934.0789999999997"/>
    <n v="5935.6459999999997"/>
    <n v="869753920.26999998"/>
    <n v="2930"/>
  </r>
  <r>
    <s v="DOLFUT"/>
    <x v="129"/>
    <x v="15"/>
    <n v="5937.2129999999997"/>
    <n v="5937.2129999999997"/>
    <n v="5931.4679999999998"/>
    <n v="5937.2129999999997"/>
    <n v="3539425047.8800001"/>
    <n v="11930"/>
  </r>
  <r>
    <s v="DOLFUT"/>
    <x v="129"/>
    <x v="16"/>
    <n v="5932.5129999999999"/>
    <n v="5938.78"/>
    <n v="5931.99"/>
    <n v="5936.6909999999998"/>
    <n v="3068891775.75"/>
    <n v="10340"/>
  </r>
  <r>
    <s v="DOLFUT"/>
    <x v="129"/>
    <x v="17"/>
    <n v="5925.201"/>
    <n v="5936.1679999999997"/>
    <n v="5923.1120000000001"/>
    <n v="5932.5129999999999"/>
    <n v="3711149847.0999999"/>
    <n v="12520"/>
  </r>
  <r>
    <s v="DOLFUT"/>
    <x v="129"/>
    <x v="18"/>
    <n v="5933.5569999999998"/>
    <n v="5934.0789999999997"/>
    <n v="5925.201"/>
    <n v="5925.723"/>
    <n v="3929618839.4299998"/>
    <n v="13250"/>
  </r>
  <r>
    <s v="DOLFUT"/>
    <x v="129"/>
    <x v="0"/>
    <n v="5933.0349999999999"/>
    <n v="5938.78"/>
    <n v="5928.857"/>
    <n v="5933.5569999999998"/>
    <n v="1372221386.8"/>
    <n v="4625"/>
  </r>
  <r>
    <s v="DOLFUT"/>
    <x v="129"/>
    <x v="1"/>
    <n v="5930.4229999999998"/>
    <n v="5937.2129999999997"/>
    <n v="5929.3789999999999"/>
    <n v="5933.0349999999999"/>
    <n v="3342324904.1599998"/>
    <n v="11270"/>
  </r>
  <r>
    <s v="DOLFUT"/>
    <x v="129"/>
    <x v="2"/>
    <n v="5927.29"/>
    <n v="5935.1239999999998"/>
    <n v="5927.29"/>
    <n v="5930.4229999999998"/>
    <n v="1973589175.3199999"/>
    <n v="6655"/>
  </r>
  <r>
    <s v="DOLFUT"/>
    <x v="129"/>
    <x v="3"/>
    <n v="5926.2449999999999"/>
    <n v="5931.99"/>
    <n v="5924.6779999999999"/>
    <n v="5927.29"/>
    <n v="2043939900.8299999"/>
    <n v="6895"/>
  </r>
  <r>
    <s v="DOLFUT"/>
    <x v="129"/>
    <x v="4"/>
    <n v="5922.067"/>
    <n v="5928.857"/>
    <n v="5921.5450000000001"/>
    <n v="5926.2449999999999"/>
    <n v="2128972145.6099999"/>
    <n v="7185"/>
  </r>
  <r>
    <s v="DOLFUT"/>
    <x v="129"/>
    <x v="5"/>
    <n v="5928.3339999999998"/>
    <n v="5939.3019999999997"/>
    <n v="5918.933"/>
    <n v="5922.5889999999999"/>
    <n v="8129812400.6099997"/>
    <n v="27425"/>
  </r>
  <r>
    <s v="DOLFUT"/>
    <x v="129"/>
    <x v="6"/>
    <n v="5934.0789999999997"/>
    <n v="5939.3019999999997"/>
    <n v="5927.29"/>
    <n v="5928.3339999999998"/>
    <n v="3659950002.27"/>
    <n v="12335"/>
  </r>
  <r>
    <s v="DOLFUT"/>
    <x v="129"/>
    <x v="7"/>
    <n v="5937.7349999999997"/>
    <n v="5942.9579999999996"/>
    <n v="5929.9009999999998"/>
    <n v="5934.0789999999997"/>
    <n v="4084145932.8800001"/>
    <n v="13760"/>
  </r>
  <r>
    <s v="DOLFUT"/>
    <x v="129"/>
    <x v="8"/>
    <n v="5947.6589999999997"/>
    <n v="5950.7920000000004"/>
    <n v="5934.6019999999999"/>
    <n v="5938.2579999999998"/>
    <n v="2958463295.4899998"/>
    <n v="9960"/>
  </r>
  <r>
    <s v="DOLFUT"/>
    <x v="129"/>
    <x v="9"/>
    <n v="5938.78"/>
    <n v="5951.3140000000003"/>
    <n v="5935.1239999999998"/>
    <n v="5948.1809999999996"/>
    <n v="3245700391.96"/>
    <n v="10920"/>
  </r>
  <r>
    <s v="DOLFUT"/>
    <x v="129"/>
    <x v="10"/>
    <n v="5945.5690000000004"/>
    <n v="5951.3140000000003"/>
    <n v="5927.8119999999999"/>
    <n v="5939.3019999999997"/>
    <n v="6447841679.96"/>
    <n v="21715"/>
  </r>
  <r>
    <s v="DOLFUT"/>
    <x v="129"/>
    <x v="11"/>
    <n v="5953.9260000000004"/>
    <n v="5953.9260000000004"/>
    <n v="5932.5129999999999"/>
    <n v="5946.0919999999996"/>
    <n v="4429365387.9899998"/>
    <n v="14905"/>
  </r>
  <r>
    <s v="DOLFUT"/>
    <x v="130"/>
    <x v="12"/>
    <n v="5948.1809999999996"/>
    <n v="5949.7479999999996"/>
    <n v="5942.4359999999997"/>
    <n v="5942.4359999999997"/>
    <n v="597684319.21000004"/>
    <n v="2010"/>
  </r>
  <r>
    <s v="DOLFUT"/>
    <x v="130"/>
    <x v="13"/>
    <n v="5952.3590000000004"/>
    <n v="5957.0590000000002"/>
    <n v="5947.1360000000004"/>
    <n v="5947.1360000000004"/>
    <n v="1599963357.4300001"/>
    <n v="5375"/>
  </r>
  <r>
    <s v="DOLFUT"/>
    <x v="130"/>
    <x v="14"/>
    <n v="5946.6139999999996"/>
    <n v="5952.8810000000003"/>
    <n v="5943.48"/>
    <n v="5951.8370000000004"/>
    <n v="2891687667.4000001"/>
    <n v="9720"/>
  </r>
  <r>
    <s v="DOLFUT"/>
    <x v="130"/>
    <x v="15"/>
    <n v="5953.4040000000005"/>
    <n v="5957.0590000000002"/>
    <n v="5946.0919999999996"/>
    <n v="5946.6139999999996"/>
    <n v="3286241273.3499999"/>
    <n v="11040"/>
  </r>
  <r>
    <s v="DOLFUT"/>
    <x v="130"/>
    <x v="16"/>
    <n v="5961.76"/>
    <n v="5963.3270000000002"/>
    <n v="5951.8370000000004"/>
    <n v="5952.3590000000004"/>
    <n v="4232310159.8400002"/>
    <n v="14205"/>
  </r>
  <r>
    <s v="DOLFUT"/>
    <x v="130"/>
    <x v="17"/>
    <n v="5961.76"/>
    <n v="5966.9830000000002"/>
    <n v="5960.7150000000001"/>
    <n v="5961.2380000000003"/>
    <n v="3101391201.3899999"/>
    <n v="10400"/>
  </r>
  <r>
    <s v="DOLFUT"/>
    <x v="130"/>
    <x v="18"/>
    <n v="5968.027"/>
    <n v="5969.0720000000001"/>
    <n v="5961.2380000000003"/>
    <n v="5962.2820000000002"/>
    <n v="3879084763.6300001"/>
    <n v="13005"/>
  </r>
  <r>
    <s v="DOLFUT"/>
    <x v="130"/>
    <x v="0"/>
    <n v="5962.8040000000001"/>
    <n v="5969.5940000000001"/>
    <n v="5960.1930000000002"/>
    <n v="5967.5050000000001"/>
    <n v="2298532640.5700002"/>
    <n v="7705"/>
  </r>
  <r>
    <s v="DOLFUT"/>
    <x v="130"/>
    <x v="1"/>
    <n v="5961.2380000000003"/>
    <n v="5965.9380000000001"/>
    <n v="5959.6710000000003"/>
    <n v="5963.8490000000002"/>
    <n v="1671424960.1400001"/>
    <n v="5605"/>
  </r>
  <r>
    <s v="DOLFUT"/>
    <x v="130"/>
    <x v="2"/>
    <n v="5969.5940000000001"/>
    <n v="5969.5940000000001"/>
    <n v="5955.4930000000004"/>
    <n v="5961.2380000000003"/>
    <n v="2407009643.3000002"/>
    <n v="8075"/>
  </r>
  <r>
    <s v="DOLFUT"/>
    <x v="130"/>
    <x v="3"/>
    <n v="5966.46"/>
    <n v="5973.7719999999999"/>
    <n v="5964.8940000000002"/>
    <n v="5970.116"/>
    <n v="3112391993.2800002"/>
    <n v="10430"/>
  </r>
  <r>
    <s v="DOLFUT"/>
    <x v="130"/>
    <x v="4"/>
    <n v="5957.5820000000003"/>
    <n v="5966.46"/>
    <n v="5945.5690000000004"/>
    <n v="5966.46"/>
    <n v="4366095003.1499996"/>
    <n v="14665"/>
  </r>
  <r>
    <s v="DOLFUT"/>
    <x v="130"/>
    <x v="5"/>
    <n v="5962.8040000000001"/>
    <n v="5967.5050000000001"/>
    <n v="5954.4480000000003"/>
    <n v="5957.0590000000002"/>
    <n v="3533743618.6399999"/>
    <n v="11855"/>
  </r>
  <r>
    <s v="DOLFUT"/>
    <x v="130"/>
    <x v="6"/>
    <n v="5959.1490000000003"/>
    <n v="5968.027"/>
    <n v="5956.0150000000003"/>
    <n v="5962.8040000000001"/>
    <n v="5651992561.0900002"/>
    <n v="18960"/>
  </r>
  <r>
    <s v="DOLFUT"/>
    <x v="130"/>
    <x v="7"/>
    <n v="5969.0720000000001"/>
    <n v="5974.817"/>
    <n v="5956.5370000000003"/>
    <n v="5959.1490000000003"/>
    <n v="5789157040.6899996"/>
    <n v="19410"/>
  </r>
  <r>
    <s v="DOLFUT"/>
    <x v="130"/>
    <x v="8"/>
    <n v="5986.8289999999997"/>
    <n v="5989.44"/>
    <n v="5965.9380000000001"/>
    <n v="5968.549"/>
    <n v="7254299493.3900003"/>
    <n v="24290"/>
  </r>
  <r>
    <s v="DOLFUT"/>
    <x v="130"/>
    <x v="9"/>
    <n v="5987.8739999999998"/>
    <n v="5989.9629999999997"/>
    <n v="5976.384"/>
    <n v="5986.3069999999998"/>
    <n v="6123818200.71"/>
    <n v="20465"/>
  </r>
  <r>
    <s v="DOLFUT"/>
    <x v="130"/>
    <x v="10"/>
    <n v="6009.2870000000003"/>
    <n v="6013.9870000000001"/>
    <n v="5983.6949999999997"/>
    <n v="5987.8739999999998"/>
    <n v="5749321098.8999996"/>
    <n v="19175"/>
  </r>
  <r>
    <s v="DOLFUT"/>
    <x v="130"/>
    <x v="11"/>
    <n v="6007.72"/>
    <n v="6038.5339999999997"/>
    <n v="6002.4970000000003"/>
    <n v="6009.8090000000002"/>
    <n v="6242031308.3800001"/>
    <n v="20750"/>
  </r>
  <r>
    <s v="DOLFUT"/>
    <x v="131"/>
    <x v="12"/>
    <n v="6034.8779999999997"/>
    <n v="6036.4449999999997"/>
    <n v="6026.5219999999999"/>
    <n v="6028.0889999999999"/>
    <n v="348380911.36000001"/>
    <n v="1155"/>
  </r>
  <r>
    <s v="DOLFUT"/>
    <x v="131"/>
    <x v="13"/>
    <n v="6033.8339999999998"/>
    <n v="6036.9669999999996"/>
    <n v="6031.7449999999999"/>
    <n v="6034.8779999999997"/>
    <n v="1638170848.29"/>
    <n v="5430"/>
  </r>
  <r>
    <s v="DOLFUT"/>
    <x v="131"/>
    <x v="14"/>
    <n v="6033.8339999999998"/>
    <n v="6039.0559999999996"/>
    <n v="6027.5659999999998"/>
    <n v="6033.8339999999998"/>
    <n v="2689675796.0300002"/>
    <n v="8915"/>
  </r>
  <r>
    <s v="DOLFUT"/>
    <x v="131"/>
    <x v="15"/>
    <n v="6048.98"/>
    <n v="6052.1130000000003"/>
    <n v="6033.3109999999997"/>
    <n v="6033.8339999999998"/>
    <n v="3890929681.1900001"/>
    <n v="12880"/>
  </r>
  <r>
    <s v="DOLFUT"/>
    <x v="131"/>
    <x v="16"/>
    <n v="6036.9669999999996"/>
    <n v="6053.68"/>
    <n v="6035.9229999999998"/>
    <n v="6048.98"/>
    <n v="3793611719.4299998"/>
    <n v="12550"/>
  </r>
  <r>
    <s v="DOLFUT"/>
    <x v="131"/>
    <x v="17"/>
    <n v="6035.9229999999998"/>
    <n v="6043.7569999999996"/>
    <n v="6024.433"/>
    <n v="6036.9669999999996"/>
    <n v="8100821221.3000002"/>
    <n v="26850"/>
  </r>
  <r>
    <s v="DOLFUT"/>
    <x v="131"/>
    <x v="18"/>
    <n v="6032.2669999999998"/>
    <n v="6039.5789999999997"/>
    <n v="6024.9549999999999"/>
    <n v="6035.4009999999998"/>
    <n v="3157678519.1300001"/>
    <n v="10470"/>
  </r>
  <r>
    <s v="DOLFUT"/>
    <x v="131"/>
    <x v="0"/>
    <n v="6029.1329999999998"/>
    <n v="6036.4449999999997"/>
    <n v="6027.0439999999999"/>
    <n v="6032.2669999999998"/>
    <n v="4821182799.4300003"/>
    <n v="15990"/>
  </r>
  <r>
    <s v="DOLFUT"/>
    <x v="131"/>
    <x v="1"/>
    <n v="6031.2219999999998"/>
    <n v="6032.2669999999998"/>
    <n v="6024.9549999999999"/>
    <n v="6029.1329999999998"/>
    <n v="3175437408.52"/>
    <n v="10535"/>
  </r>
  <r>
    <s v="DOLFUT"/>
    <x v="131"/>
    <x v="2"/>
    <n v="6036.9669999999996"/>
    <n v="6040.1009999999997"/>
    <n v="6028.0889999999999"/>
    <n v="6030.7"/>
    <n v="2821780222.1199999"/>
    <n v="9350"/>
  </r>
  <r>
    <s v="DOLFUT"/>
    <x v="131"/>
    <x v="3"/>
    <n v="6034.8779999999997"/>
    <n v="6039.0559999999996"/>
    <n v="6030.1779999999999"/>
    <n v="6038.5339999999997"/>
    <n v="4045201251.9899998"/>
    <n v="13405"/>
  </r>
  <r>
    <s v="DOLFUT"/>
    <x v="131"/>
    <x v="4"/>
    <n v="6031.2219999999998"/>
    <n v="6038.0119999999997"/>
    <n v="6029.1329999999998"/>
    <n v="6034.8779999999997"/>
    <n v="3557858846.0900002"/>
    <n v="11795"/>
  </r>
  <r>
    <s v="DOLFUT"/>
    <x v="131"/>
    <x v="5"/>
    <n v="6029.1329999999998"/>
    <n v="6037.49"/>
    <n v="6017.643"/>
    <n v="6030.1779999999999"/>
    <n v="5737051833.5500002"/>
    <n v="19035"/>
  </r>
  <r>
    <s v="DOLFUT"/>
    <x v="131"/>
    <x v="6"/>
    <n v="6022.3440000000001"/>
    <n v="6034.3559999999998"/>
    <n v="6020.2550000000001"/>
    <n v="6028.0889999999999"/>
    <n v="5203542739.2200003"/>
    <n v="17265"/>
  </r>
  <r>
    <s v="DOLFUT"/>
    <x v="131"/>
    <x v="7"/>
    <n v="6031.2219999999998"/>
    <n v="6031.7449999999999"/>
    <n v="6016.5990000000002"/>
    <n v="6021.8209999999999"/>
    <n v="4742617745.4200001"/>
    <n v="15750"/>
  </r>
  <r>
    <s v="DOLFUT"/>
    <x v="131"/>
    <x v="8"/>
    <n v="6017.643"/>
    <n v="6031.7449999999999"/>
    <n v="6015.0320000000002"/>
    <n v="6031.7449999999999"/>
    <n v="4415168408.6000004"/>
    <n v="14660"/>
  </r>
  <r>
    <s v="DOLFUT"/>
    <x v="131"/>
    <x v="9"/>
    <n v="6018.6880000000001"/>
    <n v="6028.6109999999999"/>
    <n v="6016.076"/>
    <n v="6017.1210000000001"/>
    <n v="8155433344.5600004"/>
    <n v="27080"/>
  </r>
  <r>
    <s v="DOLFUT"/>
    <x v="131"/>
    <x v="10"/>
    <n v="5998.3190000000004"/>
    <n v="6018.6880000000001"/>
    <n v="5997.2749999999996"/>
    <n v="6018.6880000000001"/>
    <n v="4123221182.3200002"/>
    <n v="13720"/>
  </r>
  <r>
    <s v="DOLFUT"/>
    <x v="131"/>
    <x v="11"/>
    <n v="5995.7079999999996"/>
    <n v="5999.8860000000004"/>
    <n v="5985.2619999999997"/>
    <n v="5997.7969999999996"/>
    <n v="5086120224.1099997"/>
    <n v="16970"/>
  </r>
  <r>
    <s v="DOLFUT"/>
    <x v="132"/>
    <x v="12"/>
    <n v="6003.5420000000004"/>
    <n v="6006.1530000000002"/>
    <n v="5999.8860000000004"/>
    <n v="6005.6310000000003"/>
    <n v="705559139.79999995"/>
    <n v="2350"/>
  </r>
  <r>
    <s v="DOLFUT"/>
    <x v="132"/>
    <x v="13"/>
    <n v="6009.8090000000002"/>
    <n v="6015.0320000000002"/>
    <n v="6003.02"/>
    <n v="6003.5420000000004"/>
    <n v="1317182826.6500001"/>
    <n v="4385"/>
  </r>
  <r>
    <s v="DOLFUT"/>
    <x v="132"/>
    <x v="14"/>
    <n v="6000.4080000000004"/>
    <n v="6009.8090000000002"/>
    <n v="5999.8860000000004"/>
    <n v="6009.2870000000003"/>
    <n v="2078696595.53"/>
    <n v="6925"/>
  </r>
  <r>
    <s v="DOLFUT"/>
    <x v="132"/>
    <x v="15"/>
    <n v="5995.7079999999996"/>
    <n v="6000.93"/>
    <n v="5995.1850000000004"/>
    <n v="6000.4080000000004"/>
    <n v="1727259988.4400001"/>
    <n v="5760"/>
  </r>
  <r>
    <s v="DOLFUT"/>
    <x v="132"/>
    <x v="16"/>
    <n v="5997.2749999999996"/>
    <n v="5998.3190000000004"/>
    <n v="5993.0959999999995"/>
    <n v="5995.7079999999996"/>
    <n v="1396948066.76"/>
    <n v="4660"/>
  </r>
  <r>
    <s v="DOLFUT"/>
    <x v="132"/>
    <x v="17"/>
    <n v="5989.44"/>
    <n v="6001.9750000000004"/>
    <n v="5988.9179999999997"/>
    <n v="5997.7969999999996"/>
    <n v="1826998299.3699999"/>
    <n v="6095"/>
  </r>
  <r>
    <s v="DOLFUT"/>
    <x v="132"/>
    <x v="18"/>
    <n v="5989.9629999999997"/>
    <n v="5996.7520000000004"/>
    <n v="5985.7849999999999"/>
    <n v="5990.4849999999997"/>
    <n v="4631711384.2700005"/>
    <n v="15460"/>
  </r>
  <r>
    <s v="DOLFUT"/>
    <x v="132"/>
    <x v="0"/>
    <n v="5992.5739999999996"/>
    <n v="5995.1850000000004"/>
    <n v="5988.3959999999997"/>
    <n v="5991.0069999999996"/>
    <n v="3297620714.04"/>
    <n v="11005"/>
  </r>
  <r>
    <s v="DOLFUT"/>
    <x v="132"/>
    <x v="1"/>
    <n v="6001.4530000000004"/>
    <n v="6002.4970000000003"/>
    <n v="5991.53"/>
    <n v="5992.0519999999997"/>
    <n v="3835349522.71"/>
    <n v="12790"/>
  </r>
  <r>
    <s v="DOLFUT"/>
    <x v="132"/>
    <x v="2"/>
    <n v="6008.2420000000002"/>
    <n v="6009.8090000000002"/>
    <n v="5998.3190000000004"/>
    <n v="6001.4530000000004"/>
    <n v="3111575287.02"/>
    <n v="10365"/>
  </r>
  <r>
    <s v="DOLFUT"/>
    <x v="132"/>
    <x v="3"/>
    <n v="6011.8980000000001"/>
    <n v="6018.1660000000002"/>
    <n v="6000.93"/>
    <n v="6007.72"/>
    <n v="3187426343.1900001"/>
    <n v="10605"/>
  </r>
  <r>
    <s v="DOLFUT"/>
    <x v="132"/>
    <x v="4"/>
    <n v="5998.8410000000003"/>
    <n v="6012.4210000000003"/>
    <n v="5995.7079999999996"/>
    <n v="6012.4210000000003"/>
    <n v="1668930056.3199999"/>
    <n v="5560"/>
  </r>
  <r>
    <s v="DOLFUT"/>
    <x v="132"/>
    <x v="5"/>
    <n v="6007.72"/>
    <n v="6008.7650000000003"/>
    <n v="5996.23"/>
    <n v="5998.3190000000004"/>
    <n v="2636477338.4299998"/>
    <n v="8785"/>
  </r>
  <r>
    <s v="DOLFUT"/>
    <x v="132"/>
    <x v="6"/>
    <n v="6020.777"/>
    <n v="6020.777"/>
    <n v="6007.1980000000003"/>
    <n v="6008.2420000000002"/>
    <n v="4317683841.3699999"/>
    <n v="14360"/>
  </r>
  <r>
    <s v="DOLFUT"/>
    <x v="132"/>
    <x v="7"/>
    <n v="6021.8209999999999"/>
    <n v="6023.9110000000001"/>
    <n v="6011.3760000000002"/>
    <n v="6020.777"/>
    <n v="6194890839.7200003"/>
    <n v="20590"/>
  </r>
  <r>
    <s v="DOLFUT"/>
    <x v="132"/>
    <x v="8"/>
    <n v="6008.2420000000002"/>
    <n v="6029.1329999999998"/>
    <n v="6008.2420000000002"/>
    <n v="6021.8209999999999"/>
    <n v="5921984163.6999998"/>
    <n v="19675"/>
  </r>
  <r>
    <s v="DOLFUT"/>
    <x v="132"/>
    <x v="9"/>
    <n v="5995.7079999999996"/>
    <n v="6009.8090000000002"/>
    <n v="5994.6629999999996"/>
    <n v="6008.2420000000002"/>
    <n v="4653797968.1899996"/>
    <n v="15505"/>
  </r>
  <r>
    <s v="DOLFUT"/>
    <x v="132"/>
    <x v="10"/>
    <n v="5989.44"/>
    <n v="6003.02"/>
    <n v="5981.6059999999998"/>
    <n v="5995.7079999999996"/>
    <n v="4122032094.5500002"/>
    <n v="13760"/>
  </r>
  <r>
    <s v="DOLFUT"/>
    <x v="132"/>
    <x v="11"/>
    <n v="5986.3069999999998"/>
    <n v="6003.02"/>
    <n v="5983.1729999999998"/>
    <n v="5989.9629999999997"/>
    <n v="3423029062.6999998"/>
    <n v="11425"/>
  </r>
  <r>
    <s v="DOLFUT"/>
    <x v="133"/>
    <x v="12"/>
    <n v="5980.04"/>
    <n v="5994.6629999999996"/>
    <n v="5977.4279999999999"/>
    <n v="5988.3959999999997"/>
    <n v="1039716174.65"/>
    <n v="3475"/>
  </r>
  <r>
    <s v="DOLFUT"/>
    <x v="133"/>
    <x v="13"/>
    <n v="5979.5169999999998"/>
    <n v="5980.5619999999999"/>
    <n v="5976.9059999999999"/>
    <n v="5978.9949999999999"/>
    <n v="1016317899.1"/>
    <n v="3400"/>
  </r>
  <r>
    <s v="DOLFUT"/>
    <x v="133"/>
    <x v="14"/>
    <n v="5981.0839999999998"/>
    <n v="5981.0839999999998"/>
    <n v="5978.9949999999999"/>
    <n v="5979.5169999999998"/>
    <n v="752017779.5"/>
    <n v="2515"/>
  </r>
  <r>
    <s v="DOLFUT"/>
    <x v="133"/>
    <x v="15"/>
    <n v="5978.9949999999999"/>
    <n v="5981.0839999999998"/>
    <n v="5976.384"/>
    <n v="5981.0839999999998"/>
    <n v="2058370989.6199999"/>
    <n v="6885"/>
  </r>
  <r>
    <s v="DOLFUT"/>
    <x v="133"/>
    <x v="16"/>
    <n v="5978.9949999999999"/>
    <n v="5979.5169999999998"/>
    <n v="5974.817"/>
    <n v="5978.473"/>
    <n v="1681054390.5799999"/>
    <n v="5625"/>
  </r>
  <r>
    <s v="DOLFUT"/>
    <x v="133"/>
    <x v="17"/>
    <n v="5972.2049999999999"/>
    <n v="5981.6059999999998"/>
    <n v="5971.1610000000001"/>
    <n v="5978.9949999999999"/>
    <n v="1737921171.54"/>
    <n v="5815"/>
  </r>
  <r>
    <s v="DOLFUT"/>
    <x v="133"/>
    <x v="18"/>
    <n v="5974.2939999999999"/>
    <n v="5978.9949999999999"/>
    <n v="5971.1610000000001"/>
    <n v="5972.7280000000001"/>
    <n v="3171526488.79"/>
    <n v="10615"/>
  </r>
  <r>
    <s v="DOLFUT"/>
    <x v="133"/>
    <x v="0"/>
    <n v="5970.6390000000001"/>
    <n v="5974.817"/>
    <n v="5969.0720000000001"/>
    <n v="5974.2939999999999"/>
    <n v="2185703004.71"/>
    <n v="7320"/>
  </r>
  <r>
    <s v="DOLFUT"/>
    <x v="133"/>
    <x v="1"/>
    <n v="5974.817"/>
    <n v="5976.384"/>
    <n v="5967.5050000000001"/>
    <n v="5971.1610000000001"/>
    <n v="1915516463.25"/>
    <n v="6415"/>
  </r>
  <r>
    <s v="DOLFUT"/>
    <x v="133"/>
    <x v="2"/>
    <n v="5969.5940000000001"/>
    <n v="5975.3389999999999"/>
    <n v="5966.9830000000002"/>
    <n v="5975.3389999999999"/>
    <n v="2568888790.5700002"/>
    <n v="8605"/>
  </r>
  <r>
    <s v="DOLFUT"/>
    <x v="133"/>
    <x v="3"/>
    <n v="5956.5370000000003"/>
    <n v="5970.6390000000001"/>
    <n v="5954.4480000000003"/>
    <n v="5967.5050000000001"/>
    <n v="3321774589.7800002"/>
    <n v="11145"/>
  </r>
  <r>
    <s v="DOLFUT"/>
    <x v="133"/>
    <x v="4"/>
    <n v="5949.7479999999996"/>
    <n v="5957.5820000000003"/>
    <n v="5949.7479999999996"/>
    <n v="5957.0590000000002"/>
    <n v="1926219558.8599999"/>
    <n v="6470"/>
  </r>
  <r>
    <s v="DOLFUT"/>
    <x v="133"/>
    <x v="5"/>
    <n v="5944.5249999999996"/>
    <n v="5957.0590000000002"/>
    <n v="5942.9579999999996"/>
    <n v="5949.2250000000004"/>
    <n v="6107813238.6300001"/>
    <n v="20530"/>
  </r>
  <r>
    <s v="DOLFUT"/>
    <x v="133"/>
    <x v="6"/>
    <n v="5936.1679999999997"/>
    <n v="5946.6139999999996"/>
    <n v="5936.1679999999997"/>
    <n v="5945.0469999999996"/>
    <n v="4957785181.4399996"/>
    <n v="16690"/>
  </r>
  <r>
    <s v="DOLFUT"/>
    <x v="133"/>
    <x v="7"/>
    <n v="5930.9459999999999"/>
    <n v="5939.3019999999997"/>
    <n v="5929.3789999999999"/>
    <n v="5935.6459999999997"/>
    <n v="3418739102.4699998"/>
    <n v="11520"/>
  </r>
  <r>
    <s v="DOLFUT"/>
    <x v="133"/>
    <x v="8"/>
    <n v="5929.9009999999998"/>
    <n v="5936.1679999999997"/>
    <n v="5925.201"/>
    <n v="5931.99"/>
    <n v="5971960058.96"/>
    <n v="20135"/>
  </r>
  <r>
    <s v="DOLFUT"/>
    <x v="133"/>
    <x v="9"/>
    <n v="5925.201"/>
    <n v="5930.4229999999998"/>
    <n v="5922.067"/>
    <n v="5930.4229999999998"/>
    <n v="3826443180.8899999"/>
    <n v="12910"/>
  </r>
  <r>
    <s v="DOLFUT"/>
    <x v="133"/>
    <x v="10"/>
    <n v="5927.29"/>
    <n v="5929.9009999999998"/>
    <n v="5917.8890000000001"/>
    <n v="5924.6779999999999"/>
    <n v="9291521642.4099998"/>
    <n v="31380"/>
  </r>
  <r>
    <s v="DOLFUT"/>
    <x v="133"/>
    <x v="11"/>
    <n v="5947.1360000000004"/>
    <n v="5948.7030000000004"/>
    <n v="5917.3670000000002"/>
    <n v="5926.768"/>
    <n v="3508784134.96"/>
    <n v="11840"/>
  </r>
  <r>
    <s v="DOLFUT"/>
    <x v="134"/>
    <x v="12"/>
    <n v="5949.7479999999996"/>
    <n v="5952.3590000000004"/>
    <n v="5940.3469999999998"/>
    <n v="5948.7030000000004"/>
    <n v="631895759.64999998"/>
    <n v="2125"/>
  </r>
  <r>
    <s v="DOLFUT"/>
    <x v="134"/>
    <x v="13"/>
    <n v="5943.48"/>
    <n v="5949.7479999999996"/>
    <n v="5942.9579999999996"/>
    <n v="5949.7479999999996"/>
    <n v="1230970111.6300001"/>
    <n v="4140"/>
  </r>
  <r>
    <s v="DOLFUT"/>
    <x v="134"/>
    <x v="14"/>
    <n v="5946.0919999999996"/>
    <n v="5947.6589999999997"/>
    <n v="5941.9129999999996"/>
    <n v="5943.48"/>
    <n v="1906619522.3699999"/>
    <n v="6415"/>
  </r>
  <r>
    <s v="DOLFUT"/>
    <x v="134"/>
    <x v="15"/>
    <n v="5946.0919999999996"/>
    <n v="5949.2250000000004"/>
    <n v="5944.0029999999997"/>
    <n v="5946.0919999999996"/>
    <n v="899477719.71000004"/>
    <n v="3025"/>
  </r>
  <r>
    <s v="DOLFUT"/>
    <x v="134"/>
    <x v="16"/>
    <n v="5946.0919999999996"/>
    <n v="5947.6589999999997"/>
    <n v="5941.9129999999996"/>
    <n v="5946.0919999999996"/>
    <n v="1437107557.4200001"/>
    <n v="4835"/>
  </r>
  <r>
    <s v="DOLFUT"/>
    <x v="134"/>
    <x v="17"/>
    <n v="5941.3909999999996"/>
    <n v="5946.0919999999996"/>
    <n v="5939.8239999999996"/>
    <n v="5945.5690000000004"/>
    <n v="1781579638.1600001"/>
    <n v="5995"/>
  </r>
  <r>
    <s v="DOLFUT"/>
    <x v="134"/>
    <x v="18"/>
    <n v="5945.0469999999996"/>
    <n v="5947.6589999999997"/>
    <n v="5939.3019999999997"/>
    <n v="5940.8689999999997"/>
    <n v="2293546619.4099998"/>
    <n v="7720"/>
  </r>
  <r>
    <s v="DOLFUT"/>
    <x v="134"/>
    <x v="0"/>
    <n v="5941.9129999999996"/>
    <n v="5948.1809999999996"/>
    <n v="5940.8689999999997"/>
    <n v="5945.5690000000004"/>
    <n v="1107098946.49"/>
    <n v="3725"/>
  </r>
  <r>
    <s v="DOLFUT"/>
    <x v="134"/>
    <x v="1"/>
    <n v="5948.1809999999996"/>
    <n v="5953.4040000000005"/>
    <n v="5941.3909999999996"/>
    <n v="5942.4359999999997"/>
    <n v="2397384391.0599999"/>
    <n v="8065"/>
  </r>
  <r>
    <s v="DOLFUT"/>
    <x v="134"/>
    <x v="2"/>
    <n v="5942.9579999999996"/>
    <n v="5949.2250000000004"/>
    <n v="5941.9129999999996"/>
    <n v="5946.6139999999996"/>
    <n v="2002287750.52"/>
    <n v="6735"/>
  </r>
  <r>
    <s v="DOLFUT"/>
    <x v="134"/>
    <x v="3"/>
    <n v="5939.3019999999997"/>
    <n v="5947.1360000000004"/>
    <n v="5933.5569999999998"/>
    <n v="5945.0469999999996"/>
    <n v="2752119159.6900001"/>
    <n v="9265"/>
  </r>
  <r>
    <s v="DOLFUT"/>
    <x v="134"/>
    <x v="4"/>
    <n v="5939.3019999999997"/>
    <n v="5946.6139999999996"/>
    <n v="5936.6909999999998"/>
    <n v="5939.8239999999996"/>
    <n v="1981032235.4200001"/>
    <n v="6670"/>
  </r>
  <r>
    <s v="DOLFUT"/>
    <x v="134"/>
    <x v="5"/>
    <n v="5923.634"/>
    <n v="5941.3909999999996"/>
    <n v="5922.067"/>
    <n v="5939.3019999999997"/>
    <n v="2751422576.48"/>
    <n v="9280"/>
  </r>
  <r>
    <s v="DOLFUT"/>
    <x v="134"/>
    <x v="6"/>
    <n v="5921.0230000000001"/>
    <n v="5927.29"/>
    <n v="5916.8440000000001"/>
    <n v="5925.723"/>
    <n v="2505389127.3600001"/>
    <n v="8460"/>
  </r>
  <r>
    <s v="DOLFUT"/>
    <x v="134"/>
    <x v="7"/>
    <n v="5922.5889999999999"/>
    <n v="5935.6459999999997"/>
    <n v="5920.5"/>
    <n v="5921.0230000000001"/>
    <n v="4826425910.0600004"/>
    <n v="16280"/>
  </r>
  <r>
    <s v="DOLFUT"/>
    <x v="134"/>
    <x v="8"/>
    <n v="5922.067"/>
    <n v="5928.857"/>
    <n v="5916.3220000000001"/>
    <n v="5922.5889999999999"/>
    <n v="3908316972.4899998"/>
    <n v="13200"/>
  </r>
  <r>
    <s v="DOLFUT"/>
    <x v="134"/>
    <x v="9"/>
    <n v="5936.6909999999998"/>
    <n v="5937.2129999999997"/>
    <n v="5920.5"/>
    <n v="5922.5889999999999"/>
    <n v="4626793650.4700003"/>
    <n v="15605"/>
  </r>
  <r>
    <s v="DOLFUT"/>
    <x v="134"/>
    <x v="10"/>
    <n v="5956.0150000000003"/>
    <n v="5964.8940000000002"/>
    <n v="5930.4229999999998"/>
    <n v="5936.6909999999998"/>
    <n v="4833061142.54"/>
    <n v="16270"/>
  </r>
  <r>
    <s v="DOLFUT"/>
    <x v="134"/>
    <x v="11"/>
    <n v="5964.3710000000001"/>
    <n v="5966.9830000000002"/>
    <n v="5944.5249999999996"/>
    <n v="5958.1040000000003"/>
    <n v="4545446572.3999996"/>
    <n v="15265"/>
  </r>
  <r>
    <s v="DOLFUT"/>
    <x v="135"/>
    <x v="12"/>
    <n v="5969.0720000000001"/>
    <n v="5974.2939999999999"/>
    <n v="5958.1040000000003"/>
    <n v="5958.1040000000003"/>
    <n v="1885017739.48"/>
    <n v="6315"/>
  </r>
  <r>
    <s v="DOLFUT"/>
    <x v="135"/>
    <x v="13"/>
    <n v="5971.683"/>
    <n v="5972.7280000000001"/>
    <n v="5964.3710000000001"/>
    <n v="5970.116"/>
    <n v="1768414672.5699999"/>
    <n v="5925"/>
  </r>
  <r>
    <s v="DOLFUT"/>
    <x v="135"/>
    <x v="14"/>
    <n v="5969.5940000000001"/>
    <n v="5976.384"/>
    <n v="5967.5050000000001"/>
    <n v="5971.683"/>
    <n v="2963115844.5700002"/>
    <n v="9925"/>
  </r>
  <r>
    <s v="DOLFUT"/>
    <x v="135"/>
    <x v="15"/>
    <n v="5965.4160000000002"/>
    <n v="5976.9059999999999"/>
    <n v="5965.4160000000002"/>
    <n v="5969.5940000000001"/>
    <n v="2931364837.8499999"/>
    <n v="9820"/>
  </r>
  <r>
    <s v="DOLFUT"/>
    <x v="135"/>
    <x v="16"/>
    <n v="5959.1490000000003"/>
    <n v="5966.46"/>
    <n v="5954.4480000000003"/>
    <n v="5964.8940000000002"/>
    <n v="2414742565.5700002"/>
    <n v="8100"/>
  </r>
  <r>
    <s v="DOLFUT"/>
    <x v="135"/>
    <x v="17"/>
    <n v="5963.3270000000002"/>
    <n v="5966.46"/>
    <n v="5956.0150000000003"/>
    <n v="5958.1040000000003"/>
    <n v="5003208543.1300001"/>
    <n v="16785"/>
  </r>
  <r>
    <s v="DOLFUT"/>
    <x v="135"/>
    <x v="18"/>
    <n v="5971.683"/>
    <n v="5972.7280000000001"/>
    <n v="5954.97"/>
    <n v="5962.8040000000001"/>
    <n v="8332321085.3100004"/>
    <n v="27950"/>
  </r>
  <r>
    <s v="DOLFUT"/>
    <x v="135"/>
    <x v="0"/>
    <n v="5972.7280000000001"/>
    <n v="5976.9059999999999"/>
    <n v="5967.5050000000001"/>
    <n v="5971.1610000000001"/>
    <n v="6751226841.6400003"/>
    <n v="22610"/>
  </r>
  <r>
    <s v="DOLFUT"/>
    <x v="135"/>
    <x v="1"/>
    <n v="5977.95"/>
    <n v="5981.6059999999998"/>
    <n v="5972.2049999999999"/>
    <n v="5972.7280000000001"/>
    <n v="4219005747.0500002"/>
    <n v="14115"/>
  </r>
  <r>
    <s v="DOLFUT"/>
    <x v="135"/>
    <x v="2"/>
    <n v="5968.027"/>
    <n v="5982.1289999999999"/>
    <n v="5964.8940000000002"/>
    <n v="5977.4279999999999"/>
    <n v="2879253624.5500002"/>
    <n v="9640"/>
  </r>
  <r>
    <s v="DOLFUT"/>
    <x v="135"/>
    <x v="3"/>
    <n v="5955.4930000000004"/>
    <n v="5970.6390000000001"/>
    <n v="5950.7920000000004"/>
    <n v="5969.0720000000001"/>
    <n v="6120396782.4700003"/>
    <n v="20540"/>
  </r>
  <r>
    <s v="DOLFUT"/>
    <x v="135"/>
    <x v="4"/>
    <n v="5949.7479999999996"/>
    <n v="5959.6710000000003"/>
    <n v="5948.7030000000004"/>
    <n v="5955.4930000000004"/>
    <n v="4588225398.71"/>
    <n v="15410"/>
  </r>
  <r>
    <s v="DOLFUT"/>
    <x v="135"/>
    <x v="5"/>
    <n v="5954.97"/>
    <n v="5961.76"/>
    <n v="5946.0919999999996"/>
    <n v="5950.7920000000004"/>
    <n v="5693562714.3400002"/>
    <n v="19125"/>
  </r>
  <r>
    <s v="DOLFUT"/>
    <x v="135"/>
    <x v="6"/>
    <n v="5961.2380000000003"/>
    <n v="5971.683"/>
    <n v="5953.4040000000005"/>
    <n v="5955.4930000000004"/>
    <n v="4668220439.46"/>
    <n v="15660"/>
  </r>
  <r>
    <s v="DOLFUT"/>
    <x v="135"/>
    <x v="7"/>
    <n v="5965.9380000000001"/>
    <n v="5966.46"/>
    <n v="5957.5820000000003"/>
    <n v="5961.2380000000003"/>
    <n v="5762103237.5"/>
    <n v="19330"/>
  </r>
  <r>
    <s v="DOLFUT"/>
    <x v="135"/>
    <x v="8"/>
    <n v="5972.2049999999999"/>
    <n v="5972.2049999999999"/>
    <n v="5952.3590000000004"/>
    <n v="5965.4160000000002"/>
    <n v="9509026647.1499996"/>
    <n v="31895"/>
  </r>
  <r>
    <s v="DOLFUT"/>
    <x v="135"/>
    <x v="9"/>
    <n v="5926.2449999999999"/>
    <n v="5972.2049999999999"/>
    <n v="5919.9780000000001"/>
    <n v="5971.683"/>
    <n v="7813295307.1999998"/>
    <n v="26275"/>
  </r>
  <r>
    <s v="DOLFUT"/>
    <x v="135"/>
    <x v="10"/>
    <n v="5911.0990000000002"/>
    <n v="5926.768"/>
    <n v="5906.9210000000003"/>
    <n v="5925.723"/>
    <n v="6038347376.1800003"/>
    <n v="20410"/>
  </r>
  <r>
    <s v="DOLFUT"/>
    <x v="135"/>
    <x v="11"/>
    <n v="5912.6660000000002"/>
    <n v="5916.3220000000001"/>
    <n v="5894.9089999999997"/>
    <n v="5908.4880000000003"/>
    <n v="7756715124.1999998"/>
    <n v="26280"/>
  </r>
  <r>
    <s v="DOLFUT"/>
    <x v="136"/>
    <x v="12"/>
    <n v="5913.7449999999999"/>
    <n v="5914.7969999999996"/>
    <n v="5906.38"/>
    <n v="5909.01"/>
    <n v="486134975.69"/>
    <n v="1645"/>
  </r>
  <r>
    <s v="DOLFUT"/>
    <x v="136"/>
    <x v="13"/>
    <n v="5924.2650000000003"/>
    <n v="5925.8440000000001"/>
    <n v="5913.2190000000001"/>
    <n v="5914.2709999999997"/>
    <n v="2450154412.21"/>
    <n v="8280"/>
  </r>
  <r>
    <s v="DOLFUT"/>
    <x v="136"/>
    <x v="14"/>
    <n v="5924.7910000000002"/>
    <n v="5927.4219999999996"/>
    <n v="5922.1610000000001"/>
    <n v="5924.2650000000003"/>
    <n v="4608648564.9899998"/>
    <n v="15560"/>
  </r>
  <r>
    <s v="DOLFUT"/>
    <x v="136"/>
    <x v="15"/>
    <n v="5929.5259999999998"/>
    <n v="5930.0519999999997"/>
    <n v="5924.2650000000003"/>
    <n v="5924.7910000000002"/>
    <n v="2448971347.6700001"/>
    <n v="8265"/>
  </r>
  <r>
    <s v="DOLFUT"/>
    <x v="136"/>
    <x v="16"/>
    <n v="5926.8959999999997"/>
    <n v="5931.1040000000003"/>
    <n v="5925.8440000000001"/>
    <n v="5929"/>
    <n v="2602647828.1100001"/>
    <n v="8780"/>
  </r>
  <r>
    <s v="DOLFUT"/>
    <x v="136"/>
    <x v="17"/>
    <n v="5931.1040000000003"/>
    <n v="5932.1559999999999"/>
    <n v="5924.7910000000002"/>
    <n v="5927.4219999999996"/>
    <n v="3542344709.1500001"/>
    <n v="11950"/>
  </r>
  <r>
    <s v="DOLFUT"/>
    <x v="136"/>
    <x v="18"/>
    <n v="5927.9480000000003"/>
    <n v="5932.1559999999999"/>
    <n v="5920.5829999999996"/>
    <n v="5931.63"/>
    <n v="3368342296.1500001"/>
    <n v="11365"/>
  </r>
  <r>
    <s v="DOLFUT"/>
    <x v="136"/>
    <x v="0"/>
    <n v="5924.2650000000003"/>
    <n v="5929"/>
    <n v="5920.5829999999996"/>
    <n v="5928.4740000000002"/>
    <n v="1647149486.78"/>
    <n v="5560"/>
  </r>
  <r>
    <s v="DOLFUT"/>
    <x v="136"/>
    <x v="1"/>
    <n v="5930.0519999999997"/>
    <n v="5934.7860000000001"/>
    <n v="5921.1090000000004"/>
    <n v="5924.2650000000003"/>
    <n v="2926673240.46"/>
    <n v="9875"/>
  </r>
  <r>
    <s v="DOLFUT"/>
    <x v="136"/>
    <x v="2"/>
    <n v="5927.4219999999996"/>
    <n v="5933.7340000000004"/>
    <n v="5923.2129999999997"/>
    <n v="5930.0519999999997"/>
    <n v="835898091.25"/>
    <n v="2820"/>
  </r>
  <r>
    <s v="DOLFUT"/>
    <x v="136"/>
    <x v="3"/>
    <n v="5928.4740000000002"/>
    <n v="5931.1040000000003"/>
    <n v="5922.1610000000001"/>
    <n v="5926.8959999999997"/>
    <n v="3579986440.3899999"/>
    <n v="12080"/>
  </r>
  <r>
    <s v="DOLFUT"/>
    <x v="136"/>
    <x v="4"/>
    <n v="5922.6869999999999"/>
    <n v="5929"/>
    <n v="5919.5309999999999"/>
    <n v="5927.9480000000003"/>
    <n v="2605775400.4699998"/>
    <n v="8795"/>
  </r>
  <r>
    <s v="DOLFUT"/>
    <x v="136"/>
    <x v="5"/>
    <n v="5941.0990000000002"/>
    <n v="5943.2030000000004"/>
    <n v="5913.7449999999999"/>
    <n v="5922.6869999999999"/>
    <n v="8157893870.2399998"/>
    <n v="27525"/>
  </r>
  <r>
    <s v="DOLFUT"/>
    <x v="136"/>
    <x v="6"/>
    <n v="5944.7809999999999"/>
    <n v="5944.7809999999999"/>
    <n v="5932.1559999999999"/>
    <n v="5941.625"/>
    <n v="3212813364.9299998"/>
    <n v="10820"/>
  </r>
  <r>
    <s v="DOLFUT"/>
    <x v="136"/>
    <x v="7"/>
    <n v="5947.4110000000001"/>
    <n v="5951.6189999999997"/>
    <n v="5938.9949999999999"/>
    <n v="5944.7809999999999"/>
    <n v="5105167575.3699999"/>
    <n v="17175"/>
  </r>
  <r>
    <s v="DOLFUT"/>
    <x v="136"/>
    <x v="8"/>
    <n v="5943.7290000000003"/>
    <n v="5953.1980000000003"/>
    <n v="5938.4679999999998"/>
    <n v="5947.9369999999999"/>
    <n v="4571483689.2399998"/>
    <n v="15375"/>
  </r>
  <r>
    <s v="DOLFUT"/>
    <x v="136"/>
    <x v="9"/>
    <n v="5941.0990000000002"/>
    <n v="5955.3019999999997"/>
    <n v="5940.0469999999996"/>
    <n v="5943.2030000000004"/>
    <n v="5002067761.5799999"/>
    <n v="16820"/>
  </r>
  <r>
    <s v="DOLFUT"/>
    <x v="136"/>
    <x v="10"/>
    <n v="5942.1509999999998"/>
    <n v="5949.5150000000003"/>
    <n v="5933.2079999999996"/>
    <n v="5941.0990000000002"/>
    <n v="3467046780.5599999"/>
    <n v="11675"/>
  </r>
  <r>
    <s v="DOLFUT"/>
    <x v="136"/>
    <x v="11"/>
    <n v="5954.7759999999998"/>
    <n v="5958.4579999999996"/>
    <n v="5940.0469999999996"/>
    <n v="5942.6769999999997"/>
    <n v="3474562580.7399998"/>
    <n v="11680"/>
  </r>
  <r>
    <s v="DOLFUT"/>
    <x v="137"/>
    <x v="12"/>
    <n v="5950.567"/>
    <n v="5952.6719999999996"/>
    <n v="5946.3590000000004"/>
    <n v="5952.1459999999997"/>
    <n v="685664018.25999999"/>
    <n v="2305"/>
  </r>
  <r>
    <s v="DOLFUT"/>
    <x v="137"/>
    <x v="13"/>
    <n v="5949.5150000000003"/>
    <n v="5952.6719999999996"/>
    <n v="5949.5150000000003"/>
    <n v="5950.0410000000002"/>
    <n v="621900311.38"/>
    <n v="2090"/>
  </r>
  <r>
    <s v="DOLFUT"/>
    <x v="137"/>
    <x v="14"/>
    <n v="5944.2550000000001"/>
    <n v="5950.0410000000002"/>
    <n v="5942.1509999999998"/>
    <n v="5949.5150000000003"/>
    <n v="2109414991.22"/>
    <n v="7095"/>
  </r>
  <r>
    <s v="DOLFUT"/>
    <x v="137"/>
    <x v="15"/>
    <n v="5950.567"/>
    <n v="5950.567"/>
    <n v="5942.1509999999998"/>
    <n v="5943.7290000000003"/>
    <n v="2485245505.75"/>
    <n v="8360"/>
  </r>
  <r>
    <s v="DOLFUT"/>
    <x v="137"/>
    <x v="16"/>
    <n v="5947.9369999999999"/>
    <n v="5953.1980000000003"/>
    <n v="5946.8850000000002"/>
    <n v="5949.5150000000003"/>
    <n v="1908178948.02"/>
    <n v="6415"/>
  </r>
  <r>
    <s v="DOLFUT"/>
    <x v="137"/>
    <x v="17"/>
    <n v="5951.0929999999998"/>
    <n v="5954.7759999999998"/>
    <n v="5946.8850000000002"/>
    <n v="5948.4629999999997"/>
    <n v="5882371935.7600002"/>
    <n v="19770"/>
  </r>
  <r>
    <s v="DOLFUT"/>
    <x v="137"/>
    <x v="18"/>
    <n v="5963.192"/>
    <n v="5963.7179999999998"/>
    <n v="5951.0929999999998"/>
    <n v="5951.6189999999997"/>
    <n v="6300005817.5200005"/>
    <n v="21145"/>
  </r>
  <r>
    <s v="DOLFUT"/>
    <x v="137"/>
    <x v="0"/>
    <n v="5973.1869999999999"/>
    <n v="5973.1869999999999"/>
    <n v="5959.51"/>
    <n v="5964.2439999999997"/>
    <n v="2928946391.9299998"/>
    <n v="9820"/>
  </r>
  <r>
    <s v="DOLFUT"/>
    <x v="137"/>
    <x v="1"/>
    <n v="5977.3950000000004"/>
    <n v="5984.2340000000004"/>
    <n v="5971.0829999999996"/>
    <n v="5973.7129999999997"/>
    <n v="3115038262.1399999"/>
    <n v="10425"/>
  </r>
  <r>
    <s v="DOLFUT"/>
    <x v="137"/>
    <x v="2"/>
    <n v="5980.0259999999998"/>
    <n v="5980.5519999999997"/>
    <n v="5973.1869999999999"/>
    <n v="5977.9210000000003"/>
    <n v="2767494510.4200001"/>
    <n v="9260"/>
  </r>
  <r>
    <s v="DOLFUT"/>
    <x v="137"/>
    <x v="3"/>
    <n v="5975.817"/>
    <n v="5986.3379999999997"/>
    <n v="5975.2910000000002"/>
    <n v="5979.5"/>
    <n v="4583778696.6800003"/>
    <n v="15325"/>
  </r>
  <r>
    <s v="DOLFUT"/>
    <x v="137"/>
    <x v="4"/>
    <n v="5980.5519999999997"/>
    <n v="5985.8119999999999"/>
    <n v="5973.7129999999997"/>
    <n v="5975.2910000000002"/>
    <n v="2888602523.3899999"/>
    <n v="9660"/>
  </r>
  <r>
    <s v="DOLFUT"/>
    <x v="137"/>
    <x v="5"/>
    <n v="5972.1350000000002"/>
    <n v="5985.8119999999999"/>
    <n v="5967.9269999999997"/>
    <n v="5980.5519999999997"/>
    <n v="5201604563.25"/>
    <n v="17405"/>
  </r>
  <r>
    <s v="DOLFUT"/>
    <x v="137"/>
    <x v="6"/>
    <n v="5957.4059999999999"/>
    <n v="5973.1869999999999"/>
    <n v="5950.567"/>
    <n v="5972.1350000000002"/>
    <n v="4760125145.0799999"/>
    <n v="15970"/>
  </r>
  <r>
    <s v="DOLFUT"/>
    <x v="137"/>
    <x v="7"/>
    <n v="5947.4110000000001"/>
    <n v="5960.0360000000001"/>
    <n v="5943.2030000000004"/>
    <n v="5957.4059999999999"/>
    <n v="4476840367.1300001"/>
    <n v="15040"/>
  </r>
  <r>
    <s v="DOLFUT"/>
    <x v="137"/>
    <x v="8"/>
    <n v="5966.3490000000002"/>
    <n v="5966.3490000000002"/>
    <n v="5946.8850000000002"/>
    <n v="5946.8850000000002"/>
    <n v="3498720716.5799999"/>
    <n v="11755"/>
  </r>
  <r>
    <s v="DOLFUT"/>
    <x v="137"/>
    <x v="9"/>
    <n v="5964.77"/>
    <n v="5969.5050000000001"/>
    <n v="5958.4579999999996"/>
    <n v="5966.875"/>
    <n v="3777089911.3299999"/>
    <n v="12665"/>
  </r>
  <r>
    <s v="DOLFUT"/>
    <x v="137"/>
    <x v="10"/>
    <n v="5982.6559999999999"/>
    <n v="5986.8639999999996"/>
    <n v="5960.0360000000001"/>
    <n v="5964.2439999999997"/>
    <n v="9944580795.9099998"/>
    <n v="33275"/>
  </r>
  <r>
    <s v="DOLFUT"/>
    <x v="137"/>
    <x v="11"/>
    <n v="5995.2809999999999"/>
    <n v="5998.9629999999997"/>
    <n v="5982.13"/>
    <n v="5982.6559999999999"/>
    <n v="1893901952.3900001"/>
    <n v="6325"/>
  </r>
  <r>
    <s v="DOLFUT"/>
    <x v="138"/>
    <x v="12"/>
    <n v="5984.76"/>
    <n v="5990.5460000000003"/>
    <n v="5982.13"/>
    <n v="5986.8639999999996"/>
    <n v="312753553.20999998"/>
    <n v="1045"/>
  </r>
  <r>
    <s v="DOLFUT"/>
    <x v="138"/>
    <x v="13"/>
    <n v="5987.9160000000002"/>
    <n v="5988.442"/>
    <n v="5983.1819999999998"/>
    <n v="5984.2340000000004"/>
    <n v="848445598.01999998"/>
    <n v="2835"/>
  </r>
  <r>
    <s v="DOLFUT"/>
    <x v="138"/>
    <x v="14"/>
    <n v="5990.02"/>
    <n v="5993.1769999999997"/>
    <n v="5986.8639999999996"/>
    <n v="5987.9160000000002"/>
    <n v="1929980686.52"/>
    <n v="6445"/>
  </r>
  <r>
    <s v="DOLFUT"/>
    <x v="138"/>
    <x v="15"/>
    <n v="5982.6559999999999"/>
    <n v="5990.02"/>
    <n v="5982.6559999999999"/>
    <n v="5990.02"/>
    <n v="1464801839.6199999"/>
    <n v="4895"/>
  </r>
  <r>
    <s v="DOLFUT"/>
    <x v="138"/>
    <x v="16"/>
    <n v="5986.8639999999996"/>
    <n v="5988.442"/>
    <n v="5981.0780000000004"/>
    <n v="5982.6559999999999"/>
    <n v="3152465895"/>
    <n v="10535"/>
  </r>
  <r>
    <s v="DOLFUT"/>
    <x v="138"/>
    <x v="17"/>
    <n v="5984.76"/>
    <n v="5991.5990000000002"/>
    <n v="5984.2340000000004"/>
    <n v="5986.3379999999997"/>
    <n v="3094267036.5100002"/>
    <n v="10335"/>
  </r>
  <r>
    <s v="DOLFUT"/>
    <x v="138"/>
    <x v="18"/>
    <n v="5983.7079999999996"/>
    <n v="5988.442"/>
    <n v="5980.5519999999997"/>
    <n v="5985.2860000000001"/>
    <n v="3140582119.5300002"/>
    <n v="10495"/>
  </r>
  <r>
    <s v="DOLFUT"/>
    <x v="138"/>
    <x v="0"/>
    <n v="5978.9740000000002"/>
    <n v="5987.9160000000002"/>
    <n v="5975.2910000000002"/>
    <n v="5984.2340000000004"/>
    <n v="4491393665.3999996"/>
    <n v="15015"/>
  </r>
  <r>
    <s v="DOLFUT"/>
    <x v="138"/>
    <x v="1"/>
    <n v="5970.0309999999999"/>
    <n v="5979.5"/>
    <n v="5970.0309999999999"/>
    <n v="5978.9740000000002"/>
    <n v="2922104054.7800002"/>
    <n v="9780"/>
  </r>
  <r>
    <s v="DOLFUT"/>
    <x v="138"/>
    <x v="2"/>
    <n v="5971.0829999999996"/>
    <n v="5972.1350000000002"/>
    <n v="5964.2439999999997"/>
    <n v="5970.5569999999998"/>
    <n v="2488525629.7800002"/>
    <n v="8340"/>
  </r>
  <r>
    <s v="DOLFUT"/>
    <x v="138"/>
    <x v="3"/>
    <n v="5982.13"/>
    <n v="5988.9679999999998"/>
    <n v="5968.4530000000004"/>
    <n v="5970.5569999999998"/>
    <n v="2968023424.02"/>
    <n v="9930"/>
  </r>
  <r>
    <s v="DOLFUT"/>
    <x v="138"/>
    <x v="4"/>
    <n v="5990.5460000000003"/>
    <n v="5991.0730000000003"/>
    <n v="5979.5"/>
    <n v="5982.6559999999999"/>
    <n v="2626853833.6100001"/>
    <n v="8780"/>
  </r>
  <r>
    <s v="DOLFUT"/>
    <x v="138"/>
    <x v="5"/>
    <n v="5976.8689999999997"/>
    <n v="5992.6509999999998"/>
    <n v="5976.3429999999998"/>
    <n v="5991.0730000000003"/>
    <n v="4155046943.5999999"/>
    <n v="13885"/>
  </r>
  <r>
    <s v="DOLFUT"/>
    <x v="138"/>
    <x v="6"/>
    <n v="5984.2340000000004"/>
    <n v="5990.02"/>
    <n v="5977.3950000000004"/>
    <n v="5977.3950000000004"/>
    <n v="3418038765.9400001"/>
    <n v="11425"/>
  </r>
  <r>
    <s v="DOLFUT"/>
    <x v="138"/>
    <x v="7"/>
    <n v="5982.13"/>
    <n v="5993.1769999999997"/>
    <n v="5981.6040000000003"/>
    <n v="5984.2340000000004"/>
    <n v="7000564665.6800003"/>
    <n v="23390"/>
  </r>
  <r>
    <s v="DOLFUT"/>
    <x v="138"/>
    <x v="8"/>
    <n v="5991.0730000000003"/>
    <n v="6000.5410000000002"/>
    <n v="5977.9210000000003"/>
    <n v="5982.6559999999999"/>
    <n v="3770445759.8499999"/>
    <n v="12585"/>
  </r>
  <r>
    <s v="DOLFUT"/>
    <x v="138"/>
    <x v="9"/>
    <n v="5986.3379999999997"/>
    <n v="5996.8590000000004"/>
    <n v="5984.2340000000004"/>
    <n v="5990.02"/>
    <n v="3294106968.8699999"/>
    <n v="11000"/>
  </r>
  <r>
    <s v="DOLFUT"/>
    <x v="138"/>
    <x v="10"/>
    <n v="6006.3280000000004"/>
    <n v="6008.4319999999998"/>
    <n v="5985.2860000000001"/>
    <n v="5986.8639999999996"/>
    <n v="3603556594.73"/>
    <n v="12015"/>
  </r>
  <r>
    <s v="DOLFUT"/>
    <x v="138"/>
    <x v="11"/>
    <n v="6000.5410000000002"/>
    <n v="6008.9579999999996"/>
    <n v="5980.0259999999998"/>
    <n v="6006.8540000000003"/>
    <n v="4050259987.1900001"/>
    <n v="13520"/>
  </r>
  <r>
    <s v="DOLFUT"/>
    <x v="139"/>
    <x v="12"/>
    <n v="5985.8119999999999"/>
    <n v="5986.8639999999996"/>
    <n v="5980.5519999999997"/>
    <n v="5983.7079999999996"/>
    <n v="294749956.88"/>
    <n v="985"/>
  </r>
  <r>
    <s v="DOLFUT"/>
    <x v="139"/>
    <x v="13"/>
    <n v="5987.39"/>
    <n v="5987.39"/>
    <n v="5983.7079999999996"/>
    <n v="5984.76"/>
    <n v="1075948935.48"/>
    <n v="3595"/>
  </r>
  <r>
    <s v="DOLFUT"/>
    <x v="139"/>
    <x v="14"/>
    <n v="5995.8069999999998"/>
    <n v="5996.3329999999996"/>
    <n v="5982.13"/>
    <n v="5987.39"/>
    <n v="3087303052.5500002"/>
    <n v="10310"/>
  </r>
  <r>
    <s v="DOLFUT"/>
    <x v="139"/>
    <x v="15"/>
    <n v="5985.2860000000001"/>
    <n v="5995.8069999999998"/>
    <n v="5983.7079999999996"/>
    <n v="5995.8069999999998"/>
    <n v="5352851132.2299995"/>
    <n v="17880"/>
  </r>
  <r>
    <s v="DOLFUT"/>
    <x v="139"/>
    <x v="16"/>
    <n v="5985.8119999999999"/>
    <n v="5987.9160000000002"/>
    <n v="5984.2340000000004"/>
    <n v="5985.8119999999999"/>
    <n v="1812288121.4400001"/>
    <n v="6055"/>
  </r>
  <r>
    <s v="DOLFUT"/>
    <x v="139"/>
    <x v="17"/>
    <n v="5980.5519999999997"/>
    <n v="5986.8639999999996"/>
    <n v="5977.9210000000003"/>
    <n v="5985.2860000000001"/>
    <n v="4595083827.8699999"/>
    <n v="15360"/>
  </r>
  <r>
    <s v="DOLFUT"/>
    <x v="139"/>
    <x v="18"/>
    <n v="5984.2340000000004"/>
    <n v="5986.8639999999996"/>
    <n v="5980.0259999999998"/>
    <n v="5980.0259999999998"/>
    <n v="3193574494.5700002"/>
    <n v="10675"/>
  </r>
  <r>
    <s v="DOLFUT"/>
    <x v="139"/>
    <x v="0"/>
    <n v="5978.4480000000003"/>
    <n v="5985.2860000000001"/>
    <n v="5973.1869999999999"/>
    <n v="5984.2340000000004"/>
    <n v="2925986100.3699999"/>
    <n v="9790"/>
  </r>
  <r>
    <s v="DOLFUT"/>
    <x v="139"/>
    <x v="1"/>
    <n v="5977.9210000000003"/>
    <n v="5980.5519999999997"/>
    <n v="5975.817"/>
    <n v="5979.5"/>
    <n v="2795101103.1700001"/>
    <n v="9350"/>
  </r>
  <r>
    <s v="DOLFUT"/>
    <x v="139"/>
    <x v="2"/>
    <n v="5968.4530000000004"/>
    <n v="5988.9679999999998"/>
    <n v="5966.875"/>
    <n v="5977.3950000000004"/>
    <n v="5161989654.9899998"/>
    <n v="17260"/>
  </r>
  <r>
    <s v="DOLFUT"/>
    <x v="139"/>
    <x v="3"/>
    <n v="5973.1869999999999"/>
    <n v="5978.4480000000003"/>
    <n v="5966.875"/>
    <n v="5968.4530000000004"/>
    <n v="4299509171.3699999"/>
    <n v="14400"/>
  </r>
  <r>
    <s v="DOLFUT"/>
    <x v="139"/>
    <x v="4"/>
    <n v="5977.3950000000004"/>
    <n v="5978.4480000000003"/>
    <n v="5963.7179999999998"/>
    <n v="5973.1869999999999"/>
    <n v="2855963435"/>
    <n v="9565"/>
  </r>
  <r>
    <s v="DOLFUT"/>
    <x v="139"/>
    <x v="5"/>
    <n v="5977.9210000000003"/>
    <n v="5980.0259999999998"/>
    <n v="5970.0309999999999"/>
    <n v="5977.9210000000003"/>
    <n v="4638816973.79"/>
    <n v="15525"/>
  </r>
  <r>
    <s v="DOLFUT"/>
    <x v="139"/>
    <x v="6"/>
    <n v="5984.2340000000004"/>
    <n v="5990.5460000000003"/>
    <n v="5974.2389999999996"/>
    <n v="5977.9210000000003"/>
    <n v="3499834869.8499999"/>
    <n v="11700"/>
  </r>
  <r>
    <s v="DOLFUT"/>
    <x v="139"/>
    <x v="7"/>
    <n v="5977.9210000000003"/>
    <n v="5994.7550000000001"/>
    <n v="5972.6610000000001"/>
    <n v="5983.1819999999998"/>
    <n v="9505475660.4400005"/>
    <n v="31765"/>
  </r>
  <r>
    <s v="DOLFUT"/>
    <x v="139"/>
    <x v="8"/>
    <n v="5973.1869999999999"/>
    <n v="5993.1769999999997"/>
    <n v="5965.8230000000003"/>
    <n v="5977.9210000000003"/>
    <n v="6487883857.4300003"/>
    <n v="21690"/>
  </r>
  <r>
    <s v="DOLFUT"/>
    <x v="139"/>
    <x v="9"/>
    <n v="5980.5519999999997"/>
    <n v="5982.13"/>
    <n v="5964.77"/>
    <n v="5972.6610000000001"/>
    <n v="5264919952.3100004"/>
    <n v="17630"/>
  </r>
  <r>
    <s v="DOLFUT"/>
    <x v="139"/>
    <x v="10"/>
    <n v="5990.5460000000003"/>
    <n v="5993.1769999999997"/>
    <n v="5970.5569999999998"/>
    <n v="5980.0259999999998"/>
    <n v="4926467622.8599997"/>
    <n v="16470"/>
  </r>
  <r>
    <s v="DOLFUT"/>
    <x v="139"/>
    <x v="11"/>
    <n v="6011.5879999999997"/>
    <n v="6011.5879999999997"/>
    <n v="5978.4480000000003"/>
    <n v="5988.9679999999998"/>
    <n v="5688352901.8699999"/>
    <n v="18990"/>
  </r>
  <r>
    <s v="DOLFUT"/>
    <x v="140"/>
    <x v="12"/>
    <n v="6012.64"/>
    <n v="6015.7960000000003"/>
    <n v="6006.3280000000004"/>
    <n v="6007.38"/>
    <n v="1025155145.7"/>
    <n v="3410"/>
  </r>
  <r>
    <s v="DOLFUT"/>
    <x v="140"/>
    <x v="13"/>
    <n v="6013.1660000000002"/>
    <n v="6014.2179999999998"/>
    <n v="6010.5360000000001"/>
    <n v="6013.692"/>
    <n v="605812290.65999997"/>
    <n v="2015"/>
  </r>
  <r>
    <s v="DOLFUT"/>
    <x v="140"/>
    <x v="14"/>
    <n v="6021.5829999999996"/>
    <n v="6024.7389999999996"/>
    <n v="6012.64"/>
    <n v="6013.1660000000002"/>
    <n v="10319169723.91"/>
    <n v="34300"/>
  </r>
  <r>
    <s v="DOLFUT"/>
    <x v="140"/>
    <x v="15"/>
    <n v="6018.4269999999997"/>
    <n v="6034.7340000000004"/>
    <n v="6017.9009999999998"/>
    <n v="6021.5829999999996"/>
    <n v="3944255379.0999999"/>
    <n v="13090"/>
  </r>
  <r>
    <s v="DOLFUT"/>
    <x v="140"/>
    <x v="16"/>
    <n v="6014.7439999999997"/>
    <n v="6020.5309999999999"/>
    <n v="6012.1139999999996"/>
    <n v="6019.4790000000003"/>
    <n v="5829547367.5600004"/>
    <n v="19380"/>
  </r>
  <r>
    <s v="DOLFUT"/>
    <x v="140"/>
    <x v="17"/>
    <n v="6016.3220000000001"/>
    <n v="6020.0050000000001"/>
    <n v="6010.5360000000001"/>
    <n v="6014.2179999999998"/>
    <n v="13340616481.440001"/>
    <n v="44350"/>
  </r>
  <r>
    <s v="DOLFUT"/>
    <x v="140"/>
    <x v="18"/>
    <n v="6011.5879999999997"/>
    <n v="6015.7960000000003"/>
    <n v="6007.9059999999999"/>
    <n v="6015.7960000000003"/>
    <n v="8507946965.5"/>
    <n v="28295"/>
  </r>
  <r>
    <s v="DOLFUT"/>
    <x v="140"/>
    <x v="0"/>
    <n v="6021.5829999999996"/>
    <n v="6026.8429999999998"/>
    <n v="6011.0619999999999"/>
    <n v="6011.5879999999997"/>
    <n v="3943923579.21"/>
    <n v="13105"/>
  </r>
  <r>
    <s v="DOLFUT"/>
    <x v="140"/>
    <x v="1"/>
    <n v="6012.64"/>
    <n v="6025.7910000000002"/>
    <n v="6006.8540000000003"/>
    <n v="6022.1090000000004"/>
    <n v="6472542682.3599997"/>
    <n v="21520"/>
  </r>
  <r>
    <s v="DOLFUT"/>
    <x v="140"/>
    <x v="2"/>
    <n v="6003.6970000000001"/>
    <n v="6012.64"/>
    <n v="6000.5410000000002"/>
    <n v="6012.1139999999996"/>
    <n v="6341189509.3299999"/>
    <n v="21115"/>
  </r>
  <r>
    <s v="DOLFUT"/>
    <x v="140"/>
    <x v="3"/>
    <n v="6000.5410000000002"/>
    <n v="6008.4319999999998"/>
    <n v="5996.8590000000004"/>
    <n v="6005.2759999999998"/>
    <n v="3319154112.75"/>
    <n v="11060"/>
  </r>
  <r>
    <s v="DOLFUT"/>
    <x v="140"/>
    <x v="4"/>
    <n v="6014.2179999999998"/>
    <n v="6016.848"/>
    <n v="6000.0150000000003"/>
    <n v="6000.5410000000002"/>
    <n v="3252558599.6500001"/>
    <n v="10825"/>
  </r>
  <r>
    <s v="DOLFUT"/>
    <x v="140"/>
    <x v="5"/>
    <n v="5996.8590000000004"/>
    <n v="6014.7439999999997"/>
    <n v="5993.1769999999997"/>
    <n v="6014.2179999999998"/>
    <n v="4958905500.8500004"/>
    <n v="16525"/>
  </r>
  <r>
    <s v="DOLFUT"/>
    <x v="140"/>
    <x v="6"/>
    <n v="5990.5460000000003"/>
    <n v="6004.2240000000002"/>
    <n v="5989.4939999999997"/>
    <n v="5997.3850000000002"/>
    <n v="5329050572.2600002"/>
    <n v="17775"/>
  </r>
  <r>
    <s v="DOLFUT"/>
    <x v="140"/>
    <x v="7"/>
    <n v="5980.5519999999997"/>
    <n v="5991.5990000000002"/>
    <n v="5967.4009999999998"/>
    <n v="5991.0730000000003"/>
    <n v="8062862593.4399996"/>
    <n v="26965"/>
  </r>
  <r>
    <s v="DOLFUT"/>
    <x v="140"/>
    <x v="8"/>
    <n v="5986.3379999999997"/>
    <n v="5988.9679999999998"/>
    <n v="5959.51"/>
    <n v="5981.0780000000004"/>
    <n v="6697156612.1899996"/>
    <n v="22425"/>
  </r>
  <r>
    <s v="DOLFUT"/>
    <x v="140"/>
    <x v="9"/>
    <n v="5988.9679999999998"/>
    <n v="5995.8069999999998"/>
    <n v="5978.9740000000002"/>
    <n v="5986.8639999999996"/>
    <n v="4623612569.1899996"/>
    <n v="15445"/>
  </r>
  <r>
    <s v="DOLFUT"/>
    <x v="140"/>
    <x v="10"/>
    <n v="5985.2860000000001"/>
    <n v="6000.0150000000003"/>
    <n v="5980.0259999999998"/>
    <n v="5987.9160000000002"/>
    <n v="3626845712.0599999"/>
    <n v="12110"/>
  </r>
  <r>
    <s v="DOLFUT"/>
    <x v="140"/>
    <x v="11"/>
    <n v="6005.2759999999998"/>
    <n v="6014.2179999999998"/>
    <n v="5981.0780000000004"/>
    <n v="5985.8119999999999"/>
    <n v="5609694365.0900002"/>
    <n v="18705"/>
  </r>
  <r>
    <s v="DOLFUT"/>
    <x v="141"/>
    <x v="12"/>
    <n v="6031.0519999999997"/>
    <n v="6032.63"/>
    <n v="6024.2129999999997"/>
    <n v="6025.7910000000002"/>
    <n v="435570144.93000001"/>
    <n v="1445"/>
  </r>
  <r>
    <s v="DOLFUT"/>
    <x v="141"/>
    <x v="13"/>
    <n v="6036.8379999999997"/>
    <n v="6038.4160000000002"/>
    <n v="6031.0519999999997"/>
    <n v="6033.1559999999999"/>
    <n v="876548378.24000001"/>
    <n v="2905"/>
  </r>
  <r>
    <s v="DOLFUT"/>
    <x v="141"/>
    <x v="14"/>
    <n v="6035.26"/>
    <n v="6039.9939999999997"/>
    <n v="6029.9989999999998"/>
    <n v="6036.8379999999997"/>
    <n v="1508868626.5699999"/>
    <n v="5000"/>
  </r>
  <r>
    <s v="DOLFUT"/>
    <x v="141"/>
    <x v="15"/>
    <n v="6027.8950000000004"/>
    <n v="6035.7860000000001"/>
    <n v="6027.8950000000004"/>
    <n v="6035.26"/>
    <n v="2742328612.96"/>
    <n v="9095"/>
  </r>
  <r>
    <s v="DOLFUT"/>
    <x v="141"/>
    <x v="16"/>
    <n v="6028.4210000000003"/>
    <n v="6030.5259999999998"/>
    <n v="6026.317"/>
    <n v="6027.8950000000004"/>
    <n v="3775192878.6500001"/>
    <n v="12525"/>
  </r>
  <r>
    <s v="DOLFUT"/>
    <x v="141"/>
    <x v="17"/>
    <n v="6030.5259999999998"/>
    <n v="6038.942"/>
    <n v="6025.2650000000003"/>
    <n v="6028.4210000000003"/>
    <n v="2958223162.5"/>
    <n v="9810"/>
  </r>
  <r>
    <s v="DOLFUT"/>
    <x v="141"/>
    <x v="18"/>
    <n v="6044.7290000000003"/>
    <n v="6046.8329999999996"/>
    <n v="6028.4210000000003"/>
    <n v="6031.0519999999997"/>
    <n v="4005824051.4899998"/>
    <n v="13270"/>
  </r>
  <r>
    <s v="DOLFUT"/>
    <x v="141"/>
    <x v="0"/>
    <n v="6048.9369999999999"/>
    <n v="6050.5150000000003"/>
    <n v="6039.9939999999997"/>
    <n v="6044.7290000000003"/>
    <n v="3274421753.3499999"/>
    <n v="10835"/>
  </r>
  <r>
    <s v="DOLFUT"/>
    <x v="141"/>
    <x v="1"/>
    <n v="6035.7860000000001"/>
    <n v="6053.1450000000004"/>
    <n v="6034.2079999999996"/>
    <n v="6049.4629999999997"/>
    <n v="3018693462.8200002"/>
    <n v="9990"/>
  </r>
  <r>
    <s v="DOLFUT"/>
    <x v="141"/>
    <x v="2"/>
    <n v="6037.89"/>
    <n v="6038.942"/>
    <n v="6031.0519999999997"/>
    <n v="6035.7860000000001"/>
    <n v="4089610954.7399998"/>
    <n v="13555"/>
  </r>
  <r>
    <s v="DOLFUT"/>
    <x v="141"/>
    <x v="3"/>
    <n v="6050.5150000000003"/>
    <n v="6050.5150000000003"/>
    <n v="6034.2079999999996"/>
    <n v="6037.3639999999996"/>
    <n v="4870053618.96"/>
    <n v="16125"/>
  </r>
  <r>
    <s v="DOLFUT"/>
    <x v="141"/>
    <x v="4"/>
    <n v="6046.3069999999998"/>
    <n v="6052.6189999999997"/>
    <n v="6044.7290000000003"/>
    <n v="6048.9369999999999"/>
    <n v="3230439658.8800001"/>
    <n v="10680"/>
  </r>
  <r>
    <s v="DOLFUT"/>
    <x v="141"/>
    <x v="5"/>
    <n v="6061.5619999999999"/>
    <n v="6062.6139999999996"/>
    <n v="6043.15"/>
    <n v="6046.3069999999998"/>
    <n v="4712994831.1700001"/>
    <n v="15570"/>
  </r>
  <r>
    <s v="DOLFUT"/>
    <x v="141"/>
    <x v="6"/>
    <n v="6069.9790000000003"/>
    <n v="6075.7650000000003"/>
    <n v="6059.9840000000004"/>
    <n v="6061.0360000000001"/>
    <n v="3700800791.3800001"/>
    <n v="12195"/>
  </r>
  <r>
    <s v="DOLFUT"/>
    <x v="141"/>
    <x v="7"/>
    <n v="6066.2960000000003"/>
    <n v="6072.0829999999996"/>
    <n v="6058.9319999999998"/>
    <n v="6069.9790000000003"/>
    <n v="4039029159.1900001"/>
    <n v="13320"/>
  </r>
  <r>
    <s v="DOLFUT"/>
    <x v="141"/>
    <x v="8"/>
    <n v="6074.1869999999999"/>
    <n v="6076.817"/>
    <n v="6064.192"/>
    <n v="6065.77"/>
    <n v="10347546308.08"/>
    <n v="34110"/>
  </r>
  <r>
    <s v="DOLFUT"/>
    <x v="141"/>
    <x v="9"/>
    <n v="6082.0770000000002"/>
    <n v="6085.2340000000004"/>
    <n v="6068.4"/>
    <n v="6075.2389999999996"/>
    <n v="4341729688.5299997"/>
    <n v="14290"/>
  </r>
  <r>
    <s v="DOLFUT"/>
    <x v="141"/>
    <x v="10"/>
    <n v="6108.3789999999999"/>
    <n v="6110.4840000000004"/>
    <n v="6080.4989999999998"/>
    <n v="6082.0770000000002"/>
    <n v="4750305946.1099997"/>
    <n v="15600"/>
  </r>
  <r>
    <s v="DOLFUT"/>
    <x v="141"/>
    <x v="11"/>
    <n v="6104.1710000000003"/>
    <n v="6113.1139999999996"/>
    <n v="6097.3329999999996"/>
    <n v="6108.3789999999999"/>
    <n v="3422320996.6700001"/>
    <n v="11210"/>
  </r>
  <r>
    <s v="DOLFUT"/>
    <x v="142"/>
    <x v="12"/>
    <n v="6121.0039999999999"/>
    <n v="6129.4210000000003"/>
    <n v="6115.7439999999997"/>
    <n v="6115.7439999999997"/>
    <n v="453072424.88999999"/>
    <n v="1480"/>
  </r>
  <r>
    <s v="DOLFUT"/>
    <x v="142"/>
    <x v="13"/>
    <n v="6122.0569999999998"/>
    <n v="6123.6350000000002"/>
    <n v="6118.9"/>
    <n v="6120.4780000000001"/>
    <n v="645801871.08000004"/>
    <n v="2110"/>
  </r>
  <r>
    <s v="DOLFUT"/>
    <x v="142"/>
    <x v="14"/>
    <n v="6119.9520000000002"/>
    <n v="6122.0569999999998"/>
    <n v="6112.5879999999997"/>
    <n v="6122.0569999999998"/>
    <n v="2452928485.5100002"/>
    <n v="8020"/>
  </r>
  <r>
    <s v="DOLFUT"/>
    <x v="142"/>
    <x v="15"/>
    <n v="6122.5829999999996"/>
    <n v="6124.1610000000001"/>
    <n v="6118.9"/>
    <n v="6119.9520000000002"/>
    <n v="1286924877.0899999"/>
    <n v="4205"/>
  </r>
  <r>
    <s v="DOLFUT"/>
    <x v="142"/>
    <x v="16"/>
    <n v="6113.64"/>
    <n v="6125.2129999999997"/>
    <n v="6112.5879999999997"/>
    <n v="6122.0569999999998"/>
    <n v="3293342632.3800001"/>
    <n v="10765"/>
  </r>
  <r>
    <s v="DOLFUT"/>
    <x v="142"/>
    <x v="17"/>
    <n v="6121.53"/>
    <n v="6121.53"/>
    <n v="6109.4319999999998"/>
    <n v="6114.1660000000002"/>
    <n v="5115517417.4499998"/>
    <n v="16730"/>
  </r>
  <r>
    <s v="DOLFUT"/>
    <x v="142"/>
    <x v="18"/>
    <n v="6120.4780000000001"/>
    <n v="6124.6869999999999"/>
    <n v="6118.3739999999998"/>
    <n v="6121.53"/>
    <n v="2656544203.3299999"/>
    <n v="8680"/>
  </r>
  <r>
    <s v="DOLFUT"/>
    <x v="142"/>
    <x v="0"/>
    <n v="6126.2650000000003"/>
    <n v="6134.6809999999996"/>
    <n v="6118.3739999999998"/>
    <n v="6121.0039999999999"/>
    <n v="4067341566.46"/>
    <n v="13275"/>
  </r>
  <r>
    <s v="DOLFUT"/>
    <x v="142"/>
    <x v="1"/>
    <n v="6117.848"/>
    <n v="6128.8950000000004"/>
    <n v="6114.692"/>
    <n v="6126.7910000000002"/>
    <n v="2976826970.7600002"/>
    <n v="9725"/>
  </r>
  <r>
    <s v="DOLFUT"/>
    <x v="142"/>
    <x v="2"/>
    <n v="6123.1090000000004"/>
    <n v="6128.3689999999997"/>
    <n v="6114.692"/>
    <n v="6118.3739999999998"/>
    <n v="5614802347.5100002"/>
    <n v="18345"/>
  </r>
  <r>
    <s v="DOLFUT"/>
    <x v="142"/>
    <x v="3"/>
    <n v="6146.2539999999999"/>
    <n v="6151.5150000000003"/>
    <n v="6114.692"/>
    <n v="6121.53"/>
    <n v="8519196467.9300003"/>
    <n v="27765"/>
  </r>
  <r>
    <s v="DOLFUT"/>
    <x v="142"/>
    <x v="4"/>
    <n v="6167.2960000000003"/>
    <n v="6168.8739999999998"/>
    <n v="6144.6760000000004"/>
    <n v="6146.78"/>
    <n v="3839750117.25"/>
    <n v="12475"/>
  </r>
  <r>
    <s v="DOLFUT"/>
    <x v="142"/>
    <x v="5"/>
    <n v="6175.1869999999999"/>
    <n v="6177.817"/>
    <n v="6162.0360000000001"/>
    <n v="6167.8220000000001"/>
    <n v="3964955194.77"/>
    <n v="12850"/>
  </r>
  <r>
    <s v="DOLFUT"/>
    <x v="142"/>
    <x v="6"/>
    <n v="6177.817"/>
    <n v="6188.3379999999997"/>
    <n v="6174.6610000000001"/>
    <n v="6175.1869999999999"/>
    <n v="2278332699.0900002"/>
    <n v="7370"/>
  </r>
  <r>
    <s v="DOLFUT"/>
    <x v="142"/>
    <x v="7"/>
    <n v="6175.1869999999999"/>
    <n v="6181.4989999999998"/>
    <n v="6167.2960000000003"/>
    <n v="6178.8689999999997"/>
    <n v="3572822692.6500001"/>
    <n v="11570"/>
  </r>
  <r>
    <s v="DOLFUT"/>
    <x v="142"/>
    <x v="8"/>
    <n v="6178.3429999999998"/>
    <n v="6181.4989999999998"/>
    <n v="6169.4"/>
    <n v="6174.1350000000002"/>
    <n v="4745630631.8000002"/>
    <n v="15370"/>
  </r>
  <r>
    <s v="DOLFUT"/>
    <x v="142"/>
    <x v="9"/>
    <n v="6185.7070000000003"/>
    <n v="6201.4889999999996"/>
    <n v="6176.2389999999996"/>
    <n v="6178.8689999999997"/>
    <n v="4407321911.3400002"/>
    <n v="14245"/>
  </r>
  <r>
    <s v="DOLFUT"/>
    <x v="142"/>
    <x v="10"/>
    <n v="6183.6030000000001"/>
    <n v="6197.28"/>
    <n v="6179.9210000000003"/>
    <n v="6185.7070000000003"/>
    <n v="3129984380.98"/>
    <n v="10115"/>
  </r>
  <r>
    <s v="DOLFUT"/>
    <x v="142"/>
    <x v="11"/>
    <n v="6194.1239999999998"/>
    <n v="6206.223"/>
    <n v="6179.3950000000004"/>
    <n v="6184.6549999999997"/>
    <n v="3748588129.5700002"/>
    <n v="12105"/>
  </r>
  <r>
    <s v="DOLFUT"/>
    <x v="143"/>
    <x v="12"/>
    <n v="6186.759"/>
    <n v="6192.02"/>
    <n v="6185.1809999999996"/>
    <n v="6185.1809999999996"/>
    <n v="948273441.39999998"/>
    <n v="3065"/>
  </r>
  <r>
    <s v="DOLFUT"/>
    <x v="143"/>
    <x v="13"/>
    <n v="6185.1809999999996"/>
    <n v="6187.8119999999999"/>
    <n v="6184.1289999999999"/>
    <n v="6186.2330000000002"/>
    <n v="590748470.32000005"/>
    <n v="1910"/>
  </r>
  <r>
    <s v="DOLFUT"/>
    <x v="143"/>
    <x v="14"/>
    <n v="6184.1289999999999"/>
    <n v="6186.759"/>
    <n v="6176.2389999999996"/>
    <n v="6184.6549999999997"/>
    <n v="3729829928.5"/>
    <n v="12065"/>
  </r>
  <r>
    <s v="DOLFUT"/>
    <x v="143"/>
    <x v="15"/>
    <n v="6188.3379999999997"/>
    <n v="6189.9160000000002"/>
    <n v="6183.0770000000002"/>
    <n v="6184.1289999999999"/>
    <n v="1705933039.02"/>
    <n v="5515"/>
  </r>
  <r>
    <s v="DOLFUT"/>
    <x v="143"/>
    <x v="16"/>
    <n v="6175.7129999999997"/>
    <n v="6188.3379999999997"/>
    <n v="6175.7129999999997"/>
    <n v="6188.3379999999997"/>
    <n v="2760283682.0700002"/>
    <n v="8930"/>
  </r>
  <r>
    <s v="DOLFUT"/>
    <x v="143"/>
    <x v="17"/>
    <n v="6179.9210000000003"/>
    <n v="6184.6549999999997"/>
    <n v="6171.5039999999999"/>
    <n v="6175.1869999999999"/>
    <n v="4997786845.96"/>
    <n v="16175"/>
  </r>
  <r>
    <s v="DOLFUT"/>
    <x v="143"/>
    <x v="18"/>
    <n v="6191.4939999999997"/>
    <n v="6192.02"/>
    <n v="6178.8689999999997"/>
    <n v="6180.4470000000001"/>
    <n v="3742622964.5599999"/>
    <n v="12100"/>
  </r>
  <r>
    <s v="DOLFUT"/>
    <x v="143"/>
    <x v="0"/>
    <n v="6175.1869999999999"/>
    <n v="6195.7020000000002"/>
    <n v="6174.6610000000001"/>
    <n v="6191.4939999999997"/>
    <n v="3218223294.4499998"/>
    <n v="10405"/>
  </r>
  <r>
    <s v="DOLFUT"/>
    <x v="143"/>
    <x v="1"/>
    <n v="6177.2910000000002"/>
    <n v="6179.9210000000003"/>
    <n v="6170.4520000000002"/>
    <n v="6175.7129999999997"/>
    <n v="2097971116.9200001"/>
    <n v="6795"/>
  </r>
  <r>
    <s v="DOLFUT"/>
    <x v="143"/>
    <x v="2"/>
    <n v="6177.2910000000002"/>
    <n v="6181.4989999999998"/>
    <n v="6174.6610000000001"/>
    <n v="6176.7650000000003"/>
    <n v="1269662471.49"/>
    <n v="4110"/>
  </r>
  <r>
    <s v="DOLFUT"/>
    <x v="143"/>
    <x v="3"/>
    <n v="6180.4470000000001"/>
    <n v="6187.2860000000001"/>
    <n v="6174.1350000000002"/>
    <n v="6177.2910000000002"/>
    <n v="4231989931.5900002"/>
    <n v="13690"/>
  </r>
  <r>
    <s v="DOLFUT"/>
    <x v="143"/>
    <x v="4"/>
    <n v="6182.5510000000004"/>
    <n v="6185.1809999999996"/>
    <n v="6174.1350000000002"/>
    <n v="6179.9210000000003"/>
    <n v="2631006263.9000001"/>
    <n v="8515"/>
  </r>
  <r>
    <s v="DOLFUT"/>
    <x v="143"/>
    <x v="5"/>
    <n v="6203.067"/>
    <n v="6205.1710000000003"/>
    <n v="6177.2910000000002"/>
    <n v="6181.4989999999998"/>
    <n v="5946126305.4200001"/>
    <n v="19220"/>
  </r>
  <r>
    <s v="DOLFUT"/>
    <x v="143"/>
    <x v="6"/>
    <n v="6196.2280000000001"/>
    <n v="6205.1710000000003"/>
    <n v="6192.5460000000003"/>
    <n v="6202.5410000000002"/>
    <n v="4555146851.4700003"/>
    <n v="14700"/>
  </r>
  <r>
    <s v="DOLFUT"/>
    <x v="143"/>
    <x v="7"/>
    <n v="6201.4889999999996"/>
    <n v="6203.067"/>
    <n v="6189.9160000000002"/>
    <n v="6196.7539999999999"/>
    <n v="5567099570.29"/>
    <n v="17970"/>
  </r>
  <r>
    <s v="DOLFUT"/>
    <x v="143"/>
    <x v="8"/>
    <n v="6224.1080000000002"/>
    <n v="6227.7910000000002"/>
    <n v="6197.8059999999996"/>
    <n v="6202.0150000000003"/>
    <n v="5167470599.9499998"/>
    <n v="16640"/>
  </r>
  <r>
    <s v="DOLFUT"/>
    <x v="143"/>
    <x v="9"/>
    <n v="6225.16"/>
    <n v="6238.3109999999997"/>
    <n v="6217.7960000000003"/>
    <n v="6225.16"/>
    <n v="5024688544.7600002"/>
    <n v="16140"/>
  </r>
  <r>
    <s v="DOLFUT"/>
    <x v="143"/>
    <x v="10"/>
    <n v="6192.5460000000003"/>
    <n v="6231.9989999999998"/>
    <n v="6189.39"/>
    <n v="6224.634"/>
    <n v="5403464621.71"/>
    <n v="17390"/>
  </r>
  <r>
    <s v="DOLFUT"/>
    <x v="143"/>
    <x v="11"/>
    <n v="6191.4939999999997"/>
    <n v="6199.384"/>
    <n v="6182.0249999999996"/>
    <n v="6193.0720000000001"/>
    <n v="5923458047.1000004"/>
    <n v="19135"/>
  </r>
  <r>
    <s v="DOLFUT"/>
    <x v="144"/>
    <x v="12"/>
    <n v="6206.223"/>
    <n v="6206.223"/>
    <n v="6195.1760000000004"/>
    <n v="6196.7539999999999"/>
    <n v="516295362.38"/>
    <n v="1665"/>
  </r>
  <r>
    <s v="DOLFUT"/>
    <x v="144"/>
    <x v="13"/>
    <n v="6206.7489999999998"/>
    <n v="6207.2749999999996"/>
    <n v="6203.067"/>
    <n v="6206.223"/>
    <n v="744566192.57000005"/>
    <n v="2400"/>
  </r>
  <r>
    <s v="DOLFUT"/>
    <x v="144"/>
    <x v="14"/>
    <n v="6209.3789999999999"/>
    <n v="6209.9049999999997"/>
    <n v="6206.223"/>
    <n v="6206.7489999999998"/>
    <n v="1974047078.9400001"/>
    <n v="6360"/>
  </r>
  <r>
    <s v="DOLFUT"/>
    <x v="144"/>
    <x v="15"/>
    <n v="6210.4309999999996"/>
    <n v="6213.5879999999997"/>
    <n v="6208.8530000000001"/>
    <n v="6209.9049999999997"/>
    <n v="967416177.90999997"/>
    <n v="3115"/>
  </r>
  <r>
    <s v="DOLFUT"/>
    <x v="144"/>
    <x v="16"/>
    <n v="6216.7439999999997"/>
    <n v="6216.7439999999997"/>
    <n v="6206.7489999999998"/>
    <n v="6210.4309999999996"/>
    <n v="1974714492.52"/>
    <n v="6360"/>
  </r>
  <r>
    <s v="DOLFUT"/>
    <x v="144"/>
    <x v="17"/>
    <n v="6217.7960000000003"/>
    <n v="6218.848"/>
    <n v="6207.8010000000004"/>
    <n v="6215.692"/>
    <n v="3607384984.2199998"/>
    <n v="11610"/>
  </r>
  <r>
    <s v="DOLFUT"/>
    <x v="144"/>
    <x v="18"/>
    <n v="6212.009"/>
    <n v="6218.3220000000001"/>
    <n v="6207.2749999999996"/>
    <n v="6217.27"/>
    <n v="3775269680.5300002"/>
    <n v="12155"/>
  </r>
  <r>
    <s v="DOLFUT"/>
    <x v="144"/>
    <x v="0"/>
    <n v="6216.2179999999998"/>
    <n v="6217.27"/>
    <n v="6208.3270000000002"/>
    <n v="6212.009"/>
    <n v="2268003109.5599999"/>
    <n v="7300"/>
  </r>
  <r>
    <s v="DOLFUT"/>
    <x v="144"/>
    <x v="1"/>
    <n v="6215.692"/>
    <n v="6222.53"/>
    <n v="6214.64"/>
    <n v="6216.2179999999998"/>
    <n v="2543344022.0599999"/>
    <n v="8180"/>
  </r>
  <r>
    <s v="DOLFUT"/>
    <x v="144"/>
    <x v="2"/>
    <n v="6217.27"/>
    <n v="6223.5820000000003"/>
    <n v="6212.5349999999999"/>
    <n v="6216.2179999999998"/>
    <n v="2168458275.8400002"/>
    <n v="6975"/>
  </r>
  <r>
    <s v="DOLFUT"/>
    <x v="144"/>
    <x v="3"/>
    <n v="6200.4369999999999"/>
    <n v="6222.53"/>
    <n v="6200.4369999999999"/>
    <n v="6219.3739999999998"/>
    <n v="3761541739.4200001"/>
    <n v="12110"/>
  </r>
  <r>
    <s v="DOLFUT"/>
    <x v="144"/>
    <x v="4"/>
    <n v="6203.067"/>
    <n v="6211.4830000000002"/>
    <n v="6198.3320000000003"/>
    <n v="6200.9629999999997"/>
    <n v="1284318216.0999999"/>
    <n v="4140"/>
  </r>
  <r>
    <s v="DOLFUT"/>
    <x v="144"/>
    <x v="5"/>
    <n v="6196.7539999999999"/>
    <n v="6217.7960000000003"/>
    <n v="6195.1760000000004"/>
    <n v="6203.5929999999998"/>
    <n v="3046499030.3000002"/>
    <n v="9815"/>
  </r>
  <r>
    <s v="DOLFUT"/>
    <x v="144"/>
    <x v="6"/>
    <n v="6198.8580000000002"/>
    <n v="6213.5879999999997"/>
    <n v="6193.598"/>
    <n v="6196.7539999999999"/>
    <n v="6182169511.9399996"/>
    <n v="19925"/>
  </r>
  <r>
    <s v="DOLFUT"/>
    <x v="144"/>
    <x v="7"/>
    <n v="6182.0249999999996"/>
    <n v="6199.384"/>
    <n v="6178.3429999999998"/>
    <n v="6199.384"/>
    <n v="4459011942.21"/>
    <n v="14420"/>
  </r>
  <r>
    <s v="DOLFUT"/>
    <x v="144"/>
    <x v="8"/>
    <n v="6183.0770000000002"/>
    <n v="6193.598"/>
    <n v="6179.9210000000003"/>
    <n v="6182.5510000000004"/>
    <n v="4416794449.7799997"/>
    <n v="14280"/>
  </r>
  <r>
    <s v="DOLFUT"/>
    <x v="144"/>
    <x v="9"/>
    <n v="6178.3429999999998"/>
    <n v="6190.442"/>
    <n v="6168.8739999999998"/>
    <n v="6183.0770000000002"/>
    <n v="6689114903.2600002"/>
    <n v="21640"/>
  </r>
  <r>
    <s v="DOLFUT"/>
    <x v="144"/>
    <x v="10"/>
    <n v="6156.7749999999996"/>
    <n v="6179.3950000000004"/>
    <n v="6149.9369999999999"/>
    <n v="6176.7650000000003"/>
    <n v="4062839845.4400001"/>
    <n v="13185"/>
  </r>
  <r>
    <s v="DOLFUT"/>
    <x v="144"/>
    <x v="11"/>
    <n v="6175.7129999999997"/>
    <n v="6184.1289999999999"/>
    <n v="6149.4110000000001"/>
    <n v="6156.7749999999996"/>
    <n v="3729720775.1500001"/>
    <n v="12105"/>
  </r>
  <r>
    <s v="DOLFUT"/>
    <x v="145"/>
    <x v="12"/>
    <n v="6175.7129999999997"/>
    <n v="6179.9210000000003"/>
    <n v="6173.6080000000002"/>
    <n v="6179.9210000000003"/>
    <n v="239343714.61000001"/>
    <n v="775"/>
  </r>
  <r>
    <s v="DOLFUT"/>
    <x v="145"/>
    <x v="13"/>
    <n v="6173.6080000000002"/>
    <n v="6178.3429999999998"/>
    <n v="6172.5559999999996"/>
    <n v="6175.7129999999997"/>
    <n v="469330882.66000003"/>
    <n v="1520"/>
  </r>
  <r>
    <s v="DOLFUT"/>
    <x v="145"/>
    <x v="14"/>
    <n v="6171.5039999999999"/>
    <n v="6174.1350000000002"/>
    <n v="6165.192"/>
    <n v="6173.0820000000003"/>
    <n v="1604483676.55"/>
    <n v="5200"/>
  </r>
  <r>
    <s v="DOLFUT"/>
    <x v="145"/>
    <x v="15"/>
    <n v="6170.9780000000001"/>
    <n v="6172.5559999999996"/>
    <n v="6166.2439999999997"/>
    <n v="6170.9780000000001"/>
    <n v="2031509481.0699999"/>
    <n v="6585"/>
  </r>
  <r>
    <s v="DOLFUT"/>
    <x v="145"/>
    <x v="16"/>
    <n v="6173.0820000000003"/>
    <n v="6177.2910000000002"/>
    <n v="6168.8739999999998"/>
    <n v="6170.4520000000002"/>
    <n v="2544728691.5300002"/>
    <n v="8245"/>
  </r>
  <r>
    <s v="DOLFUT"/>
    <x v="145"/>
    <x v="17"/>
    <n v="6172.5559999999996"/>
    <n v="6177.817"/>
    <n v="6169.4"/>
    <n v="6172.03"/>
    <n v="2072697381.21"/>
    <n v="6715"/>
  </r>
  <r>
    <s v="DOLFUT"/>
    <x v="145"/>
    <x v="18"/>
    <n v="6181.4989999999998"/>
    <n v="6181.4989999999998"/>
    <n v="6168.8739999999998"/>
    <n v="6172.5559999999996"/>
    <n v="2842807036.6300001"/>
    <n v="9210"/>
  </r>
  <r>
    <s v="DOLFUT"/>
    <x v="145"/>
    <x v="0"/>
    <n v="6178.8689999999997"/>
    <n v="6182.5510000000004"/>
    <n v="6173.6080000000002"/>
    <n v="6182.0249999999996"/>
    <n v="2411870648.8299999"/>
    <n v="7810"/>
  </r>
  <r>
    <s v="DOLFUT"/>
    <x v="145"/>
    <x v="1"/>
    <n v="6172.5559999999996"/>
    <n v="6185.1809999999996"/>
    <n v="6163.6139999999996"/>
    <n v="6178.3429999999998"/>
    <n v="5067656302.1099997"/>
    <n v="16405"/>
  </r>
  <r>
    <s v="DOLFUT"/>
    <x v="145"/>
    <x v="2"/>
    <n v="6186.2330000000002"/>
    <n v="6187.8119999999999"/>
    <n v="6170.9780000000001"/>
    <n v="6173.0820000000003"/>
    <n v="3076608654.0999999"/>
    <n v="9960"/>
  </r>
  <r>
    <s v="DOLFUT"/>
    <x v="145"/>
    <x v="3"/>
    <n v="6184.6549999999997"/>
    <n v="6195.1760000000004"/>
    <n v="6182.5510000000004"/>
    <n v="6186.2330000000002"/>
    <n v="3999694367.3800001"/>
    <n v="12930"/>
  </r>
  <r>
    <s v="DOLFUT"/>
    <x v="145"/>
    <x v="4"/>
    <n v="6179.9210000000003"/>
    <n v="6193.0720000000001"/>
    <n v="6174.6610000000001"/>
    <n v="6184.6549999999997"/>
    <n v="3189947183.9699998"/>
    <n v="10315"/>
  </r>
  <r>
    <s v="DOLFUT"/>
    <x v="145"/>
    <x v="5"/>
    <n v="6160.4570000000003"/>
    <n v="6181.4989999999998"/>
    <n v="6156.2489999999998"/>
    <n v="6180.4470000000001"/>
    <n v="2975552375.21"/>
    <n v="9650"/>
  </r>
  <r>
    <s v="DOLFUT"/>
    <x v="145"/>
    <x v="6"/>
    <n v="6152.567"/>
    <n v="6164.6660000000002"/>
    <n v="6150.9889999999996"/>
    <n v="6160.4570000000003"/>
    <n v="3590446224.8800001"/>
    <n v="11660"/>
  </r>
  <r>
    <s v="DOLFUT"/>
    <x v="145"/>
    <x v="7"/>
    <n v="6154.1450000000004"/>
    <n v="6156.2489999999998"/>
    <n v="6145.7280000000001"/>
    <n v="6152.0410000000002"/>
    <n v="3748226213.8800001"/>
    <n v="12185"/>
  </r>
  <r>
    <s v="DOLFUT"/>
    <x v="145"/>
    <x v="8"/>
    <n v="6160.4570000000003"/>
    <n v="6161.51"/>
    <n v="6149.4110000000001"/>
    <n v="6154.1450000000004"/>
    <n v="2836068329.4200001"/>
    <n v="9215"/>
  </r>
  <r>
    <s v="DOLFUT"/>
    <x v="145"/>
    <x v="9"/>
    <n v="6175.7129999999997"/>
    <n v="6177.2910000000002"/>
    <n v="6146.2539999999999"/>
    <n v="6159.4049999999997"/>
    <n v="5688243222.4799995"/>
    <n v="18475"/>
  </r>
  <r>
    <s v="DOLFUT"/>
    <x v="145"/>
    <x v="10"/>
    <n v="6162.5619999999999"/>
    <n v="6175.7129999999997"/>
    <n v="6162.0360000000001"/>
    <n v="6175.1869999999999"/>
    <n v="3474208818.6700001"/>
    <n v="11265"/>
  </r>
  <r>
    <s v="DOLFUT"/>
    <x v="145"/>
    <x v="11"/>
    <n v="6165.192"/>
    <n v="6175.7129999999997"/>
    <n v="6156.2489999999998"/>
    <n v="6160.9840000000004"/>
    <n v="3286791721.5300002"/>
    <n v="10665"/>
  </r>
  <r>
    <s v="DOLFUT"/>
    <x v="146"/>
    <x v="12"/>
    <n v="6189.39"/>
    <n v="6190.9679999999998"/>
    <n v="6182.5510000000004"/>
    <n v="6188.8639999999996"/>
    <n v="368062609.54000002"/>
    <n v="1190"/>
  </r>
  <r>
    <s v="DOLFUT"/>
    <x v="146"/>
    <x v="13"/>
    <n v="6190.9679999999998"/>
    <n v="6196.2280000000001"/>
    <n v="6186.759"/>
    <n v="6187.8119999999999"/>
    <n v="1383691692.21"/>
    <n v="4470"/>
  </r>
  <r>
    <s v="DOLFUT"/>
    <x v="146"/>
    <x v="14"/>
    <n v="6192.5460000000003"/>
    <n v="6196.7539999999999"/>
    <n v="6184.6549999999997"/>
    <n v="6190.9679999999998"/>
    <n v="1949877238.71"/>
    <n v="6300"/>
  </r>
  <r>
    <s v="DOLFUT"/>
    <x v="146"/>
    <x v="15"/>
    <n v="6192.02"/>
    <n v="6198.8580000000002"/>
    <n v="6188.8639999999996"/>
    <n v="6191.4939999999997"/>
    <n v="2280312320.0900002"/>
    <n v="7365"/>
  </r>
  <r>
    <s v="DOLFUT"/>
    <x v="146"/>
    <x v="16"/>
    <n v="6196.2280000000001"/>
    <n v="6198.3320000000003"/>
    <n v="6187.8119999999999"/>
    <n v="6191.4939999999997"/>
    <n v="2335717773.3099999"/>
    <n v="7545"/>
  </r>
  <r>
    <s v="DOLFUT"/>
    <x v="146"/>
    <x v="17"/>
    <n v="6193.0720000000001"/>
    <n v="6205.6970000000001"/>
    <n v="6191.4939999999997"/>
    <n v="6195.7020000000002"/>
    <n v="4806495462.3199997"/>
    <n v="15510"/>
  </r>
  <r>
    <s v="DOLFUT"/>
    <x v="146"/>
    <x v="18"/>
    <n v="6182.0249999999996"/>
    <n v="6194.65"/>
    <n v="6177.2910000000002"/>
    <n v="6193.0720000000001"/>
    <n v="6561807374.3400002"/>
    <n v="21210"/>
  </r>
  <r>
    <s v="DOLFUT"/>
    <x v="146"/>
    <x v="0"/>
    <n v="6197.8059999999996"/>
    <n v="6205.6970000000001"/>
    <n v="6172.03"/>
    <n v="6182.0249999999996"/>
    <n v="6126334678.3699999"/>
    <n v="19810"/>
  </r>
  <r>
    <s v="DOLFUT"/>
    <x v="146"/>
    <x v="1"/>
    <n v="6204.6450000000004"/>
    <n v="6209.9049999999997"/>
    <n v="6189.39"/>
    <n v="6197.28"/>
    <n v="3860230705.6399999"/>
    <n v="12450"/>
  </r>
  <r>
    <s v="DOLFUT"/>
    <x v="146"/>
    <x v="2"/>
    <n v="6192.5460000000003"/>
    <n v="6210.9570000000003"/>
    <n v="6187.2860000000001"/>
    <n v="6206.223"/>
    <n v="4651020187.21"/>
    <n v="15005"/>
  </r>
  <r>
    <s v="DOLFUT"/>
    <x v="146"/>
    <x v="3"/>
    <n v="6202.0150000000003"/>
    <n v="6202.0150000000003"/>
    <n v="6182.5510000000004"/>
    <n v="6192.5460000000003"/>
    <n v="4217265012.6799998"/>
    <n v="13620"/>
  </r>
  <r>
    <s v="DOLFUT"/>
    <x v="146"/>
    <x v="4"/>
    <n v="6213.5879999999997"/>
    <n v="6215.692"/>
    <n v="6200.4369999999999"/>
    <n v="6203.067"/>
    <n v="2965791040.6700001"/>
    <n v="9560"/>
  </r>
  <r>
    <s v="DOLFUT"/>
    <x v="146"/>
    <x v="5"/>
    <n v="6214.1139999999996"/>
    <n v="6221.4780000000001"/>
    <n v="6205.1710000000003"/>
    <n v="6214.1139999999996"/>
    <n v="3834311124"/>
    <n v="12340"/>
  </r>
  <r>
    <s v="DOLFUT"/>
    <x v="146"/>
    <x v="6"/>
    <n v="6227.7910000000002"/>
    <n v="6232.5249999999996"/>
    <n v="6212.5349999999999"/>
    <n v="6214.64"/>
    <n v="4618655823.3500004"/>
    <n v="14845"/>
  </r>
  <r>
    <s v="DOLFUT"/>
    <x v="146"/>
    <x v="7"/>
    <n v="6208.3270000000002"/>
    <n v="6238.3109999999997"/>
    <n v="6192.02"/>
    <n v="6227.7910000000002"/>
    <n v="6057869749.71"/>
    <n v="19495"/>
  </r>
  <r>
    <s v="DOLFUT"/>
    <x v="146"/>
    <x v="8"/>
    <n v="6232.5249999999996"/>
    <n v="6245.15"/>
    <n v="6193.598"/>
    <n v="6207.2749999999996"/>
    <n v="7799630996.1800003"/>
    <n v="25080"/>
  </r>
  <r>
    <s v="DOLFUT"/>
    <x v="146"/>
    <x v="9"/>
    <n v="6175.1869999999999"/>
    <n v="6237.7849999999999"/>
    <n v="6173.0820000000003"/>
    <n v="6233.5770000000002"/>
    <n v="8369319839.29"/>
    <n v="26955"/>
  </r>
  <r>
    <s v="DOLFUT"/>
    <x v="146"/>
    <x v="10"/>
    <n v="6157.8270000000002"/>
    <n v="6194.65"/>
    <n v="6136.7860000000001"/>
    <n v="6174.1350000000002"/>
    <n v="7216763792.5200005"/>
    <n v="23425"/>
  </r>
  <r>
    <s v="DOLFUT"/>
    <x v="146"/>
    <x v="11"/>
    <n v="6155.1970000000001"/>
    <n v="6178.3429999999998"/>
    <n v="6146.2539999999999"/>
    <n v="6158.3530000000001"/>
    <n v="5651201045.6199999"/>
    <n v="18350"/>
  </r>
  <r>
    <s v="DOLFUT"/>
    <x v="147"/>
    <x v="12"/>
    <n v="6212.5349999999999"/>
    <n v="6214.1139999999996"/>
    <n v="6206.223"/>
    <n v="6206.223"/>
    <n v="439370785.80000001"/>
    <n v="1415"/>
  </r>
  <r>
    <s v="DOLFUT"/>
    <x v="147"/>
    <x v="13"/>
    <n v="6215.692"/>
    <n v="6219.9"/>
    <n v="6208.8530000000001"/>
    <n v="6212.5349999999999"/>
    <n v="2341871523.7600002"/>
    <n v="7535"/>
  </r>
  <r>
    <s v="DOLFUT"/>
    <x v="147"/>
    <x v="14"/>
    <n v="6225.6859999999997"/>
    <n v="6228.317"/>
    <n v="6213.5879999999997"/>
    <n v="6215.1660000000002"/>
    <n v="3129955185.7399998"/>
    <n v="10060"/>
  </r>
  <r>
    <s v="DOLFUT"/>
    <x v="147"/>
    <x v="15"/>
    <n v="6231.9989999999998"/>
    <n v="6238.3109999999997"/>
    <n v="6222.0039999999999"/>
    <n v="6225.16"/>
    <n v="3396641289.3800001"/>
    <n v="10905"/>
  </r>
  <r>
    <s v="DOLFUT"/>
    <x v="147"/>
    <x v="16"/>
    <n v="6220.9520000000002"/>
    <n v="6231.9989999999998"/>
    <n v="6214.1139999999996"/>
    <n v="6231.9989999999998"/>
    <n v="4793270941.7399998"/>
    <n v="15400"/>
  </r>
  <r>
    <s v="DOLFUT"/>
    <x v="147"/>
    <x v="17"/>
    <n v="6239.89"/>
    <n v="6243.0460000000003"/>
    <n v="6212.5349999999999"/>
    <n v="6220.4260000000004"/>
    <n v="4708845162.5900002"/>
    <n v="15135"/>
  </r>
  <r>
    <s v="DOLFUT"/>
    <x v="147"/>
    <x v="18"/>
    <n v="6226.7389999999996"/>
    <n v="6260.4049999999997"/>
    <n v="6218.3220000000001"/>
    <n v="6240.4160000000002"/>
    <n v="6058212990.9700003"/>
    <n v="19420"/>
  </r>
  <r>
    <s v="DOLFUT"/>
    <x v="147"/>
    <x v="0"/>
    <n v="6251.9880000000003"/>
    <n v="6253.0410000000002"/>
    <n v="6219.3739999999998"/>
    <n v="6227.2650000000003"/>
    <n v="5413958730.3299999"/>
    <n v="17370"/>
  </r>
  <r>
    <s v="DOLFUT"/>
    <x v="147"/>
    <x v="1"/>
    <n v="6263.5609999999997"/>
    <n v="6265.6660000000002"/>
    <n v="6248.8320000000003"/>
    <n v="6251.4620000000004"/>
    <n v="2999440783.9000001"/>
    <n v="9585"/>
  </r>
  <r>
    <s v="DOLFUT"/>
    <x v="147"/>
    <x v="2"/>
    <n v="6278.817"/>
    <n v="6279.8689999999997"/>
    <n v="6255.6710000000003"/>
    <n v="6263.0349999999999"/>
    <n v="5599069535.4700003"/>
    <n v="17870"/>
  </r>
  <r>
    <s v="DOLFUT"/>
    <x v="147"/>
    <x v="3"/>
    <n v="6273.03"/>
    <n v="6285.6549999999997"/>
    <n v="6265.1390000000001"/>
    <n v="6277.2380000000003"/>
    <n v="5407324968.1400003"/>
    <n v="17245"/>
  </r>
  <r>
    <s v="DOLFUT"/>
    <x v="147"/>
    <x v="4"/>
    <n v="6265.1390000000001"/>
    <n v="6285.1289999999999"/>
    <n v="6264.6130000000003"/>
    <n v="6274.0820000000003"/>
    <n v="5202800121.2399998"/>
    <n v="16580"/>
  </r>
  <r>
    <s v="DOLFUT"/>
    <x v="147"/>
    <x v="5"/>
    <n v="6251.4620000000004"/>
    <n v="6266.7179999999998"/>
    <n v="6243.0460000000003"/>
    <n v="6264.6130000000003"/>
    <n v="4483102876.3999996"/>
    <n v="14335"/>
  </r>
  <r>
    <s v="DOLFUT"/>
    <x v="147"/>
    <x v="6"/>
    <n v="6237.7849999999999"/>
    <n v="6255.1450000000004"/>
    <n v="6222.0039999999999"/>
    <n v="6251.4620000000004"/>
    <n v="5972412011.0799999"/>
    <n v="19150"/>
  </r>
  <r>
    <s v="DOLFUT"/>
    <x v="147"/>
    <x v="7"/>
    <n v="6228.8429999999998"/>
    <n v="6241.9939999999997"/>
    <n v="6217.27"/>
    <n v="6237.259"/>
    <n v="4703925371.0799999"/>
    <n v="15100"/>
  </r>
  <r>
    <s v="DOLFUT"/>
    <x v="147"/>
    <x v="8"/>
    <n v="6222.0039999999999"/>
    <n v="6230.4210000000003"/>
    <n v="6202.5410000000002"/>
    <n v="6228.8429999999998"/>
    <n v="6534989315.9399996"/>
    <n v="21030"/>
  </r>
  <r>
    <s v="DOLFUT"/>
    <x v="147"/>
    <x v="9"/>
    <n v="6207.8010000000004"/>
    <n v="6238.8370000000004"/>
    <n v="6207.8010000000004"/>
    <n v="6222.0039999999999"/>
    <n v="8105910571.9300003"/>
    <n v="26045"/>
  </r>
  <r>
    <s v="DOLFUT"/>
    <x v="147"/>
    <x v="10"/>
    <n v="6169.4"/>
    <n v="6210.4309999999996"/>
    <n v="6146.78"/>
    <n v="6207.8010000000004"/>
    <n v="7810045015.1700001"/>
    <n v="25265"/>
  </r>
  <r>
    <s v="DOLFUT"/>
    <x v="147"/>
    <x v="11"/>
    <n v="6185.7070000000003"/>
    <n v="6193.0720000000001"/>
    <n v="6160.4570000000003"/>
    <n v="6169.4"/>
    <n v="4340630395.8999996"/>
    <n v="14050"/>
  </r>
  <r>
    <s v="DOLFUT"/>
    <x v="148"/>
    <x v="12"/>
    <n v="6145.7280000000001"/>
    <n v="6148.3590000000004"/>
    <n v="6140.4679999999998"/>
    <n v="6146.78"/>
    <n v="838941760.19000006"/>
    <n v="2730"/>
  </r>
  <r>
    <s v="DOLFUT"/>
    <x v="148"/>
    <x v="13"/>
    <n v="6161.51"/>
    <n v="6163.0879999999997"/>
    <n v="6142.5720000000001"/>
    <n v="6147.3059999999996"/>
    <n v="2007821230.7"/>
    <n v="6525"/>
  </r>
  <r>
    <s v="DOLFUT"/>
    <x v="148"/>
    <x v="14"/>
    <n v="6172.03"/>
    <n v="6174.1350000000002"/>
    <n v="6157.3010000000004"/>
    <n v="6160.4570000000003"/>
    <n v="3401571864.7199998"/>
    <n v="11035"/>
  </r>
  <r>
    <s v="DOLFUT"/>
    <x v="148"/>
    <x v="15"/>
    <n v="6159.9309999999996"/>
    <n v="6172.03"/>
    <n v="6159.4049999999997"/>
    <n v="6172.03"/>
    <n v="3956747125.5999999"/>
    <n v="12835"/>
  </r>
  <r>
    <s v="DOLFUT"/>
    <x v="148"/>
    <x v="16"/>
    <n v="6186.2330000000002"/>
    <n v="6194.65"/>
    <n v="6152.567"/>
    <n v="6161.51"/>
    <n v="4857078441.4700003"/>
    <n v="15750"/>
  </r>
  <r>
    <s v="DOLFUT"/>
    <x v="148"/>
    <x v="17"/>
    <n v="6187.2860000000001"/>
    <n v="6192.5460000000003"/>
    <n v="6167.8220000000001"/>
    <n v="6186.2330000000002"/>
    <n v="7391290010.1099997"/>
    <n v="23910"/>
  </r>
  <r>
    <s v="DOLFUT"/>
    <x v="148"/>
    <x v="18"/>
    <n v="6210.4309999999996"/>
    <n v="6214.64"/>
    <n v="6172.03"/>
    <n v="6186.759"/>
    <n v="7578232618.9399996"/>
    <n v="24450"/>
  </r>
  <r>
    <s v="DOLFUT"/>
    <x v="148"/>
    <x v="0"/>
    <n v="6227.2650000000003"/>
    <n v="6263.0349999999999"/>
    <n v="6203.067"/>
    <n v="6213.5879999999997"/>
    <n v="8184505983.8800001"/>
    <n v="26270"/>
  </r>
  <r>
    <s v="DOLFUT"/>
    <x v="148"/>
    <x v="1"/>
    <n v="6348.78"/>
    <n v="6367.7169999999996"/>
    <n v="6195.1760000000004"/>
    <n v="6229.3689999999997"/>
    <n v="20403253240.040001"/>
    <n v="64775"/>
  </r>
  <r>
    <s v="DOLFUT"/>
    <x v="148"/>
    <x v="2"/>
    <n v="6371.4"/>
    <n v="6373.5039999999999"/>
    <n v="6345.098"/>
    <n v="6349.3059999999996"/>
    <n v="7055563358.2600002"/>
    <n v="22200"/>
  </r>
  <r>
    <s v="DOLFUT"/>
    <x v="148"/>
    <x v="3"/>
    <n v="6390.8630000000003"/>
    <n v="6391.3890000000001"/>
    <n v="6369.2950000000001"/>
    <n v="6370.8739999999998"/>
    <n v="6258314233.8400002"/>
    <n v="19620"/>
  </r>
  <r>
    <s v="DOLFUT"/>
    <x v="148"/>
    <x v="4"/>
    <n v="6397.7020000000002"/>
    <n v="6398.7539999999999"/>
    <n v="6374.5559999999996"/>
    <n v="6390.8630000000003"/>
    <n v="3575041267.4299998"/>
    <n v="11195"/>
  </r>
  <r>
    <s v="DOLFUT"/>
    <x v="148"/>
    <x v="5"/>
    <n v="6399.28"/>
    <n v="6408.7479999999996"/>
    <n v="6387.7070000000003"/>
    <n v="6398.7539999999999"/>
    <n v="5153410069.8900003"/>
    <n v="16110"/>
  </r>
  <r>
    <s v="DOLFUT"/>
    <x v="148"/>
    <x v="6"/>
    <n v="6401.384"/>
    <n v="6404.54"/>
    <n v="6380.3419999999996"/>
    <n v="6399.28"/>
    <n v="5022805978.1899996"/>
    <n v="15715"/>
  </r>
  <r>
    <s v="DOLFUT"/>
    <x v="148"/>
    <x v="7"/>
    <n v="6377.7120000000004"/>
    <n v="6409.2749999999996"/>
    <n v="6370.348"/>
    <n v="6400.8580000000002"/>
    <n v="9597221289.7900009"/>
    <n v="30010"/>
  </r>
  <r>
    <s v="DOLFUT"/>
    <x v="148"/>
    <x v="8"/>
    <n v="6407.17"/>
    <n v="6407.17"/>
    <n v="6366.1390000000001"/>
    <n v="6377.7120000000004"/>
    <n v="14358660483.43"/>
    <n v="44940"/>
  </r>
  <r>
    <s v="DOLFUT"/>
    <x v="148"/>
    <x v="9"/>
    <n v="6420.3209999999999"/>
    <n v="6425.0559999999996"/>
    <n v="6387.1809999999996"/>
    <n v="6407.17"/>
    <n v="11733380562.27"/>
    <n v="36655"/>
  </r>
  <r>
    <s v="DOLFUT"/>
    <x v="148"/>
    <x v="10"/>
    <n v="6408.2219999999998"/>
    <n v="6436.1030000000001"/>
    <n v="6399.28"/>
    <n v="6420.3209999999999"/>
    <n v="10109708120.690001"/>
    <n v="31485"/>
  </r>
  <r>
    <s v="DOLFUT"/>
    <x v="148"/>
    <x v="11"/>
    <n v="6361.9309999999996"/>
    <n v="6412.4309999999996"/>
    <n v="6361.9309999999996"/>
    <n v="6407.6959999999999"/>
    <n v="7025396001.54"/>
    <n v="21985"/>
  </r>
  <r>
    <s v="DOLFUT"/>
    <x v="149"/>
    <x v="12"/>
    <n v="6348.78"/>
    <n v="6353.5140000000001"/>
    <n v="6346.15"/>
    <n v="6351.41"/>
    <n v="1138201328.6900001"/>
    <n v="3585"/>
  </r>
  <r>
    <s v="DOLFUT"/>
    <x v="149"/>
    <x v="13"/>
    <n v="6350.3580000000002"/>
    <n v="6356.67"/>
    <n v="6346.15"/>
    <n v="6348.78"/>
    <n v="1546462751.1700001"/>
    <n v="4870"/>
  </r>
  <r>
    <s v="DOLFUT"/>
    <x v="149"/>
    <x v="14"/>
    <n v="6332.9989999999998"/>
    <n v="6352.4620000000004"/>
    <n v="6328.79"/>
    <n v="6351.41"/>
    <n v="2805378746.23"/>
    <n v="8850"/>
  </r>
  <r>
    <s v="DOLFUT"/>
    <x v="149"/>
    <x v="15"/>
    <n v="6323.0039999999999"/>
    <n v="6341.9409999999998"/>
    <n v="6320.9"/>
    <n v="6333.5249999999996"/>
    <n v="4186903678.6100001"/>
    <n v="13220"/>
  </r>
  <r>
    <s v="DOLFUT"/>
    <x v="149"/>
    <x v="16"/>
    <n v="6319.848"/>
    <n v="6328.79"/>
    <n v="6312.4830000000002"/>
    <n v="6323.0039999999999"/>
    <n v="3362733523.4000001"/>
    <n v="10640"/>
  </r>
  <r>
    <s v="DOLFUT"/>
    <x v="149"/>
    <x v="17"/>
    <n v="6324.0559999999996"/>
    <n v="6324.0559999999996"/>
    <n v="6304.5919999999996"/>
    <n v="6319.848"/>
    <n v="4562512993.21"/>
    <n v="14450"/>
  </r>
  <r>
    <s v="DOLFUT"/>
    <x v="149"/>
    <x v="18"/>
    <n v="6310.9049999999997"/>
    <n v="6326.16"/>
    <n v="6309.3270000000002"/>
    <n v="6325.1080000000002"/>
    <n v="8228311723.3599997"/>
    <n v="26045"/>
  </r>
  <r>
    <s v="DOLFUT"/>
    <x v="149"/>
    <x v="0"/>
    <n v="6328.2640000000001"/>
    <n v="6329.8419999999996"/>
    <n v="6309.3270000000002"/>
    <n v="6310.9049999999997"/>
    <n v="4656339111.7700005"/>
    <n v="14740"/>
  </r>
  <r>
    <s v="DOLFUT"/>
    <x v="149"/>
    <x v="1"/>
    <n v="6327.2120000000004"/>
    <n v="6338.259"/>
    <n v="6323.0039999999999"/>
    <n v="6328.2640000000001"/>
    <n v="5057770690.5600004"/>
    <n v="15980"/>
  </r>
  <r>
    <s v="DOLFUT"/>
    <x v="149"/>
    <x v="2"/>
    <n v="6309.8530000000001"/>
    <n v="6335.1030000000001"/>
    <n v="6307.223"/>
    <n v="6327.2120000000004"/>
    <n v="7191455732.6800003"/>
    <n v="22745"/>
  </r>
  <r>
    <s v="DOLFUT"/>
    <x v="149"/>
    <x v="3"/>
    <n v="6324.5820000000003"/>
    <n v="6329.8419999999996"/>
    <n v="6309.8530000000001"/>
    <n v="6309.8530000000001"/>
    <n v="5284718792.5200005"/>
    <n v="16715"/>
  </r>
  <r>
    <s v="DOLFUT"/>
    <x v="149"/>
    <x v="4"/>
    <n v="6315.6390000000001"/>
    <n v="6325.1080000000002"/>
    <n v="6299.8580000000002"/>
    <n v="6324.0559999999996"/>
    <n v="6056115931.4899998"/>
    <n v="19185"/>
  </r>
  <r>
    <s v="DOLFUT"/>
    <x v="149"/>
    <x v="5"/>
    <n v="6278.817"/>
    <n v="6320.3739999999998"/>
    <n v="6276.1859999999997"/>
    <n v="6315.6390000000001"/>
    <n v="8739549603.1900005"/>
    <n v="27750"/>
  </r>
  <r>
    <s v="DOLFUT"/>
    <x v="149"/>
    <x v="6"/>
    <n v="6243.5720000000001"/>
    <n v="6290.3890000000001"/>
    <n v="6243.0460000000003"/>
    <n v="6278.29"/>
    <n v="9030219986.3500004"/>
    <n v="28820"/>
  </r>
  <r>
    <s v="DOLFUT"/>
    <x v="149"/>
    <x v="7"/>
    <n v="6221.4780000000001"/>
    <n v="6246.7280000000001"/>
    <n v="6215.692"/>
    <n v="6245.15"/>
    <n v="4102132948.5599999"/>
    <n v="13170"/>
  </r>
  <r>
    <s v="DOLFUT"/>
    <x v="149"/>
    <x v="8"/>
    <n v="6204.6450000000004"/>
    <n v="6229.3689999999997"/>
    <n v="6202.5410000000002"/>
    <n v="6222.0039999999999"/>
    <n v="5413177297.5299997"/>
    <n v="17405"/>
  </r>
  <r>
    <s v="DOLFUT"/>
    <x v="149"/>
    <x v="9"/>
    <n v="6226.7389999999996"/>
    <n v="6241.4679999999998"/>
    <n v="6200.4369999999999"/>
    <n v="6204.6450000000004"/>
    <n v="7913444671.9099998"/>
    <n v="25425"/>
  </r>
  <r>
    <s v="DOLFUT"/>
    <x v="149"/>
    <x v="10"/>
    <n v="6212.009"/>
    <n v="6231.473"/>
    <n v="6207.2749999999996"/>
    <n v="6226.7389999999996"/>
    <n v="3912440069.7600002"/>
    <n v="12585"/>
  </r>
  <r>
    <s v="DOLFUT"/>
    <x v="149"/>
    <x v="11"/>
    <n v="6207.2749999999996"/>
    <n v="6214.1139999999996"/>
    <n v="6189.9160000000002"/>
    <n v="6211.4830000000002"/>
    <n v="5893283588.8299999"/>
    <n v="19000"/>
  </r>
  <r>
    <s v="DOLFUT"/>
    <x v="150"/>
    <x v="12"/>
    <n v="6247.78"/>
    <n v="6249.3580000000002"/>
    <n v="6243.0460000000003"/>
    <n v="6249.3580000000002"/>
    <n v="655891980.78999996"/>
    <n v="2100"/>
  </r>
  <r>
    <s v="DOLFUT"/>
    <x v="150"/>
    <x v="13"/>
    <n v="6245.6760000000004"/>
    <n v="6253.567"/>
    <n v="6244.098"/>
    <n v="6247.78"/>
    <n v="2260709692.8899999"/>
    <n v="7235"/>
  </r>
  <r>
    <s v="DOLFUT"/>
    <x v="150"/>
    <x v="14"/>
    <n v="6243.5720000000001"/>
    <n v="6250.41"/>
    <n v="6239.3639999999996"/>
    <n v="6245.6760000000004"/>
    <n v="5738133406.6000004"/>
    <n v="18380"/>
  </r>
  <r>
    <s v="DOLFUT"/>
    <x v="150"/>
    <x v="15"/>
    <n v="6245.6760000000004"/>
    <n v="6247.2539999999999"/>
    <n v="6236.2070000000003"/>
    <n v="6244.098"/>
    <n v="2267134222.5700002"/>
    <n v="7265"/>
  </r>
  <r>
    <s v="DOLFUT"/>
    <x v="150"/>
    <x v="16"/>
    <n v="6250.9359999999997"/>
    <n v="6251.4620000000004"/>
    <n v="6239.89"/>
    <n v="6246.2020000000002"/>
    <n v="4583805919.2700005"/>
    <n v="14680"/>
  </r>
  <r>
    <s v="DOLFUT"/>
    <x v="150"/>
    <x v="17"/>
    <n v="6239.89"/>
    <n v="6252.5150000000003"/>
    <n v="6234.1030000000001"/>
    <n v="6250.9359999999997"/>
    <n v="3785563630.8299999"/>
    <n v="12130"/>
  </r>
  <r>
    <s v="DOLFUT"/>
    <x v="150"/>
    <x v="18"/>
    <n v="6226.2120000000004"/>
    <n v="6242.52"/>
    <n v="6218.3220000000001"/>
    <n v="6241.4679999999998"/>
    <n v="3792533006.6999998"/>
    <n v="12180"/>
  </r>
  <r>
    <s v="DOLFUT"/>
    <x v="150"/>
    <x v="0"/>
    <n v="6228.8429999999998"/>
    <n v="6236.7330000000002"/>
    <n v="6219.9"/>
    <n v="6225.6859999999997"/>
    <n v="4918407634.0200005"/>
    <n v="15795"/>
  </r>
  <r>
    <s v="DOLFUT"/>
    <x v="150"/>
    <x v="1"/>
    <n v="6254.0929999999998"/>
    <n v="6254.0929999999998"/>
    <n v="6226.7389999999996"/>
    <n v="6228.8429999999998"/>
    <n v="5594903954.1700001"/>
    <n v="17935"/>
  </r>
  <r>
    <s v="DOLFUT"/>
    <x v="150"/>
    <x v="2"/>
    <n v="6261.4570000000003"/>
    <n v="6262.509"/>
    <n v="6249.3580000000002"/>
    <n v="6256.1970000000001"/>
    <n v="4675827851.2600002"/>
    <n v="14950"/>
  </r>
  <r>
    <s v="DOLFUT"/>
    <x v="150"/>
    <x v="3"/>
    <n v="6259.8789999999999"/>
    <n v="6269.8739999999998"/>
    <n v="6257.2489999999998"/>
    <n v="6260.4049999999997"/>
    <n v="5840618016.3100004"/>
    <n v="18655"/>
  </r>
  <r>
    <s v="DOLFUT"/>
    <x v="150"/>
    <x v="4"/>
    <n v="6258.3010000000004"/>
    <n v="6264.6130000000003"/>
    <n v="6241.4679999999998"/>
    <n v="6259.3530000000001"/>
    <n v="10586771795.15"/>
    <n v="33870"/>
  </r>
  <r>
    <s v="DOLFUT"/>
    <x v="150"/>
    <x v="5"/>
    <n v="6207.8010000000004"/>
    <n v="6265.6660000000002"/>
    <n v="6193.598"/>
    <n v="6258.8270000000002"/>
    <n v="7574763646.46"/>
    <n v="24330"/>
  </r>
  <r>
    <s v="DOLFUT"/>
    <x v="150"/>
    <x v="6"/>
    <n v="6199.91"/>
    <n v="6223.0559999999996"/>
    <n v="6186.759"/>
    <n v="6207.8010000000004"/>
    <n v="6228589934.5200005"/>
    <n v="20070"/>
  </r>
  <r>
    <s v="DOLFUT"/>
    <x v="150"/>
    <x v="7"/>
    <n v="6218.848"/>
    <n v="6231.9989999999998"/>
    <n v="6144.6760000000004"/>
    <n v="6200.4369999999999"/>
    <n v="16595141419.58"/>
    <n v="53695"/>
  </r>
  <r>
    <s v="DOLFUT"/>
    <x v="150"/>
    <x v="8"/>
    <n v="6229.3689999999997"/>
    <n v="6241.4679999999998"/>
    <n v="6217.27"/>
    <n v="6218.3220000000001"/>
    <n v="12049794435.1"/>
    <n v="38685"/>
  </r>
  <r>
    <s v="DOLFUT"/>
    <x v="150"/>
    <x v="9"/>
    <n v="6196.2280000000001"/>
    <n v="6236.2070000000003"/>
    <n v="6187.8119999999999"/>
    <n v="6229.3689999999997"/>
    <n v="8307784307.4399996"/>
    <n v="26750"/>
  </r>
  <r>
    <s v="DOLFUT"/>
    <x v="150"/>
    <x v="10"/>
    <n v="6219.9"/>
    <n v="6221.4780000000001"/>
    <n v="6187.8119999999999"/>
    <n v="6198.3320000000003"/>
    <n v="9248033004.7099991"/>
    <n v="29830"/>
  </r>
  <r>
    <s v="DOLFUT"/>
    <x v="150"/>
    <x v="11"/>
    <n v="6207.2749999999996"/>
    <n v="6233.0510000000004"/>
    <n v="6197.28"/>
    <n v="6220.4260000000004"/>
    <n v="8444532023.3199997"/>
    <n v="27165"/>
  </r>
  <r>
    <s v="DOLFUT"/>
    <x v="151"/>
    <x v="12"/>
    <n v="6175.1869999999999"/>
    <n v="6189.9160000000002"/>
    <n v="6172.5559999999996"/>
    <n v="6189.9160000000002"/>
    <n v="1499750376.25"/>
    <n v="4855"/>
  </r>
  <r>
    <s v="DOLFUT"/>
    <x v="151"/>
    <x v="13"/>
    <n v="6183.0770000000002"/>
    <n v="6183.0770000000002"/>
    <n v="6171.5039999999999"/>
    <n v="6174.6610000000001"/>
    <n v="1453473431.1500001"/>
    <n v="4705"/>
  </r>
  <r>
    <s v="DOLFUT"/>
    <x v="151"/>
    <x v="14"/>
    <n v="6169.4"/>
    <n v="6186.2330000000002"/>
    <n v="6162.5619999999999"/>
    <n v="6183.0770000000002"/>
    <n v="5736307783.8900003"/>
    <n v="18580"/>
  </r>
  <r>
    <s v="DOLFUT"/>
    <x v="151"/>
    <x v="15"/>
    <n v="6167.8220000000001"/>
    <n v="6169.4"/>
    <n v="6157.3010000000004"/>
    <n v="6169.4"/>
    <n v="19507423382.169998"/>
    <n v="63300"/>
  </r>
  <r>
    <s v="DOLFUT"/>
    <x v="151"/>
    <x v="16"/>
    <n v="6171.5039999999999"/>
    <n v="6177.2910000000002"/>
    <n v="6166.77"/>
    <n v="6166.77"/>
    <n v="5421222951.7700005"/>
    <n v="17560"/>
  </r>
  <r>
    <s v="DOLFUT"/>
    <x v="151"/>
    <x v="17"/>
    <n v="6157.3010000000004"/>
    <n v="6175.1869999999999"/>
    <n v="6154.6710000000003"/>
    <n v="6172.03"/>
    <n v="3105172245.5900002"/>
    <n v="10070"/>
  </r>
  <r>
    <s v="DOLFUT"/>
    <x v="151"/>
    <x v="18"/>
    <n v="6152.567"/>
    <n v="6167.2960000000003"/>
    <n v="6147.3059999999996"/>
    <n v="6157.3010000000004"/>
    <n v="5829624826.9899998"/>
    <n v="18935"/>
  </r>
  <r>
    <s v="DOLFUT"/>
    <x v="151"/>
    <x v="0"/>
    <n v="6164.14"/>
    <n v="6173.0820000000003"/>
    <n v="6144.15"/>
    <n v="6152.567"/>
    <n v="4644248470.9700003"/>
    <n v="15085"/>
  </r>
  <r>
    <s v="DOLFUT"/>
    <x v="151"/>
    <x v="1"/>
    <n v="6138.3639999999996"/>
    <n v="6169.4"/>
    <n v="6135.2079999999996"/>
    <n v="6163.6139999999996"/>
    <n v="4920043750.7399998"/>
    <n v="15990"/>
  </r>
  <r>
    <s v="DOLFUT"/>
    <x v="151"/>
    <x v="2"/>
    <n v="6147.3059999999996"/>
    <n v="6150.4629999999997"/>
    <n v="6134.1549999999997"/>
    <n v="6138.89"/>
    <n v="4055201477.8699999"/>
    <n v="13205"/>
  </r>
  <r>
    <s v="DOLFUT"/>
    <x v="151"/>
    <x v="3"/>
    <n v="6132.5770000000002"/>
    <n v="6155.1970000000001"/>
    <n v="6128.3689999999997"/>
    <n v="6147.3059999999996"/>
    <n v="4916750870.2299995"/>
    <n v="16015"/>
  </r>
  <r>
    <s v="DOLFUT"/>
    <x v="151"/>
    <x v="4"/>
    <n v="6132.0510000000004"/>
    <n v="6136.7860000000001"/>
    <n v="6117.848"/>
    <n v="6133.1030000000001"/>
    <n v="5121203123.5799999"/>
    <n v="16715"/>
  </r>
  <r>
    <s v="DOLFUT"/>
    <x v="151"/>
    <x v="5"/>
    <n v="6142.0460000000003"/>
    <n v="6152.0410000000002"/>
    <n v="6112.5879999999997"/>
    <n v="6132.5770000000002"/>
    <n v="10572266366.540001"/>
    <n v="34500"/>
  </r>
  <r>
    <s v="DOLFUT"/>
    <x v="151"/>
    <x v="6"/>
    <n v="6120.4780000000001"/>
    <n v="6152.567"/>
    <n v="6113.1139999999996"/>
    <n v="6142.0460000000003"/>
    <n v="15659667458.23"/>
    <n v="51060"/>
  </r>
  <r>
    <s v="DOLFUT"/>
    <x v="151"/>
    <x v="7"/>
    <n v="6112.0619999999999"/>
    <n v="6123.1090000000004"/>
    <n v="6102.067"/>
    <n v="6118.9"/>
    <n v="7874878161.8900003"/>
    <n v="25765"/>
  </r>
  <r>
    <s v="DOLFUT"/>
    <x v="151"/>
    <x v="8"/>
    <n v="6071.5569999999998"/>
    <n v="6118.9"/>
    <n v="6068.4"/>
    <n v="6113.1139999999996"/>
    <n v="12381737016.35"/>
    <n v="40575"/>
  </r>
  <r>
    <s v="DOLFUT"/>
    <x v="151"/>
    <x v="9"/>
    <n v="6061.5619999999999"/>
    <n v="6084.7079999999996"/>
    <n v="6052.0929999999998"/>
    <n v="6071.5569999999998"/>
    <n v="8439345792.4200001"/>
    <n v="27800"/>
  </r>
  <r>
    <s v="DOLFUT"/>
    <x v="151"/>
    <x v="10"/>
    <n v="6066.2960000000003"/>
    <n v="6071.0309999999999"/>
    <n v="6048.4110000000001"/>
    <n v="6064.192"/>
    <n v="8335889980.8900003"/>
    <n v="27505"/>
  </r>
  <r>
    <s v="DOLFUT"/>
    <x v="151"/>
    <x v="11"/>
    <n v="6021.5829999999996"/>
    <n v="6080.4989999999998"/>
    <n v="6021.0569999999998"/>
    <n v="6067.348"/>
    <n v="14546865588.870001"/>
    <n v="48010"/>
  </r>
  <r>
    <s v="DOLFUT"/>
    <x v="152"/>
    <x v="12"/>
    <n v="5949.5150000000003"/>
    <n v="5957.4059999999999"/>
    <n v="5948.4629999999997"/>
    <n v="5956.3540000000003"/>
    <n v="574491722.17999995"/>
    <n v="1930"/>
  </r>
  <r>
    <s v="DOLFUT"/>
    <x v="152"/>
    <x v="13"/>
    <n v="5951.0929999999998"/>
    <n v="5955.3019999999997"/>
    <n v="5950.0410000000002"/>
    <n v="5950.567"/>
    <n v="1147475944.48"/>
    <n v="3855"/>
  </r>
  <r>
    <s v="DOLFUT"/>
    <x v="152"/>
    <x v="14"/>
    <n v="5949.5150000000003"/>
    <n v="5955.8280000000004"/>
    <n v="5947.4110000000001"/>
    <n v="5950.567"/>
    <n v="1899891446.77"/>
    <n v="6385"/>
  </r>
  <r>
    <s v="DOLFUT"/>
    <x v="152"/>
    <x v="15"/>
    <n v="5946.3590000000004"/>
    <n v="5951.6189999999997"/>
    <n v="5941.0990000000002"/>
    <n v="5949.5150000000003"/>
    <n v="2254647078.9200001"/>
    <n v="7585"/>
  </r>
  <r>
    <s v="DOLFUT"/>
    <x v="152"/>
    <x v="16"/>
    <n v="5939.5209999999997"/>
    <n v="5948.4629999999997"/>
    <n v="5936.89"/>
    <n v="5946.3590000000004"/>
    <n v="2916299595.0599999"/>
    <n v="9815"/>
  </r>
  <r>
    <s v="DOLFUT"/>
    <x v="152"/>
    <x v="17"/>
    <n v="5941.625"/>
    <n v="5947.4110000000001"/>
    <n v="5938.4679999999998"/>
    <n v="5938.9949999999999"/>
    <n v="5371820801.4899998"/>
    <n v="18080"/>
  </r>
  <r>
    <s v="DOLFUT"/>
    <x v="152"/>
    <x v="18"/>
    <n v="5937.4160000000002"/>
    <n v="5942.6769999999997"/>
    <n v="5931.63"/>
    <n v="5941.625"/>
    <n v="2407190863.1799998"/>
    <n v="8110"/>
  </r>
  <r>
    <s v="DOLFUT"/>
    <x v="152"/>
    <x v="0"/>
    <n v="5930.5780000000004"/>
    <n v="5938.4679999999998"/>
    <n v="5928.4740000000002"/>
    <n v="5937.942"/>
    <n v="3043157491.0700002"/>
    <n v="10260"/>
  </r>
  <r>
    <s v="DOLFUT"/>
    <x v="152"/>
    <x v="1"/>
    <n v="5926.37"/>
    <n v="5932.1559999999999"/>
    <n v="5924.2650000000003"/>
    <n v="5931.1040000000003"/>
    <n v="1753280213.03"/>
    <n v="5915"/>
  </r>
  <r>
    <s v="DOLFUT"/>
    <x v="152"/>
    <x v="2"/>
    <n v="5923.2129999999997"/>
    <n v="5927.9480000000003"/>
    <n v="5918.4790000000003"/>
    <n v="5926.8959999999997"/>
    <n v="1880792634.6300001"/>
    <n v="6350"/>
  </r>
  <r>
    <s v="DOLFUT"/>
    <x v="152"/>
    <x v="3"/>
    <n v="5923.7389999999996"/>
    <n v="5932.1559999999999"/>
    <n v="5919.5309999999999"/>
    <n v="5922.6869999999999"/>
    <n v="2278397270.5300002"/>
    <n v="7690"/>
  </r>
  <r>
    <s v="DOLFUT"/>
    <x v="152"/>
    <x v="4"/>
    <n v="5925.8440000000001"/>
    <n v="5934.26"/>
    <n v="5920.5829999999996"/>
    <n v="5922.6869999999999"/>
    <n v="3764803715.0599999"/>
    <n v="12700"/>
  </r>
  <r>
    <s v="DOLFUT"/>
    <x v="152"/>
    <x v="5"/>
    <n v="5915.3230000000003"/>
    <n v="5934.7860000000001"/>
    <n v="5913.2190000000001"/>
    <n v="5925.317"/>
    <n v="4261791295.8000002"/>
    <n v="14385"/>
  </r>
  <r>
    <s v="DOLFUT"/>
    <x v="152"/>
    <x v="6"/>
    <n v="5919.0050000000001"/>
    <n v="5924.7910000000002"/>
    <n v="5912.1660000000002"/>
    <n v="5914.7969999999996"/>
    <n v="4655181954.71"/>
    <n v="15730"/>
  </r>
  <r>
    <s v="DOLFUT"/>
    <x v="152"/>
    <x v="7"/>
    <n v="5933.7340000000004"/>
    <n v="5934.26"/>
    <n v="5916.9009999999998"/>
    <n v="5921.1090000000004"/>
    <n v="6706146771.71"/>
    <n v="22645"/>
  </r>
  <r>
    <s v="DOLFUT"/>
    <x v="152"/>
    <x v="8"/>
    <n v="5937.4160000000002"/>
    <n v="5941.625"/>
    <n v="5917.9530000000004"/>
    <n v="5932.6819999999998"/>
    <n v="7804125089.6199999"/>
    <n v="26330"/>
  </r>
  <r>
    <s v="DOLFUT"/>
    <x v="152"/>
    <x v="9"/>
    <n v="5957.9319999999998"/>
    <n v="5962.6660000000002"/>
    <n v="5931.63"/>
    <n v="5936.89"/>
    <n v="7742628616.2600002"/>
    <n v="26060"/>
  </r>
  <r>
    <s v="DOLFUT"/>
    <x v="152"/>
    <x v="10"/>
    <n v="5946.3590000000004"/>
    <n v="5966.875"/>
    <n v="5937.942"/>
    <n v="5957.9319999999998"/>
    <n v="7296601843.0799999"/>
    <n v="24515"/>
  </r>
  <r>
    <s v="DOLFUT"/>
    <x v="152"/>
    <x v="11"/>
    <n v="5948.4629999999997"/>
    <n v="5954.25"/>
    <n v="5926.8959999999997"/>
    <n v="5945.8329999999996"/>
    <n v="10271238119.18"/>
    <n v="34575"/>
  </r>
  <r>
    <s v="DOLFUT"/>
    <x v="153"/>
    <x v="12"/>
    <n v="5987.9160000000002"/>
    <n v="6020.0050000000001"/>
    <n v="5986.8639999999996"/>
    <n v="6017.375"/>
    <n v="859433789.96000004"/>
    <n v="2865"/>
  </r>
  <r>
    <s v="DOLFUT"/>
    <x v="153"/>
    <x v="13"/>
    <n v="6021.5829999999996"/>
    <n v="6024.2129999999997"/>
    <n v="5970.5569999999998"/>
    <n v="5986.8639999999996"/>
    <n v="6679512695.8900003"/>
    <n v="22300"/>
  </r>
  <r>
    <s v="DOLFUT"/>
    <x v="153"/>
    <x v="14"/>
    <n v="6022.1090000000004"/>
    <n v="6036.3119999999999"/>
    <n v="5985.2860000000001"/>
    <n v="6023.1610000000001"/>
    <n v="14152443233.5"/>
    <n v="47035"/>
  </r>
  <r>
    <s v="DOLFUT"/>
    <x v="153"/>
    <x v="15"/>
    <n v="6020.5309999999999"/>
    <n v="6025.2650000000003"/>
    <n v="6018.4269999999997"/>
    <n v="6022.1090000000004"/>
    <n v="1384859896.1099999"/>
    <n v="4600"/>
  </r>
  <r>
    <s v="DOLFUT"/>
    <x v="153"/>
    <x v="16"/>
    <n v="6017.9009999999998"/>
    <n v="6020.0050000000001"/>
    <n v="6014.2179999999998"/>
    <n v="6020.0050000000001"/>
    <n v="1568738188.9200001"/>
    <n v="5215"/>
  </r>
  <r>
    <s v="DOLFUT"/>
    <x v="153"/>
    <x v="17"/>
    <n v="6017.375"/>
    <n v="6020.0050000000001"/>
    <n v="6007.9059999999999"/>
    <n v="6017.9009999999998"/>
    <n v="3898340744.23"/>
    <n v="12965"/>
  </r>
  <r>
    <s v="DOLFUT"/>
    <x v="153"/>
    <x v="18"/>
    <n v="6020.5309999999999"/>
    <n v="6020.5309999999999"/>
    <n v="6013.692"/>
    <n v="6016.848"/>
    <n v="3438543552.1900001"/>
    <n v="11430"/>
  </r>
  <r>
    <s v="DOLFUT"/>
    <x v="153"/>
    <x v="0"/>
    <n v="6022.6350000000002"/>
    <n v="6023.6869999999999"/>
    <n v="6011.0619999999999"/>
    <n v="6021.0569999999998"/>
    <n v="3779417770.98"/>
    <n v="12555"/>
  </r>
  <r>
    <s v="DOLFUT"/>
    <x v="153"/>
    <x v="1"/>
    <n v="6016.848"/>
    <n v="6028.4210000000003"/>
    <n v="6016.3220000000001"/>
    <n v="6023.1610000000001"/>
    <n v="2051095143.47"/>
    <n v="6810"/>
  </r>
  <r>
    <s v="DOLFUT"/>
    <x v="153"/>
    <x v="2"/>
    <n v="6022.6350000000002"/>
    <n v="6026.317"/>
    <n v="6015.27"/>
    <n v="6016.3220000000001"/>
    <n v="2612666264.8299999"/>
    <n v="8675"/>
  </r>
  <r>
    <s v="DOLFUT"/>
    <x v="153"/>
    <x v="3"/>
    <n v="6026.317"/>
    <n v="6027.3689999999997"/>
    <n v="6014.7439999999997"/>
    <n v="6023.1610000000001"/>
    <n v="2172649896.1300001"/>
    <n v="7215"/>
  </r>
  <r>
    <s v="DOLFUT"/>
    <x v="153"/>
    <x v="4"/>
    <n v="6020.0050000000001"/>
    <n v="6027.3689999999997"/>
    <n v="6017.9009999999998"/>
    <n v="6027.3689999999997"/>
    <n v="1502670425.72"/>
    <n v="4990"/>
  </r>
  <r>
    <s v="DOLFUT"/>
    <x v="153"/>
    <x v="5"/>
    <n v="6028.4210000000003"/>
    <n v="6037.89"/>
    <n v="6015.27"/>
    <n v="6018.4269999999997"/>
    <n v="4144914882.1900001"/>
    <n v="13750"/>
  </r>
  <r>
    <s v="DOLFUT"/>
    <x v="153"/>
    <x v="6"/>
    <n v="6033.6819999999998"/>
    <n v="6041.0460000000003"/>
    <n v="6023.6869999999999"/>
    <n v="6028.4210000000003"/>
    <n v="3939074803.1300001"/>
    <n v="13060"/>
  </r>
  <r>
    <s v="DOLFUT"/>
    <x v="153"/>
    <x v="7"/>
    <n v="6013.1660000000002"/>
    <n v="6035.26"/>
    <n v="6011.0619999999999"/>
    <n v="6033.6819999999998"/>
    <n v="7150644740.3999996"/>
    <n v="23740"/>
  </r>
  <r>
    <s v="DOLFUT"/>
    <x v="153"/>
    <x v="8"/>
    <n v="5996.8590000000004"/>
    <n v="6017.9009999999998"/>
    <n v="5995.2809999999999"/>
    <n v="6012.64"/>
    <n v="4660468001.7600002"/>
    <n v="15520"/>
  </r>
  <r>
    <s v="DOLFUT"/>
    <x v="153"/>
    <x v="9"/>
    <n v="6008.4319999999998"/>
    <n v="6008.9579999999996"/>
    <n v="5984.76"/>
    <n v="5996.3329999999996"/>
    <n v="4189588851.1100001"/>
    <n v="13980"/>
  </r>
  <r>
    <s v="DOLFUT"/>
    <x v="153"/>
    <x v="10"/>
    <n v="6008.9579999999996"/>
    <n v="6012.1139999999996"/>
    <n v="6000.0150000000003"/>
    <n v="6008.9579999999996"/>
    <n v="6420846339.0100002"/>
    <n v="21380"/>
  </r>
  <r>
    <s v="DOLFUT"/>
    <x v="153"/>
    <x v="11"/>
    <n v="6004.2240000000002"/>
    <n v="6009.4840000000004"/>
    <n v="5987.39"/>
    <n v="6008.4319999999998"/>
    <n v="3258208929.5799999"/>
    <n v="10865"/>
  </r>
  <r>
    <s v="DOLFUT"/>
    <x v="154"/>
    <x v="12"/>
    <n v="6008.4319999999998"/>
    <n v="6011.5879999999997"/>
    <n v="6006.3280000000004"/>
    <n v="6008.9579999999996"/>
    <n v="331976116.31999999"/>
    <n v="1105"/>
  </r>
  <r>
    <s v="DOLFUT"/>
    <x v="154"/>
    <x v="13"/>
    <n v="6013.692"/>
    <n v="6013.692"/>
    <n v="6007.38"/>
    <n v="6008.4319999999998"/>
    <n v="967691165.45000005"/>
    <n v="3220"/>
  </r>
  <r>
    <s v="DOLFUT"/>
    <x v="154"/>
    <x v="14"/>
    <n v="6008.9579999999996"/>
    <n v="6013.692"/>
    <n v="6008.9579999999996"/>
    <n v="6013.1660000000002"/>
    <n v="1250251191.4300001"/>
    <n v="4160"/>
  </r>
  <r>
    <s v="DOLFUT"/>
    <x v="154"/>
    <x v="15"/>
    <n v="6012.1139999999996"/>
    <n v="6013.1660000000002"/>
    <n v="6008.4319999999998"/>
    <n v="6009.4840000000004"/>
    <n v="1635046878.5599999"/>
    <n v="5440"/>
  </r>
  <r>
    <s v="DOLFUT"/>
    <x v="154"/>
    <x v="16"/>
    <n v="6008.9579999999996"/>
    <n v="6013.1660000000002"/>
    <n v="6006.3280000000004"/>
    <n v="6012.1139999999996"/>
    <n v="1679591573.0999999"/>
    <n v="5590"/>
  </r>
  <r>
    <s v="DOLFUT"/>
    <x v="154"/>
    <x v="17"/>
    <n v="6012.64"/>
    <n v="6015.27"/>
    <n v="6005.8019999999997"/>
    <n v="6008.9579999999996"/>
    <n v="2010442620.8099999"/>
    <n v="6690"/>
  </r>
  <r>
    <s v="DOLFUT"/>
    <x v="154"/>
    <x v="18"/>
    <n v="6011.5879999999997"/>
    <n v="6015.27"/>
    <n v="6008.4319999999998"/>
    <n v="6013.1660000000002"/>
    <n v="3522798631.2800002"/>
    <n v="11720"/>
  </r>
  <r>
    <s v="DOLFUT"/>
    <x v="154"/>
    <x v="0"/>
    <n v="6012.1139999999996"/>
    <n v="6014.2179999999998"/>
    <n v="6007.9059999999999"/>
    <n v="6012.64"/>
    <n v="1971810355.76"/>
    <n v="6560"/>
  </r>
  <r>
    <s v="DOLFUT"/>
    <x v="154"/>
    <x v="1"/>
    <n v="6014.2179999999998"/>
    <n v="6021.5829999999996"/>
    <n v="6010.5360000000001"/>
    <n v="6011.5879999999997"/>
    <n v="2738736415.5500002"/>
    <n v="9105"/>
  </r>
  <r>
    <s v="DOLFUT"/>
    <x v="154"/>
    <x v="2"/>
    <n v="6008.4319999999998"/>
    <n v="6020.0050000000001"/>
    <n v="6002.6450000000004"/>
    <n v="6013.692"/>
    <n v="3305444188.52"/>
    <n v="10995"/>
  </r>
  <r>
    <s v="DOLFUT"/>
    <x v="154"/>
    <x v="3"/>
    <n v="6015.27"/>
    <n v="6015.27"/>
    <n v="5999.4889999999996"/>
    <n v="6008.9579999999996"/>
    <n v="4278806988.52"/>
    <n v="14245"/>
  </r>
  <r>
    <s v="DOLFUT"/>
    <x v="154"/>
    <x v="4"/>
    <n v="6018.9530000000004"/>
    <n v="6022.1090000000004"/>
    <n v="6008.4319999999998"/>
    <n v="6015.7960000000003"/>
    <n v="2997241804.1100001"/>
    <n v="9965"/>
  </r>
  <r>
    <s v="DOLFUT"/>
    <x v="154"/>
    <x v="5"/>
    <n v="6018.9530000000004"/>
    <n v="6022.1090000000004"/>
    <n v="6012.64"/>
    <n v="6020.5309999999999"/>
    <n v="3444674945.9299998"/>
    <n v="11450"/>
  </r>
  <r>
    <s v="DOLFUT"/>
    <x v="154"/>
    <x v="6"/>
    <n v="6034.7340000000004"/>
    <n v="6038.4160000000002"/>
    <n v="6016.3220000000001"/>
    <n v="6019.4790000000003"/>
    <n v="6110717595.1800003"/>
    <n v="20280"/>
  </r>
  <r>
    <s v="DOLFUT"/>
    <x v="154"/>
    <x v="7"/>
    <n v="6047.8850000000002"/>
    <n v="6052.6189999999997"/>
    <n v="6031.0519999999997"/>
    <n v="6034.7340000000004"/>
    <n v="3505581202.1199999"/>
    <n v="11600"/>
  </r>
  <r>
    <s v="DOLFUT"/>
    <x v="154"/>
    <x v="8"/>
    <n v="6039.9939999999997"/>
    <n v="6056.3010000000004"/>
    <n v="6037.3639999999996"/>
    <n v="6048.4110000000001"/>
    <n v="7253365410.6700001"/>
    <n v="23980"/>
  </r>
  <r>
    <s v="DOLFUT"/>
    <x v="154"/>
    <x v="9"/>
    <n v="6056.8280000000004"/>
    <n v="6062.0879999999997"/>
    <n v="6037.89"/>
    <n v="6039.9939999999997"/>
    <n v="3836112811.8899999"/>
    <n v="12670"/>
  </r>
  <r>
    <s v="DOLFUT"/>
    <x v="154"/>
    <x v="10"/>
    <n v="6042.098"/>
    <n v="6057.3540000000003"/>
    <n v="6039.9939999999997"/>
    <n v="6056.3010000000004"/>
    <n v="2935886441.0500002"/>
    <n v="9710"/>
  </r>
  <r>
    <s v="DOLFUT"/>
    <x v="154"/>
    <x v="11"/>
    <n v="6045.2550000000001"/>
    <n v="6049.4629999999997"/>
    <n v="6032.1040000000003"/>
    <n v="6042.6239999999998"/>
    <n v="3536920313.52"/>
    <n v="11710"/>
  </r>
  <r>
    <s v="DOLFUT"/>
    <x v="155"/>
    <x v="12"/>
    <n v="6035.26"/>
    <n v="6035.26"/>
    <n v="6028.4210000000003"/>
    <n v="6032.63"/>
    <n v="630389286.04999995"/>
    <n v="2090"/>
  </r>
  <r>
    <s v="DOLFUT"/>
    <x v="155"/>
    <x v="13"/>
    <n v="6034.7340000000004"/>
    <n v="6038.4160000000002"/>
    <n v="6032.63"/>
    <n v="6035.26"/>
    <n v="1668852724.24"/>
    <n v="5530"/>
  </r>
  <r>
    <s v="DOLFUT"/>
    <x v="155"/>
    <x v="14"/>
    <n v="6036.3119999999999"/>
    <n v="6037.89"/>
    <n v="6031.5780000000004"/>
    <n v="6034.7340000000004"/>
    <n v="1277755863.8800001"/>
    <n v="4235"/>
  </r>
  <r>
    <s v="DOLFUT"/>
    <x v="155"/>
    <x v="15"/>
    <n v="6035.7860000000001"/>
    <n v="6038.942"/>
    <n v="6032.1040000000003"/>
    <n v="6036.8379999999997"/>
    <n v="2669447970.8699999"/>
    <n v="8845"/>
  </r>
  <r>
    <s v="DOLFUT"/>
    <x v="155"/>
    <x v="16"/>
    <n v="6043.15"/>
    <n v="6046.3069999999998"/>
    <n v="6034.7340000000004"/>
    <n v="6035.7860000000001"/>
    <n v="4282570017.5100002"/>
    <n v="14180"/>
  </r>
  <r>
    <s v="DOLFUT"/>
    <x v="155"/>
    <x v="17"/>
    <n v="6035.26"/>
    <n v="6044.2030000000004"/>
    <n v="6030.5259999999998"/>
    <n v="6043.15"/>
    <n v="6044386680.3400002"/>
    <n v="20015"/>
  </r>
  <r>
    <s v="DOLFUT"/>
    <x v="155"/>
    <x v="18"/>
    <n v="6052.0929999999998"/>
    <n v="6053.6710000000003"/>
    <n v="6033.1559999999999"/>
    <n v="6035.26"/>
    <n v="4342495734.6599998"/>
    <n v="14375"/>
  </r>
  <r>
    <s v="DOLFUT"/>
    <x v="155"/>
    <x v="0"/>
    <n v="6054.1970000000001"/>
    <n v="6056.8280000000004"/>
    <n v="6049.4629999999997"/>
    <n v="6053.1450000000004"/>
    <n v="2060945904.8599999"/>
    <n v="6810"/>
  </r>
  <r>
    <s v="DOLFUT"/>
    <x v="155"/>
    <x v="1"/>
    <n v="6053.6710000000003"/>
    <n v="6055.7749999999996"/>
    <n v="6050.5150000000003"/>
    <n v="6054.723"/>
    <n v="2536371621.46"/>
    <n v="8380"/>
  </r>
  <r>
    <s v="DOLFUT"/>
    <x v="155"/>
    <x v="2"/>
    <n v="6062.6139999999996"/>
    <n v="6064.192"/>
    <n v="6049.4629999999997"/>
    <n v="6054.1970000000001"/>
    <n v="1748258238.1900001"/>
    <n v="5775"/>
  </r>
  <r>
    <s v="DOLFUT"/>
    <x v="155"/>
    <x v="3"/>
    <n v="6073.6610000000001"/>
    <n v="6074.1869999999999"/>
    <n v="6058.4059999999999"/>
    <n v="6062.6139999999996"/>
    <n v="8208555755.4200001"/>
    <n v="27055"/>
  </r>
  <r>
    <s v="DOLFUT"/>
    <x v="155"/>
    <x v="4"/>
    <n v="6064.192"/>
    <n v="6074.1869999999999"/>
    <n v="6059.9840000000004"/>
    <n v="6073.6610000000001"/>
    <n v="11586320090.139999"/>
    <n v="38175"/>
  </r>
  <r>
    <s v="DOLFUT"/>
    <x v="155"/>
    <x v="5"/>
    <n v="6058.4059999999999"/>
    <n v="6069.4520000000002"/>
    <n v="6058.4059999999999"/>
    <n v="6064.192"/>
    <n v="3992682382.25"/>
    <n v="13170"/>
  </r>
  <r>
    <s v="DOLFUT"/>
    <x v="155"/>
    <x v="6"/>
    <n v="6073.6610000000001"/>
    <n v="6073.6610000000001"/>
    <n v="6053.1450000000004"/>
    <n v="6058.4059999999999"/>
    <n v="5177393823.3800001"/>
    <n v="17085"/>
  </r>
  <r>
    <s v="DOLFUT"/>
    <x v="155"/>
    <x v="7"/>
    <n v="6073.6610000000001"/>
    <n v="6087.8639999999996"/>
    <n v="6073.6610000000001"/>
    <n v="6074.1869999999999"/>
    <n v="4183233495.73"/>
    <n v="13760"/>
  </r>
  <r>
    <s v="DOLFUT"/>
    <x v="155"/>
    <x v="8"/>
    <n v="6069.9790000000003"/>
    <n v="6083.6559999999999"/>
    <n v="6064.192"/>
    <n v="6074.1869999999999"/>
    <n v="4667050343.5100002"/>
    <n v="15365"/>
  </r>
  <r>
    <s v="DOLFUT"/>
    <x v="155"/>
    <x v="9"/>
    <n v="6091.02"/>
    <n v="6096.2809999999999"/>
    <n v="6067.348"/>
    <n v="6069.9790000000003"/>
    <n v="7060975917.9899998"/>
    <n v="23200"/>
  </r>
  <r>
    <s v="DOLFUT"/>
    <x v="155"/>
    <x v="10"/>
    <n v="6109.9579999999996"/>
    <n v="6119.4260000000004"/>
    <n v="6086.2860000000001"/>
    <n v="6090.4939999999997"/>
    <n v="10086080627.969999"/>
    <n v="33035"/>
  </r>
  <r>
    <s v="DOLFUT"/>
    <x v="155"/>
    <x v="11"/>
    <n v="6098.9110000000001"/>
    <n v="6114.1660000000002"/>
    <n v="6091.5460000000003"/>
    <n v="6109.9579999999996"/>
    <n v="15869010439.360001"/>
    <n v="51965"/>
  </r>
  <r>
    <s v="DOLFUT"/>
    <x v="156"/>
    <x v="12"/>
    <n v="6095.2479999999996"/>
    <n v="6096.3050000000003"/>
    <n v="6091.5460000000003"/>
    <n v="6091.5460000000003"/>
    <n v="467778662.51999998"/>
    <n v="1535"/>
  </r>
  <r>
    <s v="DOLFUT"/>
    <x v="156"/>
    <x v="13"/>
    <n v="6093.1329999999998"/>
    <n v="6096.3050000000003"/>
    <n v="6091.5460000000003"/>
    <n v="6094.19"/>
    <n v="4101043050.6799998"/>
    <n v="13460"/>
  </r>
  <r>
    <s v="DOLFUT"/>
    <x v="156"/>
    <x v="14"/>
    <n v="6095.2479999999996"/>
    <n v="6100.0069999999996"/>
    <n v="6092.6040000000003"/>
    <n v="6093.1329999999998"/>
    <n v="3311740074.6300001"/>
    <n v="10865"/>
  </r>
  <r>
    <s v="DOLFUT"/>
    <x v="156"/>
    <x v="15"/>
    <n v="6092.6040000000003"/>
    <n v="6095.7759999999998"/>
    <n v="6089.96"/>
    <n v="6095.2479999999996"/>
    <n v="1818803761.5599999"/>
    <n v="5970"/>
  </r>
  <r>
    <s v="DOLFUT"/>
    <x v="156"/>
    <x v="16"/>
    <n v="6090.4889999999996"/>
    <n v="6094.7190000000001"/>
    <n v="6089.96"/>
    <n v="6092.0749999999998"/>
    <n v="1507928152.8900001"/>
    <n v="4950"/>
  </r>
  <r>
    <s v="DOLFUT"/>
    <x v="156"/>
    <x v="17"/>
    <n v="6089.96"/>
    <n v="6094.7190000000001"/>
    <n v="6086.2579999999998"/>
    <n v="6089.96"/>
    <n v="2658603778.3400002"/>
    <n v="8730"/>
  </r>
  <r>
    <s v="DOLFUT"/>
    <x v="156"/>
    <x v="18"/>
    <n v="6090.4889999999996"/>
    <n v="6091.5460000000003"/>
    <n v="6079.384"/>
    <n v="6090.4889999999996"/>
    <n v="4946520843.2700005"/>
    <n v="16255"/>
  </r>
  <r>
    <s v="DOLFUT"/>
    <x v="156"/>
    <x v="0"/>
    <n v="6098.9489999999996"/>
    <n v="6104.7659999999996"/>
    <n v="6088.902"/>
    <n v="6091.5460000000003"/>
    <n v="5427812876.5799999"/>
    <n v="17810"/>
  </r>
  <r>
    <s v="DOLFUT"/>
    <x v="156"/>
    <x v="1"/>
    <n v="6102.6509999999998"/>
    <n v="6102.6509999999998"/>
    <n v="6093.6610000000001"/>
    <n v="6097.8919999999998"/>
    <n v="2300384244.3800001"/>
    <n v="7545"/>
  </r>
  <r>
    <s v="DOLFUT"/>
    <x v="156"/>
    <x v="2"/>
    <n v="6104.2370000000001"/>
    <n v="6107.41"/>
    <n v="6101.0640000000003"/>
    <n v="6102.1220000000003"/>
    <n v="2504568959.6799998"/>
    <n v="8205"/>
  </r>
  <r>
    <s v="DOLFUT"/>
    <x v="156"/>
    <x v="3"/>
    <n v="6101.5929999999998"/>
    <n v="6103.7079999999996"/>
    <n v="6100.0069999999996"/>
    <n v="6103.7079999999996"/>
    <n v="3043158013"/>
    <n v="9975"/>
  </r>
  <r>
    <s v="DOLFUT"/>
    <x v="156"/>
    <x v="4"/>
    <n v="6094.7190000000001"/>
    <n v="6102.1220000000003"/>
    <n v="6094.7190000000001"/>
    <n v="6101.5929999999998"/>
    <n v="1170981572.5899999"/>
    <n v="3840"/>
  </r>
  <r>
    <s v="DOLFUT"/>
    <x v="156"/>
    <x v="5"/>
    <n v="6102.6509999999998"/>
    <n v="6104.7659999999996"/>
    <n v="6088.3739999999998"/>
    <n v="6094.7190000000001"/>
    <n v="6232918047.8699999"/>
    <n v="20445"/>
  </r>
  <r>
    <s v="DOLFUT"/>
    <x v="156"/>
    <x v="6"/>
    <n v="6107.41"/>
    <n v="6108.9960000000001"/>
    <n v="6096.8339999999998"/>
    <n v="6102.6509999999998"/>
    <n v="4371690262.8100004"/>
    <n v="14325"/>
  </r>
  <r>
    <s v="DOLFUT"/>
    <x v="156"/>
    <x v="7"/>
    <n v="6089.96"/>
    <n v="6116.9279999999999"/>
    <n v="6086.2579999999998"/>
    <n v="6107.41"/>
    <n v="8117873912.3599997"/>
    <n v="26610"/>
  </r>
  <r>
    <s v="DOLFUT"/>
    <x v="156"/>
    <x v="8"/>
    <n v="6104.2370000000001"/>
    <n v="6105.8230000000003"/>
    <n v="6086.7870000000003"/>
    <n v="6087.8450000000003"/>
    <n v="4472254710.5"/>
    <n v="14675"/>
  </r>
  <r>
    <s v="DOLFUT"/>
    <x v="156"/>
    <x v="9"/>
    <n v="6102.1220000000003"/>
    <n v="6112.1689999999999"/>
    <n v="6097.3630000000003"/>
    <n v="6104.2370000000001"/>
    <n v="9178602729.1599998"/>
    <n v="30080"/>
  </r>
  <r>
    <s v="DOLFUT"/>
    <x v="156"/>
    <x v="10"/>
    <n v="6106.3519999999999"/>
    <n v="6108.9960000000001"/>
    <n v="6087.3159999999998"/>
    <n v="6102.1220000000003"/>
    <n v="8071086528.0699997"/>
    <n v="26470"/>
  </r>
  <r>
    <s v="DOLFUT"/>
    <x v="156"/>
    <x v="11"/>
    <n v="6080.9709999999995"/>
    <n v="6112.1689999999999"/>
    <n v="6080.9709999999995"/>
    <n v="6107.41"/>
    <n v="4554718356.0600004"/>
    <n v="14925"/>
  </r>
  <r>
    <s v="DOLFUT"/>
    <x v="157"/>
    <x v="12"/>
    <n v="6080.9709999999995"/>
    <n v="6082.5569999999998"/>
    <n v="6071.9809999999998"/>
    <n v="6075.1540000000005"/>
    <n v="471049960.30000001"/>
    <n v="1550"/>
  </r>
  <r>
    <s v="DOLFUT"/>
    <x v="157"/>
    <x v="13"/>
    <n v="6083.0860000000002"/>
    <n v="6084.143"/>
    <n v="6079.9129999999996"/>
    <n v="6080.442"/>
    <n v="1573722536.1300001"/>
    <n v="5175"/>
  </r>
  <r>
    <s v="DOLFUT"/>
    <x v="157"/>
    <x v="14"/>
    <n v="6093.6610000000001"/>
    <n v="6093.6610000000001"/>
    <n v="6078.3270000000002"/>
    <n v="6084.143"/>
    <n v="2600554833.1100001"/>
    <n v="8550"/>
  </r>
  <r>
    <s v="DOLFUT"/>
    <x v="157"/>
    <x v="15"/>
    <n v="6092.6040000000003"/>
    <n v="6094.19"/>
    <n v="6086.7870000000003"/>
    <n v="6093.1329999999998"/>
    <n v="3811104752.5300002"/>
    <n v="12515"/>
  </r>
  <r>
    <s v="DOLFUT"/>
    <x v="157"/>
    <x v="16"/>
    <n v="6086.7870000000003"/>
    <n v="6098.42"/>
    <n v="6083.0860000000002"/>
    <n v="6093.1329999999998"/>
    <n v="3319034331.0500002"/>
    <n v="10900"/>
  </r>
  <r>
    <s v="DOLFUT"/>
    <x v="157"/>
    <x v="17"/>
    <n v="6078.3270000000002"/>
    <n v="6088.902"/>
    <n v="6078.3270000000002"/>
    <n v="6087.3159999999998"/>
    <n v="2085465294.05"/>
    <n v="6855"/>
  </r>
  <r>
    <s v="DOLFUT"/>
    <x v="157"/>
    <x v="18"/>
    <n v="6084.6719999999996"/>
    <n v="6085.201"/>
    <n v="6074.625"/>
    <n v="6077.7979999999998"/>
    <n v="4113212394.7800002"/>
    <n v="13530"/>
  </r>
  <r>
    <s v="DOLFUT"/>
    <x v="157"/>
    <x v="0"/>
    <n v="6071.9809999999998"/>
    <n v="6100.5349999999999"/>
    <n v="6068.28"/>
    <n v="6084.143"/>
    <n v="6956519177.1899996"/>
    <n v="22900"/>
  </r>
  <r>
    <s v="DOLFUT"/>
    <x v="157"/>
    <x v="1"/>
    <n v="6071.9809999999998"/>
    <n v="6073.5680000000002"/>
    <n v="6066.6940000000004"/>
    <n v="6071.4530000000004"/>
    <n v="2049797361.0599999"/>
    <n v="6755"/>
  </r>
  <r>
    <s v="DOLFUT"/>
    <x v="157"/>
    <x v="2"/>
    <n v="6069.3370000000004"/>
    <n v="6073.5680000000002"/>
    <n v="6069.3370000000004"/>
    <n v="6070.924"/>
    <n v="1508595605.51"/>
    <n v="4970"/>
  </r>
  <r>
    <s v="DOLFUT"/>
    <x v="157"/>
    <x v="3"/>
    <n v="6068.8090000000002"/>
    <n v="6073.0389999999998"/>
    <n v="6067.7510000000002"/>
    <n v="6069.866"/>
    <n v="2074429522.1800001"/>
    <n v="6835"/>
  </r>
  <r>
    <s v="DOLFUT"/>
    <x v="157"/>
    <x v="4"/>
    <n v="6075.683"/>
    <n v="6076.2120000000004"/>
    <n v="6065.6360000000004"/>
    <n v="6069.3370000000004"/>
    <n v="4029714587.6300001"/>
    <n v="13275"/>
  </r>
  <r>
    <s v="DOLFUT"/>
    <x v="157"/>
    <x v="5"/>
    <n v="6075.683"/>
    <n v="6080.442"/>
    <n v="6072.51"/>
    <n v="6075.1540000000005"/>
    <n v="3359940094.8299999"/>
    <n v="11060"/>
  </r>
  <r>
    <s v="DOLFUT"/>
    <x v="157"/>
    <x v="6"/>
    <n v="6066.165"/>
    <n v="6077.7979999999998"/>
    <n v="6060.8770000000004"/>
    <n v="6075.1540000000005"/>
    <n v="4889725899.9200001"/>
    <n v="16115"/>
  </r>
  <r>
    <s v="DOLFUT"/>
    <x v="157"/>
    <x v="7"/>
    <n v="6086.2579999999998"/>
    <n v="6092.6040000000003"/>
    <n v="6065.107"/>
    <n v="6065.6360000000004"/>
    <n v="6266560885.4499998"/>
    <n v="20605"/>
  </r>
  <r>
    <s v="DOLFUT"/>
    <x v="157"/>
    <x v="8"/>
    <n v="6102.6509999999998"/>
    <n v="6103.7079999999996"/>
    <n v="6084.6719999999996"/>
    <n v="6085.73"/>
    <n v="5762015485"/>
    <n v="18910"/>
  </r>
  <r>
    <s v="DOLFUT"/>
    <x v="157"/>
    <x v="9"/>
    <n v="6093.1329999999998"/>
    <n v="6107.9380000000001"/>
    <n v="6091.5460000000003"/>
    <n v="6102.1220000000003"/>
    <n v="9248871120.3999996"/>
    <n v="30330"/>
  </r>
  <r>
    <s v="DOLFUT"/>
    <x v="157"/>
    <x v="10"/>
    <n v="6070.924"/>
    <n v="6095.7759999999998"/>
    <n v="6067.2219999999998"/>
    <n v="6093.1329999999998"/>
    <n v="4429690692.4700003"/>
    <n v="14565"/>
  </r>
  <r>
    <s v="DOLFUT"/>
    <x v="157"/>
    <x v="11"/>
    <n v="6061.9350000000004"/>
    <n v="6076.74"/>
    <n v="6056.1180000000004"/>
    <n v="6071.4530000000004"/>
    <n v="3736879235.7800002"/>
    <n v="12320"/>
  </r>
  <r>
    <s v="DOLFUT"/>
    <x v="158"/>
    <x v="12"/>
    <n v="6071.9809999999998"/>
    <n v="6074.625"/>
    <n v="6069.866"/>
    <n v="6072.51"/>
    <n v="1079215760.5599999"/>
    <n v="3555"/>
  </r>
  <r>
    <s v="DOLFUT"/>
    <x v="158"/>
    <x v="13"/>
    <n v="6069.866"/>
    <n v="6072.51"/>
    <n v="6069.3370000000004"/>
    <n v="6071.4530000000004"/>
    <n v="617704860.17999995"/>
    <n v="2035"/>
  </r>
  <r>
    <s v="DOLFUT"/>
    <x v="158"/>
    <x v="14"/>
    <n v="6068.28"/>
    <n v="6074.0959999999995"/>
    <n v="6065.107"/>
    <n v="6070.3950000000004"/>
    <n v="3301132746.8099999"/>
    <n v="10880"/>
  </r>
  <r>
    <s v="DOLFUT"/>
    <x v="158"/>
    <x v="15"/>
    <n v="6070.3950000000004"/>
    <n v="6072.51"/>
    <n v="6061.9350000000004"/>
    <n v="6067.7510000000002"/>
    <n v="2803229220.3899999"/>
    <n v="9240"/>
  </r>
  <r>
    <s v="DOLFUT"/>
    <x v="158"/>
    <x v="16"/>
    <n v="6068.28"/>
    <n v="6071.9809999999998"/>
    <n v="6065.107"/>
    <n v="6070.3950000000004"/>
    <n v="2240985588.0700002"/>
    <n v="7385"/>
  </r>
  <r>
    <s v="DOLFUT"/>
    <x v="158"/>
    <x v="17"/>
    <n v="6068.8090000000002"/>
    <n v="6071.9809999999998"/>
    <n v="6065.6360000000004"/>
    <n v="6068.28"/>
    <n v="3251624260.3699999"/>
    <n v="10715"/>
  </r>
  <r>
    <s v="DOLFUT"/>
    <x v="158"/>
    <x v="18"/>
    <n v="6075.683"/>
    <n v="6075.683"/>
    <n v="6064.05"/>
    <n v="6068.28"/>
    <n v="3042718861.1700001"/>
    <n v="10025"/>
  </r>
  <r>
    <s v="DOLFUT"/>
    <x v="158"/>
    <x v="0"/>
    <n v="6076.2120000000004"/>
    <n v="6080.9709999999995"/>
    <n v="6070.3950000000004"/>
    <n v="6075.1540000000005"/>
    <n v="4845749906.9700003"/>
    <n v="15950"/>
  </r>
  <r>
    <s v="DOLFUT"/>
    <x v="158"/>
    <x v="1"/>
    <n v="6068.8090000000002"/>
    <n v="6076.74"/>
    <n v="6067.2219999999998"/>
    <n v="6075.683"/>
    <n v="2970031168.9899998"/>
    <n v="9785"/>
  </r>
  <r>
    <s v="DOLFUT"/>
    <x v="158"/>
    <x v="2"/>
    <n v="6072.51"/>
    <n v="6074.0959999999995"/>
    <n v="6065.6360000000004"/>
    <n v="6068.28"/>
    <n v="2057654107.26"/>
    <n v="6780"/>
  </r>
  <r>
    <s v="DOLFUT"/>
    <x v="158"/>
    <x v="3"/>
    <n v="6073.5680000000002"/>
    <n v="6083.6139999999996"/>
    <n v="6070.3950000000004"/>
    <n v="6071.9809999999998"/>
    <n v="3523924174.5500002"/>
    <n v="11600"/>
  </r>
  <r>
    <s v="DOLFUT"/>
    <x v="158"/>
    <x v="4"/>
    <n v="6073.0389999999998"/>
    <n v="6077.7979999999998"/>
    <n v="6067.7510000000002"/>
    <n v="6074.0959999999995"/>
    <n v="7216523633.2299995"/>
    <n v="23770"/>
  </r>
  <r>
    <s v="DOLFUT"/>
    <x v="158"/>
    <x v="5"/>
    <n v="6062.4629999999997"/>
    <n v="6077.7979999999998"/>
    <n v="6059.8190000000004"/>
    <n v="6073.0389999999998"/>
    <n v="6454202320.2700005"/>
    <n v="21265"/>
  </r>
  <r>
    <s v="DOLFUT"/>
    <x v="158"/>
    <x v="6"/>
    <n v="6061.4059999999999"/>
    <n v="6068.28"/>
    <n v="6059.2910000000002"/>
    <n v="6062.4629999999997"/>
    <n v="2826888558.4099998"/>
    <n v="9325"/>
  </r>
  <r>
    <s v="DOLFUT"/>
    <x v="158"/>
    <x v="7"/>
    <n v="6064.5780000000004"/>
    <n v="6065.107"/>
    <n v="6052.4160000000002"/>
    <n v="6060.8770000000004"/>
    <n v="7470916014.3900003"/>
    <n v="24665"/>
  </r>
  <r>
    <s v="DOLFUT"/>
    <x v="158"/>
    <x v="8"/>
    <n v="6061.4059999999999"/>
    <n v="6072.51"/>
    <n v="6057.7039999999997"/>
    <n v="6064.05"/>
    <n v="3944894565.96"/>
    <n v="13010"/>
  </r>
  <r>
    <s v="DOLFUT"/>
    <x v="158"/>
    <x v="9"/>
    <n v="6058.7619999999997"/>
    <n v="6068.28"/>
    <n v="6054.0029999999997"/>
    <n v="6060.8770000000004"/>
    <n v="9287716492.7199993"/>
    <n v="30645"/>
  </r>
  <r>
    <s v="DOLFUT"/>
    <x v="158"/>
    <x v="10"/>
    <n v="6055.5889999999999"/>
    <n v="6063.5209999999997"/>
    <n v="6054.5320000000002"/>
    <n v="6059.2910000000002"/>
    <n v="8181270013.6700001"/>
    <n v="27010"/>
  </r>
  <r>
    <s v="DOLFUT"/>
    <x v="158"/>
    <x v="11"/>
    <n v="6034.4380000000001"/>
    <n v="6055.5889999999999"/>
    <n v="6027.0349999999999"/>
    <n v="6055.5889999999999"/>
    <n v="4029187393.9200001"/>
    <n v="13335"/>
  </r>
  <r>
    <s v="DOLFUT"/>
    <x v="159"/>
    <x v="12"/>
    <n v="6034.4380000000001"/>
    <n v="6038.6679999999997"/>
    <n v="6033.9089999999997"/>
    <n v="6035.4960000000001"/>
    <n v="487386487.79000002"/>
    <n v="1615"/>
  </r>
  <r>
    <s v="DOLFUT"/>
    <x v="159"/>
    <x v="13"/>
    <n v="6042.37"/>
    <n v="6045.5420000000004"/>
    <n v="6033.9089999999997"/>
    <n v="6034.4380000000001"/>
    <n v="853234202.76999998"/>
    <n v="2825"/>
  </r>
  <r>
    <s v="DOLFUT"/>
    <x v="159"/>
    <x v="14"/>
    <n v="6042.8980000000001"/>
    <n v="6047.6570000000002"/>
    <n v="6036.5529999999999"/>
    <n v="6042.37"/>
    <n v="2108631412.48"/>
    <n v="6980"/>
  </r>
  <r>
    <s v="DOLFUT"/>
    <x v="159"/>
    <x v="15"/>
    <n v="6036.0240000000003"/>
    <n v="6045.0140000000001"/>
    <n v="6032.8519999999999"/>
    <n v="6042.8980000000001"/>
    <n v="3401518731.23"/>
    <n v="11270"/>
  </r>
  <r>
    <s v="DOLFUT"/>
    <x v="159"/>
    <x v="16"/>
    <n v="6031.7939999999999"/>
    <n v="6038.1390000000001"/>
    <n v="6028.6210000000001"/>
    <n v="6036.0240000000003"/>
    <n v="2797971295.9499998"/>
    <n v="9275"/>
  </r>
  <r>
    <s v="DOLFUT"/>
    <x v="159"/>
    <x v="17"/>
    <n v="6029.6790000000001"/>
    <n v="6031.7939999999999"/>
    <n v="6025.4489999999996"/>
    <n v="6031.7939999999999"/>
    <n v="8761398177.0799999"/>
    <n v="29065"/>
  </r>
  <r>
    <s v="DOLFUT"/>
    <x v="159"/>
    <x v="18"/>
    <n v="6029.15"/>
    <n v="6031.7939999999999"/>
    <n v="6018.0460000000003"/>
    <n v="6029.15"/>
    <n v="6830400904.75"/>
    <n v="22670"/>
  </r>
  <r>
    <s v="DOLFUT"/>
    <x v="159"/>
    <x v="0"/>
    <n v="6035.4960000000001"/>
    <n v="6037.0820000000003"/>
    <n v="6024.92"/>
    <n v="6028.0929999999998"/>
    <n v="3443359378.1500001"/>
    <n v="11420"/>
  </r>
  <r>
    <s v="DOLFUT"/>
    <x v="159"/>
    <x v="1"/>
    <n v="6034.4380000000001"/>
    <n v="6042.8980000000001"/>
    <n v="6029.6790000000001"/>
    <n v="6036.0240000000003"/>
    <n v="3263592932.4400001"/>
    <n v="10815"/>
  </r>
  <r>
    <s v="DOLFUT"/>
    <x v="159"/>
    <x v="2"/>
    <n v="6022.8050000000003"/>
    <n v="6036.5529999999999"/>
    <n v="6021.7470000000003"/>
    <n v="6033.9089999999997"/>
    <n v="6668344624.9099998"/>
    <n v="22125"/>
  </r>
  <r>
    <s v="DOLFUT"/>
    <x v="159"/>
    <x v="3"/>
    <n v="6019.1030000000001"/>
    <n v="6024.92"/>
    <n v="6016.4589999999998"/>
    <n v="6023.3339999999998"/>
    <n v="3641140170.4400001"/>
    <n v="12095"/>
  </r>
  <r>
    <s v="DOLFUT"/>
    <x v="159"/>
    <x v="4"/>
    <n v="6019.6319999999996"/>
    <n v="6024.92"/>
    <n v="6017.5169999999998"/>
    <n v="6018.5749999999998"/>
    <n v="6628410626.6599998"/>
    <n v="22015"/>
  </r>
  <r>
    <s v="DOLFUT"/>
    <x v="159"/>
    <x v="5"/>
    <n v="6016.9880000000003"/>
    <n v="6021.2179999999998"/>
    <n v="6011.1719999999996"/>
    <n v="6019.1030000000001"/>
    <n v="6164021576.4700003"/>
    <n v="20490"/>
  </r>
  <r>
    <s v="DOLFUT"/>
    <x v="159"/>
    <x v="6"/>
    <n v="6032.8519999999999"/>
    <n v="6037.6109999999999"/>
    <n v="6016.4589999999998"/>
    <n v="6016.4589999999998"/>
    <n v="5749892937.9399996"/>
    <n v="19090"/>
  </r>
  <r>
    <s v="DOLFUT"/>
    <x v="159"/>
    <x v="7"/>
    <n v="6043.9560000000001"/>
    <n v="6048.1859999999997"/>
    <n v="6030.7359999999999"/>
    <n v="6032.8519999999999"/>
    <n v="6229514290.6800003"/>
    <n v="20625"/>
  </r>
  <r>
    <s v="DOLFUT"/>
    <x v="159"/>
    <x v="8"/>
    <n v="6057.7039999999997"/>
    <n v="6058.7619999999997"/>
    <n v="6042.37"/>
    <n v="6043.4269999999997"/>
    <n v="5689081249.1300001"/>
    <n v="18810"/>
  </r>
  <r>
    <s v="DOLFUT"/>
    <x v="159"/>
    <x v="9"/>
    <n v="6066.165"/>
    <n v="6072.51"/>
    <n v="6057.1750000000002"/>
    <n v="6057.7039999999997"/>
    <n v="11882875257.6"/>
    <n v="39185"/>
  </r>
  <r>
    <s v="DOLFUT"/>
    <x v="159"/>
    <x v="10"/>
    <n v="6076.74"/>
    <n v="6082.0280000000002"/>
    <n v="6062.4629999999997"/>
    <n v="6066.165"/>
    <n v="10248643627.049999"/>
    <n v="33775"/>
  </r>
  <r>
    <s v="DOLFUT"/>
    <x v="159"/>
    <x v="11"/>
    <n v="6093.1329999999998"/>
    <n v="6093.1329999999998"/>
    <n v="6074.625"/>
    <n v="6076.74"/>
    <n v="4023935947.0300002"/>
    <n v="13230"/>
  </r>
  <r>
    <s v="DOLFUT"/>
    <x v="160"/>
    <x v="12"/>
    <n v="6105.8230000000003"/>
    <n v="6106.3519999999999"/>
    <n v="6100.5349999999999"/>
    <n v="6101.0640000000003"/>
    <n v="466913974.94"/>
    <n v="1530"/>
  </r>
  <r>
    <s v="DOLFUT"/>
    <x v="160"/>
    <x v="13"/>
    <n v="6101.5929999999998"/>
    <n v="6106.8810000000003"/>
    <n v="6100.0069999999996"/>
    <n v="6105.8230000000003"/>
    <n v="1127703172.71"/>
    <n v="3695"/>
  </r>
  <r>
    <s v="DOLFUT"/>
    <x v="160"/>
    <x v="14"/>
    <n v="6092.0749999999998"/>
    <n v="6103.7079999999996"/>
    <n v="6091.5460000000003"/>
    <n v="6101.5929999999998"/>
    <n v="2480496247.8499999"/>
    <n v="8135"/>
  </r>
  <r>
    <s v="DOLFUT"/>
    <x v="160"/>
    <x v="15"/>
    <n v="6092.0749999999998"/>
    <n v="6096.3050000000003"/>
    <n v="6090.4889999999996"/>
    <n v="6091.5460000000003"/>
    <n v="1108924606.76"/>
    <n v="3640"/>
  </r>
  <r>
    <s v="DOLFUT"/>
    <x v="160"/>
    <x v="16"/>
    <n v="6092.6040000000003"/>
    <n v="6096.3050000000003"/>
    <n v="6090.4889999999996"/>
    <n v="6091.5460000000003"/>
    <n v="1989425485.0599999"/>
    <n v="6530"/>
  </r>
  <r>
    <s v="DOLFUT"/>
    <x v="160"/>
    <x v="17"/>
    <n v="6097.8919999999998"/>
    <n v="6102.1220000000003"/>
    <n v="6089.96"/>
    <n v="6092.0749999999998"/>
    <n v="5545908894.6700001"/>
    <n v="18200"/>
  </r>
  <r>
    <s v="DOLFUT"/>
    <x v="160"/>
    <x v="18"/>
    <n v="6088.902"/>
    <n v="6100.0069999999996"/>
    <n v="6086.7870000000003"/>
    <n v="6097.8919999999998"/>
    <n v="4062610787.7800002"/>
    <n v="13330"/>
  </r>
  <r>
    <s v="DOLFUT"/>
    <x v="160"/>
    <x v="0"/>
    <n v="6079.384"/>
    <n v="6089.96"/>
    <n v="6079.384"/>
    <n v="6088.3739999999998"/>
    <n v="3743207014.4499998"/>
    <n v="12300"/>
  </r>
  <r>
    <s v="DOLFUT"/>
    <x v="160"/>
    <x v="1"/>
    <n v="6069.866"/>
    <n v="6082.0280000000002"/>
    <n v="6066.165"/>
    <n v="6079.9129999999996"/>
    <n v="3349722081.3200002"/>
    <n v="11035"/>
  </r>
  <r>
    <s v="DOLFUT"/>
    <x v="160"/>
    <x v="2"/>
    <n v="6073.0389999999998"/>
    <n v="6075.1540000000005"/>
    <n v="6067.2219999999998"/>
    <n v="6069.3370000000004"/>
    <n v="1305197582.73"/>
    <n v="4300"/>
  </r>
  <r>
    <s v="DOLFUT"/>
    <x v="160"/>
    <x v="3"/>
    <n v="6069.3370000000004"/>
    <n v="6073.5680000000002"/>
    <n v="6064.05"/>
    <n v="6073.5680000000002"/>
    <n v="1904191560.8"/>
    <n v="6275"/>
  </r>
  <r>
    <s v="DOLFUT"/>
    <x v="160"/>
    <x v="4"/>
    <n v="6073.0389999999998"/>
    <n v="6074.625"/>
    <n v="6067.7510000000002"/>
    <n v="6068.8090000000002"/>
    <n v="1373681473.5"/>
    <n v="4525"/>
  </r>
  <r>
    <s v="DOLFUT"/>
    <x v="160"/>
    <x v="5"/>
    <n v="6079.9129999999996"/>
    <n v="6082.0280000000002"/>
    <n v="6067.7510000000002"/>
    <n v="6071.9809999999998"/>
    <n v="4893506677.29"/>
    <n v="16115"/>
  </r>
  <r>
    <s v="DOLFUT"/>
    <x v="160"/>
    <x v="6"/>
    <n v="6069.3370000000004"/>
    <n v="6084.143"/>
    <n v="6068.8090000000002"/>
    <n v="6079.9129999999996"/>
    <n v="3230416875.4400001"/>
    <n v="10630"/>
  </r>
  <r>
    <s v="DOLFUT"/>
    <x v="160"/>
    <x v="7"/>
    <n v="6075.683"/>
    <n v="6080.442"/>
    <n v="6063.5209999999997"/>
    <n v="6069.866"/>
    <n v="5158134521.6999998"/>
    <n v="16990"/>
  </r>
  <r>
    <s v="DOLFUT"/>
    <x v="160"/>
    <x v="8"/>
    <n v="6075.1540000000005"/>
    <n v="6076.74"/>
    <n v="6060.8770000000004"/>
    <n v="6076.74"/>
    <n v="5057453213.6199999"/>
    <n v="16665"/>
  </r>
  <r>
    <s v="DOLFUT"/>
    <x v="160"/>
    <x v="9"/>
    <n v="6096.8339999999998"/>
    <n v="6102.1220000000003"/>
    <n v="6075.683"/>
    <n v="6075.683"/>
    <n v="4949539384.1899996"/>
    <n v="16250"/>
  </r>
  <r>
    <s v="DOLFUT"/>
    <x v="160"/>
    <x v="10"/>
    <n v="6062.4629999999997"/>
    <n v="6113.7550000000001"/>
    <n v="6061.4059999999999"/>
    <n v="6097.3630000000003"/>
    <n v="11208047081.66"/>
    <n v="36790"/>
  </r>
  <r>
    <s v="DOLFUT"/>
    <x v="160"/>
    <x v="11"/>
    <n v="6051.8879999999999"/>
    <n v="6064.05"/>
    <n v="6040.2550000000001"/>
    <n v="6061.9350000000004"/>
    <n v="3642165078.3699999"/>
    <n v="12035"/>
  </r>
  <r>
    <s v="DOLFUT"/>
    <x v="161"/>
    <x v="12"/>
    <n v="6070.3950000000004"/>
    <n v="6077.7979999999998"/>
    <n v="6063.5209999999997"/>
    <n v="6063.5209999999997"/>
    <n v="979234160.67999995"/>
    <n v="3225"/>
  </r>
  <r>
    <s v="DOLFUT"/>
    <x v="161"/>
    <x v="13"/>
    <n v="6067.7510000000002"/>
    <n v="6073.0389999999998"/>
    <n v="6067.2219999999998"/>
    <n v="6069.866"/>
    <n v="1285230980.2"/>
    <n v="4235"/>
  </r>
  <r>
    <s v="DOLFUT"/>
    <x v="161"/>
    <x v="14"/>
    <n v="6056.1180000000004"/>
    <n v="6069.866"/>
    <n v="6055.06"/>
    <n v="6067.7510000000002"/>
    <n v="2506056814.5500002"/>
    <n v="8265"/>
  </r>
  <r>
    <s v="DOLFUT"/>
    <x v="161"/>
    <x v="15"/>
    <n v="6057.1750000000002"/>
    <n v="6059.2910000000002"/>
    <n v="6053.4740000000002"/>
    <n v="6056.1180000000004"/>
    <n v="1833635645.4100001"/>
    <n v="6055"/>
  </r>
  <r>
    <s v="DOLFUT"/>
    <x v="161"/>
    <x v="16"/>
    <n v="6061.9350000000004"/>
    <n v="6062.9920000000002"/>
    <n v="6055.5889999999999"/>
    <n v="6056.6469999999999"/>
    <n v="2590998587.8299999"/>
    <n v="8555"/>
  </r>
  <r>
    <s v="DOLFUT"/>
    <x v="161"/>
    <x v="17"/>
    <n v="6057.1750000000002"/>
    <n v="6062.9920000000002"/>
    <n v="6052.9449999999997"/>
    <n v="6061.9350000000004"/>
    <n v="4511174112.0200005"/>
    <n v="14895"/>
  </r>
  <r>
    <s v="DOLFUT"/>
    <x v="161"/>
    <x v="18"/>
    <n v="6055.5889999999999"/>
    <n v="6061.9350000000004"/>
    <n v="6054.0029999999997"/>
    <n v="6057.1750000000002"/>
    <n v="2273585274.8099999"/>
    <n v="7505"/>
  </r>
  <r>
    <s v="DOLFUT"/>
    <x v="161"/>
    <x v="0"/>
    <n v="6052.9449999999997"/>
    <n v="6060.8770000000004"/>
    <n v="6052.4160000000002"/>
    <n v="6055.06"/>
    <n v="2796763826.6999998"/>
    <n v="9235"/>
  </r>
  <r>
    <s v="DOLFUT"/>
    <x v="161"/>
    <x v="1"/>
    <n v="6047.1289999999999"/>
    <n v="6054.5320000000002"/>
    <n v="6043.4269999999997"/>
    <n v="6052.9449999999997"/>
    <n v="3158805779.4499998"/>
    <n v="10445"/>
  </r>
  <r>
    <s v="DOLFUT"/>
    <x v="161"/>
    <x v="2"/>
    <n v="6062.9920000000002"/>
    <n v="6062.9920000000002"/>
    <n v="6047.1289999999999"/>
    <n v="6047.1289999999999"/>
    <n v="2668598911.0700002"/>
    <n v="8815"/>
  </r>
  <r>
    <s v="DOLFUT"/>
    <x v="161"/>
    <x v="3"/>
    <n v="6065.6360000000004"/>
    <n v="6066.165"/>
    <n v="6057.7039999999997"/>
    <n v="6062.4629999999997"/>
    <n v="3384736045.5799999"/>
    <n v="11165"/>
  </r>
  <r>
    <s v="DOLFUT"/>
    <x v="161"/>
    <x v="4"/>
    <n v="6069.866"/>
    <n v="6070.924"/>
    <n v="6062.9920000000002"/>
    <n v="6065.6360000000004"/>
    <n v="5455277448.0500002"/>
    <n v="17985"/>
  </r>
  <r>
    <s v="DOLFUT"/>
    <x v="161"/>
    <x v="5"/>
    <n v="6072.51"/>
    <n v="6075.683"/>
    <n v="6068.28"/>
    <n v="6068.8090000000002"/>
    <n v="3163430886.3699999"/>
    <n v="10420"/>
  </r>
  <r>
    <s v="DOLFUT"/>
    <x v="161"/>
    <x v="6"/>
    <n v="6064.5780000000004"/>
    <n v="6073.0389999999998"/>
    <n v="6062.4629999999997"/>
    <n v="6071.9809999999998"/>
    <n v="2998537304.9699998"/>
    <n v="9885"/>
  </r>
  <r>
    <s v="DOLFUT"/>
    <x v="161"/>
    <x v="7"/>
    <n v="6066.6940000000004"/>
    <n v="6073.5680000000002"/>
    <n v="6064.05"/>
    <n v="6065.107"/>
    <n v="4135498491.0100002"/>
    <n v="13630"/>
  </r>
  <r>
    <s v="DOLFUT"/>
    <x v="161"/>
    <x v="8"/>
    <n v="6066.6940000000004"/>
    <n v="6071.4530000000004"/>
    <n v="6060.348"/>
    <n v="6066.6940000000004"/>
    <n v="4852514061.3800001"/>
    <n v="16000"/>
  </r>
  <r>
    <s v="DOLFUT"/>
    <x v="161"/>
    <x v="9"/>
    <n v="6059.2910000000002"/>
    <n v="6068.28"/>
    <n v="6054.0029999999997"/>
    <n v="6067.7510000000002"/>
    <n v="5119904120.5900002"/>
    <n v="16890"/>
  </r>
  <r>
    <s v="DOLFUT"/>
    <x v="161"/>
    <x v="10"/>
    <n v="6053.4740000000002"/>
    <n v="6062.4629999999997"/>
    <n v="6042.37"/>
    <n v="6059.2910000000002"/>
    <n v="6344063648.7700005"/>
    <n v="20965"/>
  </r>
  <r>
    <s v="DOLFUT"/>
    <x v="161"/>
    <x v="11"/>
    <n v="6028.0929999999998"/>
    <n v="6053.4740000000002"/>
    <n v="6020.1610000000001"/>
    <n v="6053.4740000000002"/>
    <n v="4425546643.21"/>
    <n v="14660"/>
  </r>
  <r>
    <s v="DOLFUT"/>
    <x v="162"/>
    <x v="12"/>
    <n v="6021.7470000000003"/>
    <n v="6022.8050000000003"/>
    <n v="6015.402"/>
    <n v="6015.9309999999996"/>
    <n v="468020050.61000001"/>
    <n v="1555"/>
  </r>
  <r>
    <s v="DOLFUT"/>
    <x v="162"/>
    <x v="13"/>
    <n v="6013.2870000000003"/>
    <n v="6021.7470000000003"/>
    <n v="6010.643"/>
    <n v="6021.2179999999998"/>
    <n v="1538888224.8900001"/>
    <n v="5115"/>
  </r>
  <r>
    <s v="DOLFUT"/>
    <x v="162"/>
    <x v="14"/>
    <n v="6016.4589999999998"/>
    <n v="6018.0460000000003"/>
    <n v="6007.9989999999998"/>
    <n v="6013.2870000000003"/>
    <n v="1712104143.3199999"/>
    <n v="5695"/>
  </r>
  <r>
    <s v="DOLFUT"/>
    <x v="162"/>
    <x v="15"/>
    <n v="6008.5280000000002"/>
    <n v="6018.0460000000003"/>
    <n v="6003.24"/>
    <n v="6016.9880000000003"/>
    <n v="2752590730.98"/>
    <n v="9160"/>
  </r>
  <r>
    <s v="DOLFUT"/>
    <x v="162"/>
    <x v="16"/>
    <n v="6012.7579999999998"/>
    <n v="6013.8159999999998"/>
    <n v="6005.884"/>
    <n v="6008.5280000000002"/>
    <n v="2749445415.04"/>
    <n v="9150"/>
  </r>
  <r>
    <s v="DOLFUT"/>
    <x v="162"/>
    <x v="17"/>
    <n v="6000.5959999999995"/>
    <n v="6014.8729999999996"/>
    <n v="5999.5379999999996"/>
    <n v="6012.2290000000003"/>
    <n v="4106087215.7800002"/>
    <n v="13675"/>
  </r>
  <r>
    <s v="DOLFUT"/>
    <x v="162"/>
    <x v="18"/>
    <n v="6003.24"/>
    <n v="6008.5280000000002"/>
    <n v="5993.1930000000002"/>
    <n v="6000.5959999999995"/>
    <n v="3108792308.0700002"/>
    <n v="10365"/>
  </r>
  <r>
    <s v="DOLFUT"/>
    <x v="162"/>
    <x v="0"/>
    <n v="6006.9409999999998"/>
    <n v="6011.1719999999996"/>
    <n v="6001.6540000000005"/>
    <n v="6003.7690000000002"/>
    <n v="2288641361.4000001"/>
    <n v="7620"/>
  </r>
  <r>
    <s v="DOLFUT"/>
    <x v="162"/>
    <x v="1"/>
    <n v="6012.7579999999998"/>
    <n v="6012.7579999999998"/>
    <n v="6000.5959999999995"/>
    <n v="6006.9409999999998"/>
    <n v="2708506866.8899999"/>
    <n v="9020"/>
  </r>
  <r>
    <s v="DOLFUT"/>
    <x v="162"/>
    <x v="2"/>
    <n v="6013.2870000000003"/>
    <n v="6014.8729999999996"/>
    <n v="6004.826"/>
    <n v="6012.2290000000003"/>
    <n v="2433956464.8200002"/>
    <n v="8100"/>
  </r>
  <r>
    <s v="DOLFUT"/>
    <x v="162"/>
    <x v="3"/>
    <n v="6013.8159999999998"/>
    <n v="6022.2759999999998"/>
    <n v="6012.2290000000003"/>
    <n v="6013.8159999999998"/>
    <n v="3490110805.4000001"/>
    <n v="11600"/>
  </r>
  <r>
    <s v="DOLFUT"/>
    <x v="162"/>
    <x v="4"/>
    <n v="6006.9409999999998"/>
    <n v="6021.2179999999998"/>
    <n v="6004.2969999999996"/>
    <n v="6013.8159999999998"/>
    <n v="4463555088.8999996"/>
    <n v="14850"/>
  </r>
  <r>
    <s v="DOLFUT"/>
    <x v="162"/>
    <x v="5"/>
    <n v="6006.4129999999996"/>
    <n v="6011.7"/>
    <n v="5999.5379999999996"/>
    <n v="6006.9409999999998"/>
    <n v="3276567740.75"/>
    <n v="10910"/>
  </r>
  <r>
    <s v="DOLFUT"/>
    <x v="162"/>
    <x v="6"/>
    <n v="6015.402"/>
    <n v="6016.4589999999998"/>
    <n v="6004.2969999999996"/>
    <n v="6006.9409999999998"/>
    <n v="6094511984.5900002"/>
    <n v="20285"/>
  </r>
  <r>
    <s v="DOLFUT"/>
    <x v="162"/>
    <x v="7"/>
    <n v="6011.1719999999996"/>
    <n v="6016.9880000000003"/>
    <n v="6003.7690000000002"/>
    <n v="6015.9309999999996"/>
    <n v="8573967989.8900003"/>
    <n v="28535"/>
  </r>
  <r>
    <s v="DOLFUT"/>
    <x v="162"/>
    <x v="8"/>
    <n v="6008.5280000000002"/>
    <n v="6019.1030000000001"/>
    <n v="6006.4129999999996"/>
    <n v="6011.1719999999996"/>
    <n v="6858789783.7399998"/>
    <n v="22810"/>
  </r>
  <r>
    <s v="DOLFUT"/>
    <x v="162"/>
    <x v="9"/>
    <n v="5994.7790000000005"/>
    <n v="6010.643"/>
    <n v="5985.79"/>
    <n v="6009.0569999999998"/>
    <n v="6746751205.5299997"/>
    <n v="22500"/>
  </r>
  <r>
    <s v="DOLFUT"/>
    <x v="162"/>
    <x v="10"/>
    <n v="5995.308"/>
    <n v="6000.067"/>
    <n v="5988.9629999999997"/>
    <n v="5995.308"/>
    <n v="4010768662.7800002"/>
    <n v="13380"/>
  </r>
  <r>
    <s v="DOLFUT"/>
    <x v="162"/>
    <x v="11"/>
    <n v="5999.5379999999996"/>
    <n v="6003.24"/>
    <n v="5986.848"/>
    <n v="5995.308"/>
    <n v="5426790083.7600002"/>
    <n v="18105"/>
  </r>
  <r>
    <s v="DOLFUT"/>
    <x v="163"/>
    <x v="12"/>
    <n v="5988.4340000000002"/>
    <n v="5991.0780000000004"/>
    <n v="5984.2039999999997"/>
    <n v="5988.9629999999997"/>
    <n v="603193549.24000001"/>
    <n v="2015"/>
  </r>
  <r>
    <s v="DOLFUT"/>
    <x v="163"/>
    <x v="13"/>
    <n v="5983.6750000000002"/>
    <n v="5990.549"/>
    <n v="5981.0309999999999"/>
    <n v="5987.9049999999997"/>
    <n v="1626704049.9400001"/>
    <n v="5435"/>
  </r>
  <r>
    <s v="DOLFUT"/>
    <x v="163"/>
    <x v="14"/>
    <n v="5986.848"/>
    <n v="5990.549"/>
    <n v="5981.56"/>
    <n v="5984.2039999999997"/>
    <n v="2126497832.8499999"/>
    <n v="7105"/>
  </r>
  <r>
    <s v="DOLFUT"/>
    <x v="163"/>
    <x v="15"/>
    <n v="5989.4920000000002"/>
    <n v="5992.1360000000004"/>
    <n v="5981.0309999999999"/>
    <n v="5987.3770000000004"/>
    <n v="3352493417.5700002"/>
    <n v="11200"/>
  </r>
  <r>
    <s v="DOLFUT"/>
    <x v="163"/>
    <x v="16"/>
    <n v="5974.1570000000002"/>
    <n v="5991.0780000000004"/>
    <n v="5971.5129999999999"/>
    <n v="5990.02"/>
    <n v="3757738154.6500001"/>
    <n v="12565"/>
  </r>
  <r>
    <s v="DOLFUT"/>
    <x v="163"/>
    <x v="17"/>
    <n v="5987.9049999999997"/>
    <n v="5987.9049999999997"/>
    <n v="5970.9840000000004"/>
    <n v="5973.6279999999997"/>
    <n v="6994897240.1400003"/>
    <n v="23395"/>
  </r>
  <r>
    <s v="DOLFUT"/>
    <x v="163"/>
    <x v="18"/>
    <n v="5998.4809999999998"/>
    <n v="5999.01"/>
    <n v="5982.6170000000002"/>
    <n v="5988.4340000000002"/>
    <n v="4825192524.9200001"/>
    <n v="16110"/>
  </r>
  <r>
    <s v="DOLFUT"/>
    <x v="163"/>
    <x v="0"/>
    <n v="5998.4809999999998"/>
    <n v="6005.884"/>
    <n v="5995.8370000000004"/>
    <n v="6002.7110000000002"/>
    <n v="4309669121.8199997"/>
    <n v="14360"/>
  </r>
  <r>
    <s v="DOLFUT"/>
    <x v="163"/>
    <x v="1"/>
    <n v="5995.8370000000004"/>
    <n v="6000.067"/>
    <n v="5995.308"/>
    <n v="5998.4809999999998"/>
    <n v="2839952466.1599998"/>
    <n v="9470"/>
  </r>
  <r>
    <s v="DOLFUT"/>
    <x v="163"/>
    <x v="2"/>
    <n v="5991.0780000000004"/>
    <n v="5997.9520000000002"/>
    <n v="5990.549"/>
    <n v="5995.8370000000004"/>
    <n v="4096121694.7399998"/>
    <n v="13665"/>
  </r>
  <r>
    <s v="DOLFUT"/>
    <x v="163"/>
    <x v="3"/>
    <n v="5988.4340000000002"/>
    <n v="5993.1930000000002"/>
    <n v="5986.3190000000004"/>
    <n v="5990.02"/>
    <n v="4149270964.0300002"/>
    <n v="13855"/>
  </r>
  <r>
    <s v="DOLFUT"/>
    <x v="163"/>
    <x v="4"/>
    <n v="6001.125"/>
    <n v="6002.1819999999998"/>
    <n v="5988.4340000000002"/>
    <n v="5988.4340000000002"/>
    <n v="3050807477.4099998"/>
    <n v="10180"/>
  </r>
  <r>
    <s v="DOLFUT"/>
    <x v="163"/>
    <x v="5"/>
    <n v="6000.067"/>
    <n v="6002.7110000000002"/>
    <n v="5994.2510000000002"/>
    <n v="6000.5959999999995"/>
    <n v="2637709299.0100002"/>
    <n v="8795"/>
  </r>
  <r>
    <s v="DOLFUT"/>
    <x v="163"/>
    <x v="6"/>
    <n v="6016.9880000000003"/>
    <n v="6016.9880000000003"/>
    <n v="5995.308"/>
    <n v="6000.5959999999995"/>
    <n v="5844265239.04"/>
    <n v="19465"/>
  </r>
  <r>
    <s v="DOLFUT"/>
    <x v="163"/>
    <x v="7"/>
    <n v="6020.1610000000001"/>
    <n v="6022.2759999999998"/>
    <n v="6012.7579999999998"/>
    <n v="6016.9880000000003"/>
    <n v="4303131681.8599997"/>
    <n v="14300"/>
  </r>
  <r>
    <s v="DOLFUT"/>
    <x v="163"/>
    <x v="8"/>
    <n v="6019.1030000000001"/>
    <n v="6025.9769999999999"/>
    <n v="6014.3440000000001"/>
    <n v="6020.1610000000001"/>
    <n v="3163826942.6300001"/>
    <n v="10510"/>
  </r>
  <r>
    <s v="DOLFUT"/>
    <x v="163"/>
    <x v="9"/>
    <n v="6026.5060000000003"/>
    <n v="6026.5060000000003"/>
    <n v="6017.5169999999998"/>
    <n v="6019.6319999999996"/>
    <n v="4034938537.9499998"/>
    <n v="13400"/>
  </r>
  <r>
    <s v="DOLFUT"/>
    <x v="163"/>
    <x v="10"/>
    <n v="6024.92"/>
    <n v="6032.8519999999999"/>
    <n v="6018.0460000000003"/>
    <n v="6027.0349999999999"/>
    <n v="2279579393.27"/>
    <n v="7565"/>
  </r>
  <r>
    <s v="DOLFUT"/>
    <x v="163"/>
    <x v="11"/>
    <n v="6023.8620000000001"/>
    <n v="6034.9669999999996"/>
    <n v="6011.7"/>
    <n v="6024.3909999999996"/>
    <n v="3264692662.75"/>
    <n v="10845"/>
  </r>
  <r>
    <s v="DOLFUT"/>
    <x v="164"/>
    <x v="12"/>
    <n v="6014.3440000000001"/>
    <n v="6016.9880000000003"/>
    <n v="6009.0569999999998"/>
    <n v="6016.9880000000003"/>
    <n v="691435835.39999998"/>
    <n v="2300"/>
  </r>
  <r>
    <s v="DOLFUT"/>
    <x v="164"/>
    <x v="13"/>
    <n v="6015.402"/>
    <n v="6016.9880000000003"/>
    <n v="6012.7579999999998"/>
    <n v="6014.3440000000001"/>
    <n v="1057112093.4400001"/>
    <n v="3515"/>
  </r>
  <r>
    <s v="DOLFUT"/>
    <x v="164"/>
    <x v="14"/>
    <n v="6015.402"/>
    <n v="6018.0460000000003"/>
    <n v="6013.2870000000003"/>
    <n v="6015.402"/>
    <n v="2000025938.74"/>
    <n v="6650"/>
  </r>
  <r>
    <s v="DOLFUT"/>
    <x v="164"/>
    <x v="15"/>
    <n v="6014.8729999999996"/>
    <n v="6018.0460000000003"/>
    <n v="6014.3440000000001"/>
    <n v="6015.9309999999996"/>
    <n v="1365527685.1099999"/>
    <n v="4540"/>
  </r>
  <r>
    <s v="DOLFUT"/>
    <x v="164"/>
    <x v="16"/>
    <n v="6010.1139999999996"/>
    <n v="6016.4589999999998"/>
    <n v="6010.1139999999996"/>
    <n v="6014.8729999999996"/>
    <n v="3396253536.0700002"/>
    <n v="11295"/>
  </r>
  <r>
    <s v="DOLFUT"/>
    <x v="164"/>
    <x v="17"/>
    <n v="6009.0569999999998"/>
    <n v="6012.7579999999998"/>
    <n v="6007.9989999999998"/>
    <n v="6010.1139999999996"/>
    <n v="3425814984.8299999"/>
    <n v="11400"/>
  </r>
  <r>
    <s v="DOLFUT"/>
    <x v="164"/>
    <x v="18"/>
    <n v="6008.5280000000002"/>
    <n v="6013.2870000000003"/>
    <n v="6005.3549999999996"/>
    <n v="6009.585"/>
    <n v="4140542656.1100001"/>
    <n v="13780"/>
  </r>
  <r>
    <s v="DOLFUT"/>
    <x v="164"/>
    <x v="0"/>
    <n v="6003.7690000000002"/>
    <n v="6011.1719999999996"/>
    <n v="6003.24"/>
    <n v="6008.5280000000002"/>
    <n v="1440296126.79"/>
    <n v="4795"/>
  </r>
  <r>
    <s v="DOLFUT"/>
    <x v="164"/>
    <x v="1"/>
    <n v="6010.1139999999996"/>
    <n v="6013.2870000000003"/>
    <n v="6002.7110000000002"/>
    <n v="6004.2969999999996"/>
    <n v="4105478061.1599998"/>
    <n v="13665"/>
  </r>
  <r>
    <s v="DOLFUT"/>
    <x v="164"/>
    <x v="2"/>
    <n v="6006.9409999999998"/>
    <n v="6012.2290000000003"/>
    <n v="6001.6540000000005"/>
    <n v="6009.585"/>
    <n v="6343299429.4099998"/>
    <n v="21130"/>
  </r>
  <r>
    <s v="DOLFUT"/>
    <x v="164"/>
    <x v="3"/>
    <n v="6014.3440000000001"/>
    <n v="6016.9880000000003"/>
    <n v="5997.9520000000002"/>
    <n v="6007.47"/>
    <n v="5609332360.3500004"/>
    <n v="18670"/>
  </r>
  <r>
    <s v="DOLFUT"/>
    <x v="164"/>
    <x v="4"/>
    <n v="6022.2759999999998"/>
    <n v="6024.92"/>
    <n v="6011.7"/>
    <n v="6014.3440000000001"/>
    <n v="3046798134.8699999"/>
    <n v="10125"/>
  </r>
  <r>
    <s v="DOLFUT"/>
    <x v="164"/>
    <x v="5"/>
    <n v="6032.3230000000003"/>
    <n v="6035.4960000000001"/>
    <n v="6019.1030000000001"/>
    <n v="6021.7470000000003"/>
    <n v="4727482564.1400003"/>
    <n v="15685"/>
  </r>
  <r>
    <s v="DOLFUT"/>
    <x v="164"/>
    <x v="6"/>
    <n v="6036.0240000000003"/>
    <n v="6040.7830000000004"/>
    <n v="6029.15"/>
    <n v="6032.8519999999999"/>
    <n v="2990163676.27"/>
    <n v="9910"/>
  </r>
  <r>
    <s v="DOLFUT"/>
    <x v="164"/>
    <x v="7"/>
    <n v="6036.0240000000003"/>
    <n v="6045.0140000000001"/>
    <n v="6032.3230000000003"/>
    <n v="6036.0240000000003"/>
    <n v="5561109867"/>
    <n v="18420"/>
  </r>
  <r>
    <s v="DOLFUT"/>
    <x v="164"/>
    <x v="8"/>
    <n v="6032.8519999999999"/>
    <n v="6038.6679999999997"/>
    <n v="6027.0349999999999"/>
    <n v="6036.5529999999999"/>
    <n v="4914505194.0900002"/>
    <n v="16290"/>
  </r>
  <r>
    <s v="DOLFUT"/>
    <x v="164"/>
    <x v="9"/>
    <n v="6034.4380000000001"/>
    <n v="6037.0820000000003"/>
    <n v="6022.8050000000003"/>
    <n v="6032.3230000000003"/>
    <n v="6582090287.3500004"/>
    <n v="21830"/>
  </r>
  <r>
    <s v="DOLFUT"/>
    <x v="164"/>
    <x v="10"/>
    <n v="6042.37"/>
    <n v="6055.06"/>
    <n v="6034.9669999999996"/>
    <n v="6034.9669999999996"/>
    <n v="4845273079.5600004"/>
    <n v="16030"/>
  </r>
  <r>
    <s v="DOLFUT"/>
    <x v="164"/>
    <x v="11"/>
    <n v="6049.7730000000001"/>
    <n v="6060.348"/>
    <n v="6039.1970000000001"/>
    <n v="6041.8410000000003"/>
    <n v="6237799613.1099997"/>
    <n v="20625"/>
  </r>
  <r>
    <s v="DOLFUT"/>
    <x v="165"/>
    <x v="12"/>
    <n v="6029.6790000000001"/>
    <n v="6034.4380000000001"/>
    <n v="6028.0929999999998"/>
    <n v="6033.9089999999997"/>
    <n v="408602226.01999998"/>
    <n v="1355"/>
  </r>
  <r>
    <s v="DOLFUT"/>
    <x v="165"/>
    <x v="13"/>
    <n v="6028.0929999999998"/>
    <n v="6031.2650000000003"/>
    <n v="6027.0349999999999"/>
    <n v="6030.2079999999996"/>
    <n v="1022008765.36"/>
    <n v="3390"/>
  </r>
  <r>
    <s v="DOLFUT"/>
    <x v="165"/>
    <x v="14"/>
    <n v="6031.7939999999999"/>
    <n v="6033.9089999999997"/>
    <n v="6025.4489999999996"/>
    <n v="6028.0929999999998"/>
    <n v="2044065914.0899999"/>
    <n v="6780"/>
  </r>
  <r>
    <s v="DOLFUT"/>
    <x v="165"/>
    <x v="15"/>
    <n v="6017.5169999999998"/>
    <n v="6032.3230000000003"/>
    <n v="6016.9880000000003"/>
    <n v="6031.2650000000003"/>
    <n v="2998865941.77"/>
    <n v="9955"/>
  </r>
  <r>
    <s v="DOLFUT"/>
    <x v="165"/>
    <x v="16"/>
    <n v="6012.7579999999998"/>
    <n v="6019.6319999999996"/>
    <n v="6010.643"/>
    <n v="6016.9880000000003"/>
    <n v="3287601661.8800001"/>
    <n v="10930"/>
  </r>
  <r>
    <s v="DOLFUT"/>
    <x v="165"/>
    <x v="17"/>
    <n v="6030.2079999999996"/>
    <n v="6030.7359999999999"/>
    <n v="6011.7"/>
    <n v="6012.7579999999998"/>
    <n v="4892193319.8400002"/>
    <n v="16250"/>
  </r>
  <r>
    <s v="DOLFUT"/>
    <x v="165"/>
    <x v="18"/>
    <n v="6040.7830000000004"/>
    <n v="6040.7830000000004"/>
    <n v="6030.2079999999996"/>
    <n v="6030.2079999999996"/>
    <n v="2549089199.5100002"/>
    <n v="8450"/>
  </r>
  <r>
    <s v="DOLFUT"/>
    <x v="165"/>
    <x v="0"/>
    <n v="6037.0820000000003"/>
    <n v="6040.7830000000004"/>
    <n v="6032.8519999999999"/>
    <n v="6040.2550000000001"/>
    <n v="4468617100.3299999"/>
    <n v="14805"/>
  </r>
  <r>
    <s v="DOLFUT"/>
    <x v="165"/>
    <x v="1"/>
    <n v="6030.2079999999996"/>
    <n v="6035.4960000000001"/>
    <n v="6030.2079999999996"/>
    <n v="6033.9089999999997"/>
    <n v="672761439.11000001"/>
    <n v="2230"/>
  </r>
  <r>
    <s v="DOLFUT"/>
    <x v="165"/>
    <x v="2"/>
    <n v="6030.7359999999999"/>
    <n v="6035.4960000000001"/>
    <n v="6026.5060000000003"/>
    <n v="6030.7359999999999"/>
    <n v="4291479881.23"/>
    <n v="14230"/>
  </r>
  <r>
    <s v="DOLFUT"/>
    <x v="165"/>
    <x v="3"/>
    <n v="6033.9089999999997"/>
    <n v="6039.1970000000001"/>
    <n v="6029.15"/>
    <n v="6030.7359999999999"/>
    <n v="5674622419.6099997"/>
    <n v="18805"/>
  </r>
  <r>
    <s v="DOLFUT"/>
    <x v="165"/>
    <x v="4"/>
    <n v="6036.0240000000003"/>
    <n v="6039.7259999999997"/>
    <n v="6030.7359999999999"/>
    <n v="6033.38"/>
    <n v="4746640661.9799995"/>
    <n v="15730"/>
  </r>
  <r>
    <s v="DOLFUT"/>
    <x v="165"/>
    <x v="5"/>
    <n v="6055.06"/>
    <n v="6055.06"/>
    <n v="6034.4380000000001"/>
    <n v="6037.6109999999999"/>
    <n v="7025292178.4499998"/>
    <n v="23250"/>
  </r>
  <r>
    <s v="DOLFUT"/>
    <x v="165"/>
    <x v="6"/>
    <n v="6062.4629999999997"/>
    <n v="6064.5780000000004"/>
    <n v="6049.7730000000001"/>
    <n v="6054.5320000000002"/>
    <n v="4320033607.4099998"/>
    <n v="14265"/>
  </r>
  <r>
    <s v="DOLFUT"/>
    <x v="165"/>
    <x v="7"/>
    <n v="6074.625"/>
    <n v="6076.74"/>
    <n v="6054.0029999999997"/>
    <n v="6061.9350000000004"/>
    <n v="5784648460.9499998"/>
    <n v="19075"/>
  </r>
  <r>
    <s v="DOLFUT"/>
    <x v="165"/>
    <x v="8"/>
    <n v="6069.866"/>
    <n v="6075.1540000000005"/>
    <n v="6062.9920000000002"/>
    <n v="6074.625"/>
    <n v="3260259238.6100001"/>
    <n v="10745"/>
  </r>
  <r>
    <s v="DOLFUT"/>
    <x v="165"/>
    <x v="9"/>
    <n v="6055.5889999999999"/>
    <n v="6073.5680000000002"/>
    <n v="6053.4740000000002"/>
    <n v="6070.3950000000004"/>
    <n v="5262644726.1300001"/>
    <n v="17365"/>
  </r>
  <r>
    <s v="DOLFUT"/>
    <x v="165"/>
    <x v="10"/>
    <n v="6056.6469999999999"/>
    <n v="6062.9920000000002"/>
    <n v="6047.6570000000002"/>
    <n v="6055.06"/>
    <n v="4960873652.3900003"/>
    <n v="16385"/>
  </r>
  <r>
    <s v="DOLFUT"/>
    <x v="165"/>
    <x v="11"/>
    <n v="6090.4889999999996"/>
    <n v="6091.0169999999998"/>
    <n v="6055.5889999999999"/>
    <n v="6056.6469999999999"/>
    <n v="4065443065.9299998"/>
    <n v="13390"/>
  </r>
  <r>
    <s v="DOLFUT"/>
    <x v="166"/>
    <x v="12"/>
    <n v="6093.6610000000001"/>
    <n v="6098.42"/>
    <n v="6093.1329999999998"/>
    <n v="6097.3630000000003"/>
    <n v="525698849.81"/>
    <n v="1725"/>
  </r>
  <r>
    <s v="DOLFUT"/>
    <x v="166"/>
    <x v="13"/>
    <n v="6098.42"/>
    <n v="6098.42"/>
    <n v="6090.4889999999996"/>
    <n v="6094.19"/>
    <n v="1026805990.17"/>
    <n v="3370"/>
  </r>
  <r>
    <s v="DOLFUT"/>
    <x v="166"/>
    <x v="14"/>
    <n v="6096.8339999999998"/>
    <n v="6102.6509999999998"/>
    <n v="6091.5460000000003"/>
    <n v="6098.42"/>
    <n v="1441838446"/>
    <n v="4730"/>
  </r>
  <r>
    <s v="DOLFUT"/>
    <x v="166"/>
    <x v="15"/>
    <n v="6091.5460000000003"/>
    <n v="6096.8339999999998"/>
    <n v="6089.96"/>
    <n v="6096.3050000000003"/>
    <n v="5067612400.3500004"/>
    <n v="16635"/>
  </r>
  <r>
    <s v="DOLFUT"/>
    <x v="166"/>
    <x v="16"/>
    <n v="6088.902"/>
    <n v="6093.6610000000001"/>
    <n v="6083.6139999999996"/>
    <n v="6092.0749999999998"/>
    <n v="2564802295.3099999"/>
    <n v="8425"/>
  </r>
  <r>
    <s v="DOLFUT"/>
    <x v="166"/>
    <x v="17"/>
    <n v="6085.73"/>
    <n v="6093.6610000000001"/>
    <n v="6081.4989999999998"/>
    <n v="6088.902"/>
    <n v="5652242729.3100004"/>
    <n v="18565"/>
  </r>
  <r>
    <s v="DOLFUT"/>
    <x v="166"/>
    <x v="18"/>
    <n v="6082.0280000000002"/>
    <n v="6086.7870000000003"/>
    <n v="6074.625"/>
    <n v="6085.201"/>
    <n v="5208038006.8400002"/>
    <n v="17130"/>
  </r>
  <r>
    <s v="DOLFUT"/>
    <x v="166"/>
    <x v="0"/>
    <n v="6062.9920000000002"/>
    <n v="6082.0280000000002"/>
    <n v="6062.9920000000002"/>
    <n v="6082.0280000000002"/>
    <n v="3522021491.73"/>
    <n v="11595"/>
  </r>
  <r>
    <s v="DOLFUT"/>
    <x v="166"/>
    <x v="1"/>
    <n v="6066.6940000000004"/>
    <n v="6071.4530000000004"/>
    <n v="6061.9350000000004"/>
    <n v="6063.5209999999997"/>
    <n v="4220849540.04"/>
    <n v="13915"/>
  </r>
  <r>
    <s v="DOLFUT"/>
    <x v="166"/>
    <x v="2"/>
    <n v="6075.683"/>
    <n v="6076.74"/>
    <n v="6065.107"/>
    <n v="6065.107"/>
    <n v="4402647558.71"/>
    <n v="14505"/>
  </r>
  <r>
    <s v="DOLFUT"/>
    <x v="166"/>
    <x v="3"/>
    <n v="6081.4989999999998"/>
    <n v="6084.143"/>
    <n v="6069.866"/>
    <n v="6076.2120000000004"/>
    <n v="2646130914.5"/>
    <n v="8710"/>
  </r>
  <r>
    <s v="DOLFUT"/>
    <x v="166"/>
    <x v="4"/>
    <n v="6083.0860000000002"/>
    <n v="6085.73"/>
    <n v="6072.51"/>
    <n v="6082.0280000000002"/>
    <n v="2419514952.8400002"/>
    <n v="7960"/>
  </r>
  <r>
    <s v="DOLFUT"/>
    <x v="166"/>
    <x v="5"/>
    <n v="6084.143"/>
    <n v="6088.902"/>
    <n v="6079.9129999999996"/>
    <n v="6083.0860000000002"/>
    <n v="3325286758.5700002"/>
    <n v="10930"/>
  </r>
  <r>
    <s v="DOLFUT"/>
    <x v="166"/>
    <x v="6"/>
    <n v="6085.201"/>
    <n v="6090.4889999999996"/>
    <n v="6078.3270000000002"/>
    <n v="6084.143"/>
    <n v="7521096183.6800003"/>
    <n v="24730"/>
  </r>
  <r>
    <s v="DOLFUT"/>
    <x v="166"/>
    <x v="7"/>
    <n v="6093.1329999999998"/>
    <n v="6098.9489999999996"/>
    <n v="6081.4989999999998"/>
    <n v="6085.201"/>
    <n v="8579307875.2399998"/>
    <n v="28165"/>
  </r>
  <r>
    <s v="DOLFUT"/>
    <x v="166"/>
    <x v="8"/>
    <n v="6104.7659999999996"/>
    <n v="6106.3519999999999"/>
    <n v="6088.3739999999998"/>
    <n v="6092.6040000000003"/>
    <n v="9018028619.7999992"/>
    <n v="29595"/>
  </r>
  <r>
    <s v="DOLFUT"/>
    <x v="166"/>
    <x v="9"/>
    <n v="6111.64"/>
    <n v="6114.2839999999997"/>
    <n v="6097.8919999999998"/>
    <n v="6104.2370000000001"/>
    <n v="9181347626.3999996"/>
    <n v="30070"/>
  </r>
  <r>
    <s v="DOLFUT"/>
    <x v="166"/>
    <x v="10"/>
    <n v="6126.4459999999999"/>
    <n v="6126.9740000000002"/>
    <n v="6107.41"/>
    <n v="6111.64"/>
    <n v="6510834002.7700005"/>
    <n v="21290"/>
  </r>
  <r>
    <s v="DOLFUT"/>
    <x v="166"/>
    <x v="11"/>
    <n v="6146.5389999999998"/>
    <n v="6147.0680000000002"/>
    <n v="6123.2730000000001"/>
    <n v="6125.9170000000004"/>
    <n v="5146829732.9899998"/>
    <n v="16785"/>
  </r>
  <r>
    <s v="DOLFUT"/>
    <x v="167"/>
    <x v="12"/>
    <n v="6157.6440000000002"/>
    <n v="6158.1719999999996"/>
    <n v="6155"/>
    <n v="6158.1719999999996"/>
    <n v="224725969.56"/>
    <n v="730"/>
  </r>
  <r>
    <s v="DOLFUT"/>
    <x v="167"/>
    <x v="13"/>
    <n v="6158.701"/>
    <n v="6161.8739999999998"/>
    <n v="6156.0569999999998"/>
    <n v="6156.5860000000002"/>
    <n v="2772679613.9000001"/>
    <n v="9005"/>
  </r>
  <r>
    <s v="DOLFUT"/>
    <x v="167"/>
    <x v="14"/>
    <n v="6154.4709999999995"/>
    <n v="6160.2879999999996"/>
    <n v="6154.4709999999995"/>
    <n v="6158.701"/>
    <n v="1254611045.97"/>
    <n v="4075"/>
  </r>
  <r>
    <s v="DOLFUT"/>
    <x v="167"/>
    <x v="15"/>
    <n v="6158.1719999999996"/>
    <n v="6158.701"/>
    <n v="6147.5969999999998"/>
    <n v="6154.4709999999995"/>
    <n v="2279628834.21"/>
    <n v="7410"/>
  </r>
  <r>
    <s v="DOLFUT"/>
    <x v="167"/>
    <x v="16"/>
    <n v="6167.1620000000003"/>
    <n v="6167.6909999999998"/>
    <n v="6153.942"/>
    <n v="6157.6440000000002"/>
    <n v="3250693475.29"/>
    <n v="10555"/>
  </r>
  <r>
    <s v="DOLFUT"/>
    <x v="167"/>
    <x v="17"/>
    <n v="6163.9889999999996"/>
    <n v="6167.6909999999998"/>
    <n v="6162.4030000000002"/>
    <n v="6167.1620000000003"/>
    <n v="3179625700.8000002"/>
    <n v="10315"/>
  </r>
  <r>
    <s v="DOLFUT"/>
    <x v="167"/>
    <x v="18"/>
    <n v="6168.7479999999996"/>
    <n v="6168.7479999999996"/>
    <n v="6160.2879999999996"/>
    <n v="6163.9889999999996"/>
    <n v="2345290758.04"/>
    <n v="7610"/>
  </r>
  <r>
    <s v="DOLFUT"/>
    <x v="167"/>
    <x v="0"/>
    <n v="6166.1040000000003"/>
    <n v="6169.8059999999996"/>
    <n v="6165.0469999999996"/>
    <n v="6168.7479999999996"/>
    <n v="2391112986.54"/>
    <n v="7755"/>
  </r>
  <r>
    <s v="DOLFUT"/>
    <x v="167"/>
    <x v="1"/>
    <n v="6158.701"/>
    <n v="6166.6329999999998"/>
    <n v="6153.942"/>
    <n v="6166.1040000000003"/>
    <n v="3508573821.8600001"/>
    <n v="11390"/>
  </r>
  <r>
    <s v="DOLFUT"/>
    <x v="167"/>
    <x v="2"/>
    <n v="6163.9889999999996"/>
    <n v="6165.0469999999996"/>
    <n v="6156.0569999999998"/>
    <n v="6159.23"/>
    <n v="1459858476.98"/>
    <n v="4740"/>
  </r>
  <r>
    <s v="DOLFUT"/>
    <x v="167"/>
    <x v="3"/>
    <n v="6160.8159999999998"/>
    <n v="6165.5749999999998"/>
    <n v="6160.8159999999998"/>
    <n v="6164.518"/>
    <n v="3084259954.1799998"/>
    <n v="10010"/>
  </r>
  <r>
    <s v="DOLFUT"/>
    <x v="167"/>
    <x v="4"/>
    <n v="6155.5290000000005"/>
    <n v="6166.1040000000003"/>
    <n v="6155.5290000000005"/>
    <n v="6161.3450000000003"/>
    <n v="3724968729.5100002"/>
    <n v="12090"/>
  </r>
  <r>
    <s v="DOLFUT"/>
    <x v="167"/>
    <x v="5"/>
    <n v="6164.518"/>
    <n v="6168.7479999999996"/>
    <n v="6152.3559999999998"/>
    <n v="6156.0569999999998"/>
    <n v="3526241817.5100002"/>
    <n v="11445"/>
  </r>
  <r>
    <s v="DOLFUT"/>
    <x v="167"/>
    <x v="6"/>
    <n v="6165.0469999999996"/>
    <n v="6170.3339999999998"/>
    <n v="6161.8739999999998"/>
    <n v="6165.0469999999996"/>
    <n v="3112259122.2800002"/>
    <n v="10095"/>
  </r>
  <r>
    <s v="DOLFUT"/>
    <x v="167"/>
    <x v="7"/>
    <n v="6185.14"/>
    <n v="6185.6689999999999"/>
    <n v="6164.518"/>
    <n v="6165.0469999999996"/>
    <n v="7598326228.6899996"/>
    <n v="24620"/>
  </r>
  <r>
    <s v="DOLFUT"/>
    <x v="167"/>
    <x v="8"/>
    <n v="6188.3130000000001"/>
    <n v="6194.13"/>
    <n v="6182.4960000000001"/>
    <n v="6184.6109999999999"/>
    <n v="7416549229.0299997"/>
    <n v="23970"/>
  </r>
  <r>
    <s v="DOLFUT"/>
    <x v="167"/>
    <x v="9"/>
    <n v="6171.9210000000003"/>
    <n v="6194.6580000000004"/>
    <n v="6167.6909999999998"/>
    <n v="6188.8419999999996"/>
    <n v="4082809921.3499999"/>
    <n v="13205"/>
  </r>
  <r>
    <s v="DOLFUT"/>
    <x v="167"/>
    <x v="10"/>
    <n v="6170.8630000000003"/>
    <n v="6182.4960000000001"/>
    <n v="6166.6329999999998"/>
    <n v="6170.8630000000003"/>
    <n v="5188888501.6700001"/>
    <n v="16805"/>
  </r>
  <r>
    <s v="DOLFUT"/>
    <x v="167"/>
    <x v="11"/>
    <n v="6185.6689999999999"/>
    <n v="6185.6689999999999"/>
    <n v="6167.6909999999998"/>
    <n v="6172.45"/>
    <n v="3043034675.0500002"/>
    <n v="9855"/>
  </r>
  <r>
    <s v="DOLFUT"/>
    <x v="168"/>
    <x v="12"/>
    <n v="6156.0569999999998"/>
    <n v="6162.9309999999996"/>
    <n v="6156.0569999999998"/>
    <n v="6162.9309999999996"/>
    <n v="611437494.62"/>
    <n v="1985"/>
  </r>
  <r>
    <s v="DOLFUT"/>
    <x v="168"/>
    <x v="13"/>
    <n v="6160.2879999999996"/>
    <n v="6163.46"/>
    <n v="6153.942"/>
    <n v="6156.5860000000002"/>
    <n v="1042319074.9299999"/>
    <n v="3385"/>
  </r>
  <r>
    <s v="DOLFUT"/>
    <x v="168"/>
    <x v="14"/>
    <n v="6166.6329999999998"/>
    <n v="6167.1620000000003"/>
    <n v="6157.6440000000002"/>
    <n v="6159.759"/>
    <n v="1703890074.01"/>
    <n v="5530"/>
  </r>
  <r>
    <s v="DOLFUT"/>
    <x v="168"/>
    <x v="15"/>
    <n v="6163.46"/>
    <n v="6166.6329999999998"/>
    <n v="6157.6440000000002"/>
    <n v="6166.6329999999998"/>
    <n v="1889997650.0899999"/>
    <n v="6135"/>
  </r>
  <r>
    <s v="DOLFUT"/>
    <x v="168"/>
    <x v="16"/>
    <n v="6159.23"/>
    <n v="6165.0469999999996"/>
    <n v="6157.6440000000002"/>
    <n v="6163.46"/>
    <n v="2175271315.0100002"/>
    <n v="7060"/>
  </r>
  <r>
    <s v="DOLFUT"/>
    <x v="168"/>
    <x v="17"/>
    <n v="6159.759"/>
    <n v="6161.3450000000003"/>
    <n v="6142.8379999999997"/>
    <n v="6159.23"/>
    <n v="6528339927.3400002"/>
    <n v="21220"/>
  </r>
  <r>
    <s v="DOLFUT"/>
    <x v="168"/>
    <x v="18"/>
    <n v="6167.6909999999998"/>
    <n v="6168.7479999999996"/>
    <n v="6149.7120000000004"/>
    <n v="6158.701"/>
    <n v="6974825674.7600002"/>
    <n v="22650"/>
  </r>
  <r>
    <s v="DOLFUT"/>
    <x v="168"/>
    <x v="0"/>
    <n v="6176.1509999999998"/>
    <n v="6178.2659999999996"/>
    <n v="6160.8159999999998"/>
    <n v="6167.6909999999998"/>
    <n v="3209554651.6999998"/>
    <n v="10405"/>
  </r>
  <r>
    <s v="DOLFUT"/>
    <x v="168"/>
    <x v="1"/>
    <n v="6176.68"/>
    <n v="6183.5540000000001"/>
    <n v="6174.0360000000001"/>
    <n v="6176.68"/>
    <n v="1875016253.6800001"/>
    <n v="6070"/>
  </r>
  <r>
    <s v="DOLFUT"/>
    <x v="168"/>
    <x v="2"/>
    <n v="6177.2089999999998"/>
    <n v="6181.9679999999998"/>
    <n v="6175.0929999999998"/>
    <n v="6177.2089999999998"/>
    <n v="1348448221.6600001"/>
    <n v="4365"/>
  </r>
  <r>
    <s v="DOLFUT"/>
    <x v="168"/>
    <x v="3"/>
    <n v="6180.91"/>
    <n v="6183.5540000000001"/>
    <n v="6171.3919999999998"/>
    <n v="6176.68"/>
    <n v="1295799971.47"/>
    <n v="4195"/>
  </r>
  <r>
    <s v="DOLFUT"/>
    <x v="168"/>
    <x v="4"/>
    <n v="6178.7950000000001"/>
    <n v="6183.0249999999996"/>
    <n v="6174.0360000000001"/>
    <n v="6180.91"/>
    <n v="1645023767.01"/>
    <n v="5325"/>
  </r>
  <r>
    <s v="DOLFUT"/>
    <x v="168"/>
    <x v="5"/>
    <n v="6183.0249999999996"/>
    <n v="6187.2550000000001"/>
    <n v="6172.45"/>
    <n v="6177.7370000000001"/>
    <n v="2053696452.96"/>
    <n v="6645"/>
  </r>
  <r>
    <s v="DOLFUT"/>
    <x v="168"/>
    <x v="6"/>
    <n v="6179.8519999999999"/>
    <n v="6185.14"/>
    <n v="6174.5649999999996"/>
    <n v="6183.0249999999996"/>
    <n v="4599114861.3500004"/>
    <n v="14880"/>
  </r>
  <r>
    <s v="DOLFUT"/>
    <x v="168"/>
    <x v="7"/>
    <n v="6169.8059999999996"/>
    <n v="6191.4859999999999"/>
    <n v="6165.5749999999998"/>
    <n v="6179.8519999999999"/>
    <n v="4045324967.9099998"/>
    <n v="13090"/>
  </r>
  <r>
    <s v="DOLFUT"/>
    <x v="168"/>
    <x v="8"/>
    <n v="6196.2449999999999"/>
    <n v="6197.3019999999997"/>
    <n v="6165.0469999999996"/>
    <n v="6168.7479999999996"/>
    <n v="6695552473.6599998"/>
    <n v="21670"/>
  </r>
  <r>
    <s v="DOLFUT"/>
    <x v="168"/>
    <x v="9"/>
    <n v="6204.1760000000004"/>
    <n v="6207.3490000000002"/>
    <n v="6192.5429999999997"/>
    <n v="6196.2449999999999"/>
    <n v="8811115399.4400005"/>
    <n v="28430"/>
  </r>
  <r>
    <s v="DOLFUT"/>
    <x v="168"/>
    <x v="10"/>
    <n v="6177.7370000000001"/>
    <n v="6205.2340000000004"/>
    <n v="6159.23"/>
    <n v="6204.7049999999999"/>
    <n v="7887389924.6300001"/>
    <n v="25505"/>
  </r>
  <r>
    <s v="DOLFUT"/>
    <x v="168"/>
    <x v="11"/>
    <n v="6174.0360000000001"/>
    <n v="6187.7839999999997"/>
    <n v="6171.3919999999998"/>
    <n v="6177.7370000000001"/>
    <n v="2668294069.3699999"/>
    <n v="8635"/>
  </r>
  <r>
    <s v="DOLFUT"/>
    <x v="169"/>
    <x v="12"/>
    <n v="6171.3919999999998"/>
    <n v="6173.5069999999996"/>
    <n v="6165.0469999999996"/>
    <n v="6168.7479999999996"/>
    <n v="621449416.11000001"/>
    <n v="2015"/>
  </r>
  <r>
    <s v="DOLFUT"/>
    <x v="169"/>
    <x v="13"/>
    <n v="6175.6220000000003"/>
    <n v="6176.1509999999998"/>
    <n v="6169.277"/>
    <n v="6170.8630000000003"/>
    <n v="680587912.64999998"/>
    <n v="2205"/>
  </r>
  <r>
    <s v="DOLFUT"/>
    <x v="169"/>
    <x v="14"/>
    <n v="6171.3919999999998"/>
    <n v="6177.2089999999998"/>
    <n v="6169.277"/>
    <n v="6175.0929999999998"/>
    <n v="1203740422.1199999"/>
    <n v="3900"/>
  </r>
  <r>
    <s v="DOLFUT"/>
    <x v="169"/>
    <x v="15"/>
    <n v="6169.277"/>
    <n v="6174.5649999999996"/>
    <n v="6163.46"/>
    <n v="6170.8630000000003"/>
    <n v="2911978390.0999999"/>
    <n v="9440"/>
  </r>
  <r>
    <s v="DOLFUT"/>
    <x v="169"/>
    <x v="16"/>
    <n v="6168.2190000000001"/>
    <n v="6174.5649999999996"/>
    <n v="6167.6909999999998"/>
    <n v="6168.7479999999996"/>
    <n v="2434708125.6599998"/>
    <n v="7890"/>
  </r>
  <r>
    <s v="DOLFUT"/>
    <x v="169"/>
    <x v="17"/>
    <n v="6180.91"/>
    <n v="6186.1980000000003"/>
    <n v="6167.1620000000003"/>
    <n v="6168.7479999999996"/>
    <n v="5344825209.9799995"/>
    <n v="17315"/>
  </r>
  <r>
    <s v="DOLFUT"/>
    <x v="169"/>
    <x v="18"/>
    <n v="6193.0720000000001"/>
    <n v="6196.7730000000001"/>
    <n v="6180.3810000000003"/>
    <n v="6181.4390000000003"/>
    <n v="3283539176.9499998"/>
    <n v="10610"/>
  </r>
  <r>
    <s v="DOLFUT"/>
    <x v="169"/>
    <x v="0"/>
    <n v="6199.4170000000004"/>
    <n v="6204.7049999999999"/>
    <n v="6192.5429999999997"/>
    <n v="6193.0720000000001"/>
    <n v="2566982587.6599998"/>
    <n v="8285"/>
  </r>
  <r>
    <s v="DOLFUT"/>
    <x v="169"/>
    <x v="1"/>
    <n v="6194.6580000000004"/>
    <n v="6203.1189999999997"/>
    <n v="6193.6009999999997"/>
    <n v="6199.4170000000004"/>
    <n v="2665399130.7800002"/>
    <n v="8600"/>
  </r>
  <r>
    <s v="DOLFUT"/>
    <x v="169"/>
    <x v="2"/>
    <n v="6186.7269999999999"/>
    <n v="6195.7160000000003"/>
    <n v="6185.6689999999999"/>
    <n v="6195.1869999999999"/>
    <n v="3436725303.6199999"/>
    <n v="11105"/>
  </r>
  <r>
    <s v="DOLFUT"/>
    <x v="169"/>
    <x v="3"/>
    <n v="6186.1980000000003"/>
    <n v="6190.9570000000003"/>
    <n v="6182.4960000000001"/>
    <n v="6186.7269999999999"/>
    <n v="3181923778.9000001"/>
    <n v="10285"/>
  </r>
  <r>
    <s v="DOLFUT"/>
    <x v="169"/>
    <x v="4"/>
    <n v="6191.4859999999999"/>
    <n v="6194.6580000000004"/>
    <n v="6181.4390000000003"/>
    <n v="6186.1980000000003"/>
    <n v="2170517317.96"/>
    <n v="7015"/>
  </r>
  <r>
    <s v="DOLFUT"/>
    <x v="169"/>
    <x v="5"/>
    <n v="6202.0609999999997"/>
    <n v="6202.59"/>
    <n v="6185.6689999999999"/>
    <n v="6190.9570000000003"/>
    <n v="3669640093.25"/>
    <n v="11850"/>
  </r>
  <r>
    <s v="DOLFUT"/>
    <x v="169"/>
    <x v="6"/>
    <n v="6194.13"/>
    <n v="6207.3490000000002"/>
    <n v="6186.1980000000003"/>
    <n v="6202.0609999999997"/>
    <n v="3932230548.1199999"/>
    <n v="12690"/>
  </r>
  <r>
    <s v="DOLFUT"/>
    <x v="169"/>
    <x v="7"/>
    <n v="6188.8419999999996"/>
    <n v="6201.5320000000002"/>
    <n v="6186.7269999999999"/>
    <n v="6195.1869999999999"/>
    <n v="4783152527.9200001"/>
    <n v="15440"/>
  </r>
  <r>
    <s v="DOLFUT"/>
    <x v="169"/>
    <x v="8"/>
    <n v="6198.36"/>
    <n v="6204.1760000000004"/>
    <n v="6183.5540000000001"/>
    <n v="6188.3130000000001"/>
    <n v="11589371131.18"/>
    <n v="37405"/>
  </r>
  <r>
    <s v="DOLFUT"/>
    <x v="169"/>
    <x v="9"/>
    <n v="6201.5320000000002"/>
    <n v="6203.6480000000001"/>
    <n v="6187.7839999999997"/>
    <n v="6198.8890000000001"/>
    <n v="6731585793.6599998"/>
    <n v="21725"/>
  </r>
  <r>
    <s v="DOLFUT"/>
    <x v="169"/>
    <x v="10"/>
    <n v="6197.3019999999997"/>
    <n v="6209.9930000000004"/>
    <n v="6194.13"/>
    <n v="6201.5320000000002"/>
    <n v="8852317280.0499992"/>
    <n v="28540"/>
  </r>
  <r>
    <s v="DOLFUT"/>
    <x v="169"/>
    <x v="11"/>
    <n v="6203.1189999999997"/>
    <n v="6211.05"/>
    <n v="6192.5429999999997"/>
    <n v="6197.3019999999997"/>
    <n v="4678024708.3900003"/>
    <n v="15090"/>
  </r>
  <r>
    <s v="DOLFUT"/>
    <x v="170"/>
    <x v="12"/>
    <n v="6221.6260000000002"/>
    <n v="6222.6840000000002"/>
    <n v="6218.4530000000004"/>
    <n v="6220.04"/>
    <n v="559851695.75999999"/>
    <n v="1800"/>
  </r>
  <r>
    <s v="DOLFUT"/>
    <x v="170"/>
    <x v="13"/>
    <n v="6222.6840000000002"/>
    <n v="6224.799"/>
    <n v="6219.5110000000004"/>
    <n v="6221.0969999999998"/>
    <n v="1118390695.04"/>
    <n v="3595"/>
  </r>
  <r>
    <s v="DOLFUT"/>
    <x v="170"/>
    <x v="14"/>
    <n v="6219.5110000000004"/>
    <n v="6226.9139999999998"/>
    <n v="6213.1660000000002"/>
    <n v="6223.2120000000004"/>
    <n v="2056870851.8"/>
    <n v="6615"/>
  </r>
  <r>
    <s v="DOLFUT"/>
    <x v="170"/>
    <x v="15"/>
    <n v="6218.4530000000004"/>
    <n v="6226.3850000000002"/>
    <n v="6215.81"/>
    <n v="6218.4530000000004"/>
    <n v="3356022892.21"/>
    <n v="10790"/>
  </r>
  <r>
    <s v="DOLFUT"/>
    <x v="170"/>
    <x v="16"/>
    <n v="6232.2020000000002"/>
    <n v="6238.018"/>
    <n v="6217.9250000000002"/>
    <n v="6219.5110000000004"/>
    <n v="5158158845.5799999"/>
    <n v="16560"/>
  </r>
  <r>
    <s v="DOLFUT"/>
    <x v="170"/>
    <x v="17"/>
    <n v="6220.5690000000004"/>
    <n v="6234.317"/>
    <n v="6220.5690000000004"/>
    <n v="6232.2020000000002"/>
    <n v="6747384023.0500002"/>
    <n v="21670"/>
  </r>
  <r>
    <s v="DOLFUT"/>
    <x v="170"/>
    <x v="18"/>
    <n v="6204.7049999999999"/>
    <n v="6225.8559999999998"/>
    <n v="6201.0039999999999"/>
    <n v="6221.0969999999998"/>
    <n v="7235684242.7700005"/>
    <n v="23305"/>
  </r>
  <r>
    <s v="DOLFUT"/>
    <x v="170"/>
    <x v="0"/>
    <n v="6185.14"/>
    <n v="6204.7049999999999"/>
    <n v="6183.5540000000001"/>
    <n v="6204.1760000000004"/>
    <n v="3503592978.1599998"/>
    <n v="11310"/>
  </r>
  <r>
    <s v="DOLFUT"/>
    <x v="170"/>
    <x v="1"/>
    <n v="6178.7950000000001"/>
    <n v="6186.7269999999999"/>
    <n v="6172.9780000000001"/>
    <n v="6185.6689999999999"/>
    <n v="1989403805.0799999"/>
    <n v="6440"/>
  </r>
  <r>
    <s v="DOLFUT"/>
    <x v="170"/>
    <x v="2"/>
    <n v="6176.68"/>
    <n v="6180.91"/>
    <n v="6170.8630000000003"/>
    <n v="6178.2659999999996"/>
    <n v="3134612770.1599998"/>
    <n v="10150"/>
  </r>
  <r>
    <s v="DOLFUT"/>
    <x v="170"/>
    <x v="3"/>
    <n v="6158.1719999999996"/>
    <n v="6181.9679999999998"/>
    <n v="6157.6440000000002"/>
    <n v="6177.2089999999998"/>
    <n v="4629249507.6899996"/>
    <n v="15005"/>
  </r>
  <r>
    <s v="DOLFUT"/>
    <x v="170"/>
    <x v="4"/>
    <n v="6144.424"/>
    <n v="6160.2879999999996"/>
    <n v="6143.3670000000002"/>
    <n v="6158.1719999999996"/>
    <n v="2793230650.5900002"/>
    <n v="9080"/>
  </r>
  <r>
    <s v="DOLFUT"/>
    <x v="170"/>
    <x v="5"/>
    <n v="6137.0209999999997"/>
    <n v="6145.482"/>
    <n v="6136.4920000000002"/>
    <n v="6144.424"/>
    <n v="3207617598.1700001"/>
    <n v="10445"/>
  </r>
  <r>
    <s v="DOLFUT"/>
    <x v="170"/>
    <x v="6"/>
    <n v="6142.3090000000002"/>
    <n v="6148.1260000000002"/>
    <n v="6132.2619999999997"/>
    <n v="6138.0789999999997"/>
    <n v="4050094299.5799999"/>
    <n v="13190"/>
  </r>
  <r>
    <s v="DOLFUT"/>
    <x v="170"/>
    <x v="7"/>
    <n v="6149.183"/>
    <n v="6153.4129999999996"/>
    <n v="6139.665"/>
    <n v="6142.8379999999997"/>
    <n v="3746605483.8400002"/>
    <n v="12190"/>
  </r>
  <r>
    <s v="DOLFUT"/>
    <x v="170"/>
    <x v="8"/>
    <n v="6156.0569999999998"/>
    <n v="6157.6440000000002"/>
    <n v="6144.424"/>
    <n v="6149.7120000000004"/>
    <n v="4572135181.1899996"/>
    <n v="14865"/>
  </r>
  <r>
    <s v="DOLFUT"/>
    <x v="170"/>
    <x v="9"/>
    <n v="6162.4030000000002"/>
    <n v="6165.5749999999998"/>
    <n v="6154.4709999999995"/>
    <n v="6156.0569999999998"/>
    <n v="3472103993.9200001"/>
    <n v="11275"/>
  </r>
  <r>
    <s v="DOLFUT"/>
    <x v="170"/>
    <x v="10"/>
    <n v="6149.183"/>
    <n v="6175.0929999999998"/>
    <n v="6145.482"/>
    <n v="6162.4030000000002"/>
    <n v="4366665265.9799995"/>
    <n v="14170"/>
  </r>
  <r>
    <s v="DOLFUT"/>
    <x v="170"/>
    <x v="11"/>
    <n v="6152.3559999999998"/>
    <n v="6159.23"/>
    <n v="6144.9530000000004"/>
    <n v="6149.7120000000004"/>
    <n v="3306662728.5799999"/>
    <n v="10750"/>
  </r>
  <r>
    <s v="DOLFUT"/>
    <x v="171"/>
    <x v="12"/>
    <n v="6151.8270000000002"/>
    <n v="6153.942"/>
    <n v="6148.6540000000005"/>
    <n v="6148.6540000000005"/>
    <n v="1539172311.97"/>
    <n v="5005"/>
  </r>
  <r>
    <s v="DOLFUT"/>
    <x v="171"/>
    <x v="13"/>
    <n v="6152.3559999999998"/>
    <n v="6155.5290000000005"/>
    <n v="6150.241"/>
    <n v="6151.8270000000002"/>
    <n v="1024497204.28"/>
    <n v="3330"/>
  </r>
  <r>
    <s v="DOLFUT"/>
    <x v="171"/>
    <x v="14"/>
    <n v="6151.2979999999998"/>
    <n v="6155"/>
    <n v="6150.241"/>
    <n v="6152.3559999999998"/>
    <n v="1596493655.8599999"/>
    <n v="5190"/>
  </r>
  <r>
    <s v="DOLFUT"/>
    <x v="171"/>
    <x v="15"/>
    <n v="6153.942"/>
    <n v="6156.0569999999998"/>
    <n v="6149.7120000000004"/>
    <n v="6151.2979999999998"/>
    <n v="1838480196.04"/>
    <n v="5975"/>
  </r>
  <r>
    <s v="DOLFUT"/>
    <x v="171"/>
    <x v="16"/>
    <n v="6157.6440000000002"/>
    <n v="6162.9309999999996"/>
    <n v="6150.77"/>
    <n v="6153.4129999999996"/>
    <n v="5216911464.8699999"/>
    <n v="16945"/>
  </r>
  <r>
    <s v="DOLFUT"/>
    <x v="171"/>
    <x v="17"/>
    <n v="6150.77"/>
    <n v="6158.1719999999996"/>
    <n v="6147.0680000000002"/>
    <n v="6157.6440000000002"/>
    <n v="4567483635.2799997"/>
    <n v="14850"/>
  </r>
  <r>
    <s v="DOLFUT"/>
    <x v="171"/>
    <x v="18"/>
    <n v="6154.4709999999995"/>
    <n v="6156.0569999999998"/>
    <n v="6147.0680000000002"/>
    <n v="6151.8270000000002"/>
    <n v="4635309194.8800001"/>
    <n v="15070"/>
  </r>
  <r>
    <s v="DOLFUT"/>
    <x v="171"/>
    <x v="0"/>
    <n v="6150.241"/>
    <n v="6158.701"/>
    <n v="6147.0680000000002"/>
    <n v="6153.942"/>
    <n v="3542257904.29"/>
    <n v="11510"/>
  </r>
  <r>
    <s v="DOLFUT"/>
    <x v="171"/>
    <x v="1"/>
    <n v="6149.183"/>
    <n v="6158.701"/>
    <n v="6147.0680000000002"/>
    <n v="6149.7120000000004"/>
    <n v="2989854075.5500002"/>
    <n v="9720"/>
  </r>
  <r>
    <s v="DOLFUT"/>
    <x v="171"/>
    <x v="2"/>
    <n v="6143.3670000000002"/>
    <n v="6155.5290000000005"/>
    <n v="6143.3670000000002"/>
    <n v="6149.183"/>
    <n v="6174964811.8199997"/>
    <n v="20085"/>
  </r>
  <r>
    <s v="DOLFUT"/>
    <x v="171"/>
    <x v="3"/>
    <n v="6126.4459999999999"/>
    <n v="6144.424"/>
    <n v="6125.3879999999999"/>
    <n v="6143.3670000000002"/>
    <n v="3744393596.8899999"/>
    <n v="12210"/>
  </r>
  <r>
    <s v="DOLFUT"/>
    <x v="171"/>
    <x v="4"/>
    <n v="6138.0789999999997"/>
    <n v="6140.723"/>
    <n v="6121.6869999999999"/>
    <n v="6127.5029999999997"/>
    <n v="7369502874.71"/>
    <n v="24025"/>
  </r>
  <r>
    <s v="DOLFUT"/>
    <x v="171"/>
    <x v="5"/>
    <n v="6134.3770000000004"/>
    <n v="6146.5389999999998"/>
    <n v="6130.1469999999999"/>
    <n v="6138.6080000000002"/>
    <n v="6998191936.4399996"/>
    <n v="22815"/>
  </r>
  <r>
    <s v="DOLFUT"/>
    <x v="171"/>
    <x v="6"/>
    <n v="6135.9639999999999"/>
    <n v="6143.3670000000002"/>
    <n v="6132.2619999999997"/>
    <n v="6134.9059999999999"/>
    <n v="3409898705.29"/>
    <n v="11110"/>
  </r>
  <r>
    <s v="DOLFUT"/>
    <x v="171"/>
    <x v="7"/>
    <n v="6133.8490000000002"/>
    <n v="6143.8950000000004"/>
    <n v="6123.2730000000001"/>
    <n v="6135.4350000000004"/>
    <n v="6081618211.8299999"/>
    <n v="19820"/>
  </r>
  <r>
    <s v="DOLFUT"/>
    <x v="171"/>
    <x v="8"/>
    <n v="6140.1940000000004"/>
    <n v="6140.723"/>
    <n v="6115.87"/>
    <n v="6133.8490000000002"/>
    <n v="7648372748.8299999"/>
    <n v="24960"/>
  </r>
  <r>
    <s v="DOLFUT"/>
    <x v="171"/>
    <x v="9"/>
    <n v="6129.6180000000004"/>
    <n v="6140.1940000000004"/>
    <n v="6126.4459999999999"/>
    <n v="6135.9639999999999"/>
    <n v="3410855929.3800001"/>
    <n v="11125"/>
  </r>
  <r>
    <s v="DOLFUT"/>
    <x v="171"/>
    <x v="10"/>
    <n v="6127.5029999999997"/>
    <n v="6137.0209999999997"/>
    <n v="6122.2150000000001"/>
    <n v="6129.6180000000004"/>
    <n v="2026071793.3299999"/>
    <n v="6610"/>
  </r>
  <r>
    <s v="DOLFUT"/>
    <x v="171"/>
    <x v="11"/>
    <n v="6126.4459999999999"/>
    <n v="6129.09"/>
    <n v="6113.2259999999997"/>
    <n v="6126.9740000000002"/>
    <n v="6162944848.0900002"/>
    <n v="20125"/>
  </r>
  <r>
    <s v="DOLFUT"/>
    <x v="172"/>
    <x v="12"/>
    <n v="6125.3879999999999"/>
    <n v="6128.0320000000002"/>
    <n v="6120.6289999999999"/>
    <n v="6128.0320000000002"/>
    <n v="845179296.25"/>
    <n v="2760"/>
  </r>
  <r>
    <s v="DOLFUT"/>
    <x v="172"/>
    <x v="13"/>
    <n v="6127.5029999999997"/>
    <n v="6129.6180000000004"/>
    <n v="6124.3310000000001"/>
    <n v="6125.9170000000004"/>
    <n v="1554608459.23"/>
    <n v="5075"/>
  </r>
  <r>
    <s v="DOLFUT"/>
    <x v="172"/>
    <x v="14"/>
    <n v="6121.6869999999999"/>
    <n v="6128.5609999999997"/>
    <n v="6117.4560000000001"/>
    <n v="6127.5029999999997"/>
    <n v="3265932519.7800002"/>
    <n v="10670"/>
  </r>
  <r>
    <s v="DOLFUT"/>
    <x v="172"/>
    <x v="15"/>
    <n v="6127.5029999999997"/>
    <n v="6127.5029999999997"/>
    <n v="6120.6289999999999"/>
    <n v="6121.6869999999999"/>
    <n v="2956139984.8499999"/>
    <n v="9655"/>
  </r>
  <r>
    <s v="DOLFUT"/>
    <x v="172"/>
    <x v="16"/>
    <n v="6123.2730000000001"/>
    <n v="6130.1469999999999"/>
    <n v="6117.9849999999997"/>
    <n v="6128.0320000000002"/>
    <n v="2868574537.1599998"/>
    <n v="9370"/>
  </r>
  <r>
    <s v="DOLFUT"/>
    <x v="172"/>
    <x v="17"/>
    <n v="6120.6289999999999"/>
    <n v="6125.3879999999999"/>
    <n v="6114.2839999999997"/>
    <n v="6122.7439999999997"/>
    <n v="3960648774.4099998"/>
    <n v="12945"/>
  </r>
  <r>
    <s v="DOLFUT"/>
    <x v="172"/>
    <x v="18"/>
    <n v="6133.8490000000002"/>
    <n v="6133.8490000000002"/>
    <n v="6120.1"/>
    <n v="6120.6289999999999"/>
    <n v="3532461064.0799999"/>
    <n v="11530"/>
  </r>
  <r>
    <s v="DOLFUT"/>
    <x v="172"/>
    <x v="0"/>
    <n v="6128.5609999999997"/>
    <n v="6135.9639999999999"/>
    <n v="6124.8590000000004"/>
    <n v="6133.32"/>
    <n v="3980230160.6799998"/>
    <n v="12985"/>
  </r>
  <r>
    <s v="DOLFUT"/>
    <x v="172"/>
    <x v="1"/>
    <n v="6143.3670000000002"/>
    <n v="6143.8950000000004"/>
    <n v="6125.9170000000004"/>
    <n v="6128.5609999999997"/>
    <n v="5059668802.0299997"/>
    <n v="16500"/>
  </r>
  <r>
    <s v="DOLFUT"/>
    <x v="172"/>
    <x v="2"/>
    <n v="6122.2150000000001"/>
    <n v="6144.9530000000004"/>
    <n v="6120.6289999999999"/>
    <n v="6142.8379999999997"/>
    <n v="8903638821.0900002"/>
    <n v="29020"/>
  </r>
  <r>
    <s v="DOLFUT"/>
    <x v="172"/>
    <x v="3"/>
    <n v="6114.2839999999997"/>
    <n v="6129.6180000000004"/>
    <n v="6112.6970000000001"/>
    <n v="6123.2730000000001"/>
    <n v="4380593068.1400003"/>
    <n v="14315"/>
  </r>
  <r>
    <s v="DOLFUT"/>
    <x v="172"/>
    <x v="4"/>
    <n v="6108.9960000000001"/>
    <n v="6124.8590000000004"/>
    <n v="6108.9960000000001"/>
    <n v="6113.7550000000001"/>
    <n v="4453271506.6599998"/>
    <n v="14560"/>
  </r>
  <r>
    <s v="DOLFUT"/>
    <x v="172"/>
    <x v="5"/>
    <n v="6121.6869999999999"/>
    <n v="6124.3310000000001"/>
    <n v="6096.8339999999998"/>
    <n v="6109.5249999999996"/>
    <n v="7994687328.7200003"/>
    <n v="26185"/>
  </r>
  <r>
    <s v="DOLFUT"/>
    <x v="172"/>
    <x v="6"/>
    <n v="6103.1790000000001"/>
    <n v="6131.2049999999999"/>
    <n v="6100.5349999999999"/>
    <n v="6121.1580000000004"/>
    <n v="8443738584.75"/>
    <n v="27620"/>
  </r>
  <r>
    <s v="DOLFUT"/>
    <x v="172"/>
    <x v="7"/>
    <n v="6101.5929999999998"/>
    <n v="6105.2939999999999"/>
    <n v="6093.6610000000001"/>
    <n v="6104.2370000000001"/>
    <n v="4043998523.1500001"/>
    <n v="13260"/>
  </r>
  <r>
    <s v="DOLFUT"/>
    <x v="172"/>
    <x v="8"/>
    <n v="6103.7079999999996"/>
    <n v="6111.64"/>
    <n v="6100.5349999999999"/>
    <n v="6100.5349999999999"/>
    <n v="2943238544.77"/>
    <n v="9640"/>
  </r>
  <r>
    <s v="DOLFUT"/>
    <x v="172"/>
    <x v="9"/>
    <n v="6106.3519999999999"/>
    <n v="6116.9279999999999"/>
    <n v="6096.8339999999998"/>
    <n v="6103.7079999999996"/>
    <n v="5363298273.2600002"/>
    <n v="17570"/>
  </r>
  <r>
    <s v="DOLFUT"/>
    <x v="172"/>
    <x v="10"/>
    <n v="6120.6289999999999"/>
    <n v="6125.3879999999999"/>
    <n v="6105.8230000000003"/>
    <n v="6106.3519999999999"/>
    <n v="3746456764.4499998"/>
    <n v="12255"/>
  </r>
  <r>
    <s v="DOLFUT"/>
    <x v="172"/>
    <x v="11"/>
    <n v="6114.8130000000001"/>
    <n v="6129.6180000000004"/>
    <n v="6111.1109999999999"/>
    <n v="6120.1"/>
    <n v="4575791695.25"/>
    <n v="14950"/>
  </r>
  <r>
    <s v="DOLFUT"/>
    <x v="173"/>
    <x v="12"/>
    <n v="6120.1"/>
    <n v="6120.1"/>
    <n v="6101.0640000000003"/>
    <n v="6102.1220000000003"/>
    <n v="1540318574.9300001"/>
    <n v="5045"/>
  </r>
  <r>
    <s v="DOLFUT"/>
    <x v="173"/>
    <x v="13"/>
    <n v="6126.9740000000002"/>
    <n v="6128.0320000000002"/>
    <n v="6111.1109999999999"/>
    <n v="6120.6289999999999"/>
    <n v="1817025870.8299999"/>
    <n v="5940"/>
  </r>
  <r>
    <s v="DOLFUT"/>
    <x v="173"/>
    <x v="14"/>
    <n v="6119.0429999999997"/>
    <n v="6129.09"/>
    <n v="6117.4560000000001"/>
    <n v="6126.9740000000002"/>
    <n v="1204973272.8099999"/>
    <n v="3935"/>
  </r>
  <r>
    <s v="DOLFUT"/>
    <x v="173"/>
    <x v="15"/>
    <n v="6119.0429999999997"/>
    <n v="6123.2730000000001"/>
    <n v="6114.8130000000001"/>
    <n v="6118.5140000000001"/>
    <n v="4023308681.6999998"/>
    <n v="13145"/>
  </r>
  <r>
    <s v="DOLFUT"/>
    <x v="173"/>
    <x v="16"/>
    <n v="6139.1360000000004"/>
    <n v="6140.723"/>
    <n v="6116.3990000000003"/>
    <n v="6119.5720000000001"/>
    <n v="4759001821.04"/>
    <n v="15525"/>
  </r>
  <r>
    <s v="DOLFUT"/>
    <x v="173"/>
    <x v="17"/>
    <n v="6143.8950000000004"/>
    <n v="6150.241"/>
    <n v="6133.8490000000002"/>
    <n v="6139.1360000000004"/>
    <n v="8564036575.1700001"/>
    <n v="27890"/>
  </r>
  <r>
    <s v="DOLFUT"/>
    <x v="173"/>
    <x v="18"/>
    <n v="6158.1719999999996"/>
    <n v="6161.8739999999998"/>
    <n v="6142.3090000000002"/>
    <n v="6143.3670000000002"/>
    <n v="5176721008.3000002"/>
    <n v="16825"/>
  </r>
  <r>
    <s v="DOLFUT"/>
    <x v="173"/>
    <x v="0"/>
    <n v="6166.6329999999998"/>
    <n v="6171.9210000000003"/>
    <n v="6158.1719999999996"/>
    <n v="6158.701"/>
    <n v="4923606291.9499998"/>
    <n v="15975"/>
  </r>
  <r>
    <s v="DOLFUT"/>
    <x v="173"/>
    <x v="1"/>
    <n v="6175.0929999999998"/>
    <n v="6183.0249999999996"/>
    <n v="6164.518"/>
    <n v="6166.6329999999998"/>
    <n v="7121402447.3800001"/>
    <n v="23060"/>
  </r>
  <r>
    <s v="DOLFUT"/>
    <x v="173"/>
    <x v="2"/>
    <n v="6167.1620000000003"/>
    <n v="6185.14"/>
    <n v="6161.3450000000003"/>
    <n v="6174.5649999999996"/>
    <n v="6383934854.3900003"/>
    <n v="20675"/>
  </r>
  <r>
    <s v="DOLFUT"/>
    <x v="173"/>
    <x v="3"/>
    <n v="6197.3019999999997"/>
    <n v="6216.3379999999997"/>
    <n v="6158.1719999999996"/>
    <n v="6167.6909999999998"/>
    <n v="14873269349.780001"/>
    <n v="48115"/>
  </r>
  <r>
    <s v="DOLFUT"/>
    <x v="174"/>
    <x v="12"/>
    <n v="6258.6409999999996"/>
    <n v="6270.2740000000003"/>
    <n v="6247.5360000000001"/>
    <n v="6250.18"/>
    <n v="2052203310.29"/>
    <n v="6560"/>
  </r>
  <r>
    <s v="DOLFUT"/>
    <x v="174"/>
    <x v="13"/>
    <n v="6266.0439999999999"/>
    <n v="6275.0330000000004"/>
    <n v="6256.5259999999998"/>
    <n v="6258.1120000000001"/>
    <n v="1590074001.6500001"/>
    <n v="5075"/>
  </r>
  <r>
    <s v="DOLFUT"/>
    <x v="174"/>
    <x v="14"/>
    <n v="6290.8959999999997"/>
    <n v="6292.4830000000002"/>
    <n v="6261.2849999999999"/>
    <n v="6266.0439999999999"/>
    <n v="5718931147.4099998"/>
    <n v="18215"/>
  </r>
  <r>
    <s v="DOLFUT"/>
    <x v="174"/>
    <x v="15"/>
    <n v="6277.1480000000001"/>
    <n v="6293.0110000000004"/>
    <n v="6275.5619999999999"/>
    <n v="6289.8389999999999"/>
    <n v="3149343789.2199998"/>
    <n v="10025"/>
  </r>
  <r>
    <s v="DOLFUT"/>
    <x v="174"/>
    <x v="16"/>
    <n v="6279.2629999999999"/>
    <n v="6279.2629999999999"/>
    <n v="6267.1009999999997"/>
    <n v="6277.6769999999997"/>
    <n v="6514182238.0600004"/>
    <n v="20770"/>
  </r>
  <r>
    <s v="DOLFUT"/>
    <x v="174"/>
    <x v="17"/>
    <n v="6271.3310000000001"/>
    <n v="6280.3209999999999"/>
    <n v="6264.9859999999999"/>
    <n v="6279.2629999999999"/>
    <n v="9051645150.5799999"/>
    <n v="28865"/>
  </r>
  <r>
    <s v="DOLFUT"/>
    <x v="174"/>
    <x v="18"/>
    <n v="6259.6980000000003"/>
    <n v="6282.9650000000001"/>
    <n v="6259.6980000000003"/>
    <n v="6271.86"/>
    <n v="8390096624.6499996"/>
    <n v="26755"/>
  </r>
  <r>
    <s v="DOLFUT"/>
    <x v="174"/>
    <x v="0"/>
    <n v="6250.18"/>
    <n v="6264.9859999999999"/>
    <n v="6244.3639999999996"/>
    <n v="6259.6980000000003"/>
    <n v="7878619975.29"/>
    <n v="25200"/>
  </r>
  <r>
    <s v="DOLFUT"/>
    <x v="174"/>
    <x v="1"/>
    <n v="6256.5259999999998"/>
    <n v="6256.5259999999998"/>
    <n v="6241.72"/>
    <n v="6248.5940000000001"/>
    <n v="3603340328.48"/>
    <n v="11535"/>
  </r>
  <r>
    <s v="DOLFUT"/>
    <x v="174"/>
    <x v="2"/>
    <n v="6247.0079999999998"/>
    <n v="6266.5720000000001"/>
    <n v="6244.8919999999998"/>
    <n v="6256.5259999999998"/>
    <n v="3951259094.8499999"/>
    <n v="12630"/>
  </r>
  <r>
    <s v="DOLFUT"/>
    <x v="174"/>
    <x v="3"/>
    <n v="6241.72"/>
    <n v="6250.18"/>
    <n v="6226.9139999999998"/>
    <n v="6246.4790000000003"/>
    <n v="6018522193.1999998"/>
    <n v="19290"/>
  </r>
  <r>
    <s v="DOLFUT"/>
    <x v="174"/>
    <x v="4"/>
    <n v="6224.27"/>
    <n v="6244.8919999999998"/>
    <n v="6221.6260000000002"/>
    <n v="6241.72"/>
    <n v="4585208342.5900002"/>
    <n v="14705"/>
  </r>
  <r>
    <s v="DOLFUT"/>
    <x v="174"/>
    <x v="5"/>
    <n v="6214.223"/>
    <n v="6230.0870000000004"/>
    <n v="6213.6940000000004"/>
    <n v="6223.2120000000004"/>
    <n v="4182556742.8800001"/>
    <n v="13445"/>
  </r>
  <r>
    <s v="DOLFUT"/>
    <x v="174"/>
    <x v="6"/>
    <n v="6215.81"/>
    <n v="6219.5110000000004"/>
    <n v="6204.1760000000004"/>
    <n v="6213.6940000000004"/>
    <n v="9374627707.2900009"/>
    <n v="30190"/>
  </r>
  <r>
    <s v="DOLFUT"/>
    <x v="174"/>
    <x v="7"/>
    <n v="6205.2340000000004"/>
    <n v="6217.9250000000002"/>
    <n v="6197.8310000000001"/>
    <n v="6215.2809999999999"/>
    <n v="5160906254.5299997"/>
    <n v="16630"/>
  </r>
  <r>
    <s v="DOLFUT"/>
    <x v="174"/>
    <x v="8"/>
    <n v="6204.7049999999999"/>
    <n v="6213.6940000000004"/>
    <n v="6201.0039999999999"/>
    <n v="6206.82"/>
    <n v="4929146320.54"/>
    <n v="15880"/>
  </r>
  <r>
    <s v="DOLFUT"/>
    <x v="174"/>
    <x v="9"/>
    <n v="6213.1660000000002"/>
    <n v="6216.3379999999997"/>
    <n v="6192.5429999999997"/>
    <n v="6205.7629999999999"/>
    <n v="5882479512.3599997"/>
    <n v="18965"/>
  </r>
  <r>
    <s v="DOLFUT"/>
    <x v="174"/>
    <x v="10"/>
    <n v="6222.1549999999997"/>
    <n v="6222.6840000000002"/>
    <n v="6207.3490000000002"/>
    <n v="6212.6369999999997"/>
    <n v="4560141656.46"/>
    <n v="14675"/>
  </r>
  <r>
    <s v="DOLFUT"/>
    <x v="174"/>
    <x v="11"/>
    <n v="6206.2910000000002"/>
    <n v="6232.73"/>
    <n v="6201.5320000000002"/>
    <n v="6221.6260000000002"/>
    <n v="8258324239.3100004"/>
    <n v="26545"/>
  </r>
  <r>
    <s v="DOLFUT"/>
    <x v="175"/>
    <x v="12"/>
    <n v="6214.2150000000001"/>
    <n v="6224.3370000000004"/>
    <n v="6213.683"/>
    <n v="6215.2809999999999"/>
    <n v="1192481008.79"/>
    <n v="3835"/>
  </r>
  <r>
    <s v="DOLFUT"/>
    <x v="175"/>
    <x v="13"/>
    <n v="6210.4859999999999"/>
    <n v="6217.4120000000003"/>
    <n v="6209.9530000000004"/>
    <n v="6214.2150000000001"/>
    <n v="1277083567.6600001"/>
    <n v="4110"/>
  </r>
  <r>
    <s v="DOLFUT"/>
    <x v="175"/>
    <x v="14"/>
    <n v="6212.0839999999998"/>
    <n v="6213.15"/>
    <n v="6206.7569999999996"/>
    <n v="6211.0190000000002"/>
    <n v="2943513692.5599999"/>
    <n v="9480"/>
  </r>
  <r>
    <s v="DOLFUT"/>
    <x v="175"/>
    <x v="15"/>
    <n v="6215.2809999999999"/>
    <n v="6221.1409999999996"/>
    <n v="6209.4210000000003"/>
    <n v="6212.0839999999998"/>
    <n v="2821718535.8699999"/>
    <n v="9080"/>
  </r>
  <r>
    <s v="DOLFUT"/>
    <x v="175"/>
    <x v="16"/>
    <n v="6204.6260000000002"/>
    <n v="6215.2809999999999"/>
    <n v="6201.43"/>
    <n v="6213.683"/>
    <n v="6557928636.2200003"/>
    <n v="21130"/>
  </r>
  <r>
    <s v="DOLFUT"/>
    <x v="175"/>
    <x v="17"/>
    <n v="6209.4210000000003"/>
    <n v="6211.0190000000002"/>
    <n v="6203.0280000000002"/>
    <n v="6205.1589999999997"/>
    <n v="2462444465.5"/>
    <n v="7935"/>
  </r>
  <r>
    <s v="DOLFUT"/>
    <x v="175"/>
    <x v="18"/>
    <n v="6209.4210000000003"/>
    <n v="6219.5429999999997"/>
    <n v="6207.8230000000003"/>
    <n v="6209.4210000000003"/>
    <n v="5115308681.8199997"/>
    <n v="16465"/>
  </r>
  <r>
    <s v="DOLFUT"/>
    <x v="175"/>
    <x v="0"/>
    <n v="6207.29"/>
    <n v="6217.9440000000004"/>
    <n v="6205.692"/>
    <n v="6209.4210000000003"/>
    <n v="2276804706.1199999"/>
    <n v="7330"/>
  </r>
  <r>
    <s v="DOLFUT"/>
    <x v="175"/>
    <x v="1"/>
    <n v="6212.0839999999998"/>
    <n v="6212.6170000000002"/>
    <n v="6202.4949999999999"/>
    <n v="6207.8230000000003"/>
    <n v="2049912998.6900001"/>
    <n v="6605"/>
  </r>
  <r>
    <s v="DOLFUT"/>
    <x v="175"/>
    <x v="2"/>
    <n v="6217.9440000000004"/>
    <n v="6219.5429999999997"/>
    <n v="6211.5519999999997"/>
    <n v="6212.0839999999998"/>
    <n v="2701130796.1399999"/>
    <n v="8690"/>
  </r>
  <r>
    <s v="DOLFUT"/>
    <x v="175"/>
    <x v="3"/>
    <n v="6212.0839999999998"/>
    <n v="6220.6080000000002"/>
    <n v="6209.9530000000004"/>
    <n v="6217.4120000000003"/>
    <n v="5997190399.1700001"/>
    <n v="19295"/>
  </r>
  <r>
    <s v="DOLFUT"/>
    <x v="175"/>
    <x v="4"/>
    <n v="6214.7479999999996"/>
    <n v="6216.8789999999999"/>
    <n v="6206.2240000000002"/>
    <n v="6212.0839999999998"/>
    <n v="3695711023.25"/>
    <n v="11900"/>
  </r>
  <r>
    <s v="DOLFUT"/>
    <x v="175"/>
    <x v="5"/>
    <n v="6212.6170000000002"/>
    <n v="6219.01"/>
    <n v="6207.29"/>
    <n v="6215.2809999999999"/>
    <n v="4637090189.3900003"/>
    <n v="14925"/>
  </r>
  <r>
    <s v="DOLFUT"/>
    <x v="175"/>
    <x v="6"/>
    <n v="6195.57"/>
    <n v="6214.2150000000001"/>
    <n v="6189.1769999999997"/>
    <n v="6212.0839999999998"/>
    <n v="5970360864.3299999"/>
    <n v="19260"/>
  </r>
  <r>
    <s v="DOLFUT"/>
    <x v="175"/>
    <x v="7"/>
    <n v="6206.7569999999996"/>
    <n v="6213.683"/>
    <n v="6189.71"/>
    <n v="6195.57"/>
    <n v="5338551369.0100002"/>
    <n v="17220"/>
  </r>
  <r>
    <s v="DOLFUT"/>
    <x v="175"/>
    <x v="8"/>
    <n v="6183.85"/>
    <n v="6211.0190000000002"/>
    <n v="6180.1210000000001"/>
    <n v="6206.7569999999996"/>
    <n v="7163298283.6599998"/>
    <n v="23120"/>
  </r>
  <r>
    <s v="DOLFUT"/>
    <x v="175"/>
    <x v="9"/>
    <n v="6188.1120000000001"/>
    <n v="6195.0370000000003"/>
    <n v="6182.7849999999999"/>
    <n v="6184.3829999999998"/>
    <n v="5284719297.5"/>
    <n v="17080"/>
  </r>
  <r>
    <s v="DOLFUT"/>
    <x v="175"/>
    <x v="10"/>
    <n v="6197.1679999999997"/>
    <n v="6201.43"/>
    <n v="6177.4570000000003"/>
    <n v="6187.5789999999997"/>
    <n v="4331230402.4200001"/>
    <n v="14000"/>
  </r>
  <r>
    <s v="DOLFUT"/>
    <x v="175"/>
    <x v="11"/>
    <n v="6200.3639999999996"/>
    <n v="6206.7569999999996"/>
    <n v="6182.2520000000004"/>
    <n v="6196.6350000000002"/>
    <n v="5406365558.0799999"/>
    <n v="17445"/>
  </r>
  <r>
    <s v="DOLFUT"/>
    <x v="176"/>
    <x v="12"/>
    <n v="6192.9059999999999"/>
    <n v="6212.0839999999998"/>
    <n v="6180.6540000000005"/>
    <n v="6185.4480000000003"/>
    <n v="2344984343.25"/>
    <n v="7575"/>
  </r>
  <r>
    <s v="DOLFUT"/>
    <x v="176"/>
    <x v="13"/>
    <n v="6191.8410000000003"/>
    <n v="6199.299"/>
    <n v="6189.71"/>
    <n v="6191.308"/>
    <n v="6213467198.75"/>
    <n v="20055"/>
  </r>
  <r>
    <s v="DOLFUT"/>
    <x v="176"/>
    <x v="14"/>
    <n v="6182.2520000000004"/>
    <n v="6194.5050000000001"/>
    <n v="6181.1859999999997"/>
    <n v="6191.8410000000003"/>
    <n v="3337576714.0100002"/>
    <n v="10785"/>
  </r>
  <r>
    <s v="DOLFUT"/>
    <x v="176"/>
    <x v="15"/>
    <n v="6179.0559999999996"/>
    <n v="6182.2520000000004"/>
    <n v="6169.9989999999998"/>
    <n v="6181.7190000000001"/>
    <n v="4982842947.71"/>
    <n v="16140"/>
  </r>
  <r>
    <s v="DOLFUT"/>
    <x v="176"/>
    <x v="16"/>
    <n v="6171.5969999999998"/>
    <n v="6180.6540000000005"/>
    <n v="6170.5320000000002"/>
    <n v="6178.5230000000001"/>
    <n v="3543641211.2600002"/>
    <n v="11475"/>
  </r>
  <r>
    <s v="DOLFUT"/>
    <x v="176"/>
    <x v="17"/>
    <n v="6163.607"/>
    <n v="6173.1959999999999"/>
    <n v="6161.4759999999997"/>
    <n v="6172.13"/>
    <n v="10425028142.940001"/>
    <n v="33810"/>
  </r>
  <r>
    <s v="DOLFUT"/>
    <x v="176"/>
    <x v="18"/>
    <n v="6165.2049999999999"/>
    <n v="6168.4009999999998"/>
    <n v="6160.41"/>
    <n v="6163.607"/>
    <n v="5000449447.0600004"/>
    <n v="16225"/>
  </r>
  <r>
    <s v="DOLFUT"/>
    <x v="176"/>
    <x v="0"/>
    <n v="6151.3540000000003"/>
    <n v="6167.8680000000004"/>
    <n v="6149.7560000000003"/>
    <n v="6164.1390000000001"/>
    <n v="4893841827.1700001"/>
    <n v="15885"/>
  </r>
  <r>
    <s v="DOLFUT"/>
    <x v="176"/>
    <x v="1"/>
    <n v="6159.3450000000003"/>
    <n v="6167.8680000000004"/>
    <n v="6150.2879999999996"/>
    <n v="6151.3540000000003"/>
    <n v="5104566453.1400003"/>
    <n v="16575"/>
  </r>
  <r>
    <s v="DOLFUT"/>
    <x v="176"/>
    <x v="2"/>
    <n v="6152.9520000000002"/>
    <n v="6163.0739999999996"/>
    <n v="6149.7560000000003"/>
    <n v="6159.3450000000003"/>
    <n v="2751762400.29"/>
    <n v="8940"/>
  </r>
  <r>
    <s v="DOLFUT"/>
    <x v="176"/>
    <x v="3"/>
    <n v="6160.41"/>
    <n v="6161.4759999999997"/>
    <n v="6151.3540000000003"/>
    <n v="6152.4189999999999"/>
    <n v="5704973917.8400002"/>
    <n v="18535"/>
  </r>
  <r>
    <s v="DOLFUT"/>
    <x v="176"/>
    <x v="4"/>
    <n v="6171.0649999999996"/>
    <n v="6174.7939999999999"/>
    <n v="6155.0829999999996"/>
    <n v="6160.41"/>
    <n v="5283855620.1300001"/>
    <n v="17140"/>
  </r>
  <r>
    <s v="DOLFUT"/>
    <x v="176"/>
    <x v="5"/>
    <n v="6181.7190000000001"/>
    <n v="6183.85"/>
    <n v="6168.9340000000002"/>
    <n v="6170.5320000000002"/>
    <n v="5820594946.6700001"/>
    <n v="18845"/>
  </r>
  <r>
    <s v="DOLFUT"/>
    <x v="176"/>
    <x v="6"/>
    <n v="6164.6719999999996"/>
    <n v="6186.5140000000001"/>
    <n v="6158.2790000000005"/>
    <n v="6180.6540000000005"/>
    <n v="6913486563.2299995"/>
    <n v="22400"/>
  </r>
  <r>
    <s v="DOLFUT"/>
    <x v="176"/>
    <x v="7"/>
    <n v="6154.55"/>
    <n v="6169.4669999999996"/>
    <n v="6152.9520000000002"/>
    <n v="6164.6719999999996"/>
    <n v="6808284932.8599997"/>
    <n v="22100"/>
  </r>
  <r>
    <s v="DOLFUT"/>
    <x v="176"/>
    <x v="8"/>
    <n v="6133.241"/>
    <n v="6157.2139999999999"/>
    <n v="6133.241"/>
    <n v="6155.0829999999996"/>
    <n v="7751985440.0200005"/>
    <n v="25210"/>
  </r>
  <r>
    <s v="DOLFUT"/>
    <x v="176"/>
    <x v="9"/>
    <n v="6120.9889999999996"/>
    <n v="6136.97"/>
    <n v="6116.7269999999999"/>
    <n v="6132.7089999999998"/>
    <n v="4882076636.9099998"/>
    <n v="15930"/>
  </r>
  <r>
    <s v="DOLFUT"/>
    <x v="176"/>
    <x v="10"/>
    <n v="6126.8490000000002"/>
    <n v="6132.7089999999998"/>
    <n v="6116.7269999999999"/>
    <n v="6121.5209999999997"/>
    <n v="6483842031.8699999"/>
    <n v="21180"/>
  </r>
  <r>
    <s v="DOLFUT"/>
    <x v="176"/>
    <x v="11"/>
    <n v="6116.7269999999999"/>
    <n v="6131.11"/>
    <n v="6110.3339999999998"/>
    <n v="6126.8490000000002"/>
    <n v="4885592742.7299995"/>
    <n v="15960"/>
  </r>
  <r>
    <s v="DOLFUT"/>
    <x v="177"/>
    <x v="12"/>
    <n v="6130.5780000000004"/>
    <n v="6130.5780000000004"/>
    <n v="6117.26"/>
    <n v="6118.3249999999998"/>
    <n v="2835615284.54"/>
    <n v="9260"/>
  </r>
  <r>
    <s v="DOLFUT"/>
    <x v="177"/>
    <x v="13"/>
    <n v="6132.7089999999998"/>
    <n v="6134.84"/>
    <n v="6130.0450000000001"/>
    <n v="6131.11"/>
    <n v="3884912969"/>
    <n v="12670"/>
  </r>
  <r>
    <s v="DOLFUT"/>
    <x v="177"/>
    <x v="14"/>
    <n v="6132.7089999999998"/>
    <n v="6136.97"/>
    <n v="6131.11"/>
    <n v="6132.7089999999998"/>
    <n v="1542743135.21"/>
    <n v="5030"/>
  </r>
  <r>
    <s v="DOLFUT"/>
    <x v="177"/>
    <x v="15"/>
    <n v="6132.1760000000004"/>
    <n v="6133.7740000000003"/>
    <n v="6125.7830000000004"/>
    <n v="6132.7089999999998"/>
    <n v="2643309027.9499998"/>
    <n v="8625"/>
  </r>
  <r>
    <s v="DOLFUT"/>
    <x v="177"/>
    <x v="16"/>
    <n v="6127.3810000000003"/>
    <n v="6137.5029999999997"/>
    <n v="6126.3159999999998"/>
    <n v="6132.7089999999998"/>
    <n v="3548954591.7199998"/>
    <n v="11575"/>
  </r>
  <r>
    <s v="DOLFUT"/>
    <x v="177"/>
    <x v="17"/>
    <n v="6132.7089999999998"/>
    <n v="6133.7740000000003"/>
    <n v="6122.5870000000004"/>
    <n v="6127.3810000000003"/>
    <n v="3790020197.0300002"/>
    <n v="12370"/>
  </r>
  <r>
    <s v="DOLFUT"/>
    <x v="177"/>
    <x v="18"/>
    <n v="6138.0360000000001"/>
    <n v="6144.9610000000002"/>
    <n v="6129.5119999999997"/>
    <n v="6132.7089999999998"/>
    <n v="2923258893.3800001"/>
    <n v="9530"/>
  </r>
  <r>
    <s v="DOLFUT"/>
    <x v="177"/>
    <x v="0"/>
    <n v="6149.7560000000003"/>
    <n v="6150.8209999999999"/>
    <n v="6136.97"/>
    <n v="6138.5690000000004"/>
    <n v="2294402415.5300002"/>
    <n v="7470"/>
  </r>
  <r>
    <s v="DOLFUT"/>
    <x v="177"/>
    <x v="1"/>
    <n v="6148.69"/>
    <n v="6152.9520000000002"/>
    <n v="6146.5590000000002"/>
    <n v="6149.7560000000003"/>
    <n v="1898885193.1300001"/>
    <n v="6175"/>
  </r>
  <r>
    <s v="DOLFUT"/>
    <x v="177"/>
    <x v="2"/>
    <n v="6150.2879999999996"/>
    <n v="6155.616"/>
    <n v="6143.3630000000003"/>
    <n v="6149.223"/>
    <n v="5031555549.9799995"/>
    <n v="16365"/>
  </r>
  <r>
    <s v="DOLFUT"/>
    <x v="177"/>
    <x v="3"/>
    <n v="6138.5690000000004"/>
    <n v="6151.3540000000003"/>
    <n v="6136.97"/>
    <n v="6149.7560000000003"/>
    <n v="5172817608.3500004"/>
    <n v="16845"/>
  </r>
  <r>
    <s v="DOLFUT"/>
    <x v="177"/>
    <x v="4"/>
    <n v="6149.223"/>
    <n v="6154.55"/>
    <n v="6136.4380000000001"/>
    <n v="6139.1009999999997"/>
    <n v="3566276483.7399998"/>
    <n v="11605"/>
  </r>
  <r>
    <s v="DOLFUT"/>
    <x v="177"/>
    <x v="5"/>
    <n v="6157.2139999999999"/>
    <n v="6159.8779999999997"/>
    <n v="6146.027"/>
    <n v="6149.7560000000003"/>
    <n v="3260610341.6300001"/>
    <n v="10600"/>
  </r>
  <r>
    <s v="DOLFUT"/>
    <x v="177"/>
    <x v="6"/>
    <n v="6152.4189999999999"/>
    <n v="6161.4759999999997"/>
    <n v="6146.027"/>
    <n v="6156.6809999999996"/>
    <n v="5287415808.7799997"/>
    <n v="17185"/>
  </r>
  <r>
    <s v="DOLFUT"/>
    <x v="177"/>
    <x v="7"/>
    <n v="6162.0079999999998"/>
    <n v="6168.9340000000002"/>
    <n v="6152.4189999999999"/>
    <n v="6152.4189999999999"/>
    <n v="3459210721.96"/>
    <n v="11230"/>
  </r>
  <r>
    <s v="DOLFUT"/>
    <x v="177"/>
    <x v="8"/>
    <n v="6170.5320000000002"/>
    <n v="6172.13"/>
    <n v="6158.2790000000005"/>
    <n v="6162.0079999999998"/>
    <n v="5452270443.1000004"/>
    <n v="17690"/>
  </r>
  <r>
    <s v="DOLFUT"/>
    <x v="177"/>
    <x v="9"/>
    <n v="6192.9059999999999"/>
    <n v="6193.4390000000003"/>
    <n v="6169.4669999999996"/>
    <n v="6170.5320000000002"/>
    <n v="5581002320.8100004"/>
    <n v="18060"/>
  </r>
  <r>
    <s v="DOLFUT"/>
    <x v="177"/>
    <x v="10"/>
    <n v="6184.9160000000002"/>
    <n v="6197.1679999999997"/>
    <n v="6176.9250000000002"/>
    <n v="6192.9059999999999"/>
    <n v="7276660300.0699997"/>
    <n v="23515"/>
  </r>
  <r>
    <s v="DOLFUT"/>
    <x v="177"/>
    <x v="11"/>
    <n v="6147.0919999999996"/>
    <n v="6186.5140000000001"/>
    <n v="6146.027"/>
    <n v="6184.9160000000002"/>
    <n v="7825890119.4099998"/>
    <n v="25375"/>
  </r>
  <r>
    <s v="DOLFUT"/>
    <x v="178"/>
    <x v="12"/>
    <n v="6157.7470000000003"/>
    <n v="6168.4009999999998"/>
    <n v="6150.8209999999999"/>
    <n v="6150.8209999999999"/>
    <n v="1400636177.95"/>
    <n v="4545"/>
  </r>
  <r>
    <s v="DOLFUT"/>
    <x v="178"/>
    <x v="13"/>
    <n v="6156.1480000000001"/>
    <n v="6159.8779999999997"/>
    <n v="6147.625"/>
    <n v="6157.7470000000003"/>
    <n v="3327441922.8800001"/>
    <n v="10815"/>
  </r>
  <r>
    <s v="DOLFUT"/>
    <x v="178"/>
    <x v="14"/>
    <n v="6136.4380000000001"/>
    <n v="6157.2139999999999"/>
    <n v="6136.4380000000001"/>
    <n v="6157.2139999999999"/>
    <n v="3658028453.3299999"/>
    <n v="11905"/>
  </r>
  <r>
    <s v="DOLFUT"/>
    <x v="178"/>
    <x v="15"/>
    <n v="6131.11"/>
    <n v="6136.97"/>
    <n v="6128.4470000000001"/>
    <n v="6136.4380000000001"/>
    <n v="1600665721.25"/>
    <n v="5220"/>
  </r>
  <r>
    <s v="DOLFUT"/>
    <x v="178"/>
    <x v="16"/>
    <n v="6129.5119999999997"/>
    <n v="6135.3720000000003"/>
    <n v="6126.8490000000002"/>
    <n v="6131.11"/>
    <n v="4444717209.2299995"/>
    <n v="14500"/>
  </r>
  <r>
    <s v="DOLFUT"/>
    <x v="178"/>
    <x v="17"/>
    <n v="6120.9889999999996"/>
    <n v="6131.11"/>
    <n v="6119.9229999999998"/>
    <n v="6129.5119999999997"/>
    <n v="5110749903.6599998"/>
    <n v="16690"/>
  </r>
  <r>
    <s v="DOLFUT"/>
    <x v="178"/>
    <x v="18"/>
    <n v="6115.6610000000001"/>
    <n v="6122.5870000000004"/>
    <n v="6111.9319999999998"/>
    <n v="6120.9889999999996"/>
    <n v="3097936276.25"/>
    <n v="10130"/>
  </r>
  <r>
    <s v="DOLFUT"/>
    <x v="178"/>
    <x v="0"/>
    <n v="6115.6610000000001"/>
    <n v="6122.0540000000001"/>
    <n v="6109.8019999999997"/>
    <n v="6115.6610000000001"/>
    <n v="3904385464.27"/>
    <n v="12770"/>
  </r>
  <r>
    <s v="DOLFUT"/>
    <x v="178"/>
    <x v="1"/>
    <n v="6113.5309999999999"/>
    <n v="6123.12"/>
    <n v="6112.9979999999996"/>
    <n v="6116.1940000000004"/>
    <n v="2219540832.2199998"/>
    <n v="7255"/>
  </r>
  <r>
    <s v="DOLFUT"/>
    <x v="178"/>
    <x v="2"/>
    <n v="6120.4560000000001"/>
    <n v="6122.0540000000001"/>
    <n v="6108.7359999999999"/>
    <n v="6113.5309999999999"/>
    <n v="2340232053.4200001"/>
    <n v="7655"/>
  </r>
  <r>
    <s v="DOLFUT"/>
    <x v="178"/>
    <x v="3"/>
    <n v="6111.9319999999998"/>
    <n v="6120.4560000000001"/>
    <n v="6105.54"/>
    <n v="6120.4560000000001"/>
    <n v="4312684978.5699997"/>
    <n v="14115"/>
  </r>
  <r>
    <s v="DOLFUT"/>
    <x v="178"/>
    <x v="4"/>
    <n v="6113.5309999999999"/>
    <n v="6114.5959999999995"/>
    <n v="6105.54"/>
    <n v="6111.4"/>
    <n v="3174689426.1999998"/>
    <n v="10390"/>
  </r>
  <r>
    <s v="DOLFUT"/>
    <x v="178"/>
    <x v="5"/>
    <n v="6113.5309999999999"/>
    <n v="6116.7269999999999"/>
    <n v="6110.3339999999998"/>
    <n v="6113.5309999999999"/>
    <n v="5448851559.25"/>
    <n v="17825"/>
  </r>
  <r>
    <s v="DOLFUT"/>
    <x v="178"/>
    <x v="6"/>
    <n v="6109.2690000000002"/>
    <n v="6115.1289999999999"/>
    <n v="6102.3429999999998"/>
    <n v="6112.9979999999996"/>
    <n v="4320066656.5699997"/>
    <n v="14140"/>
  </r>
  <r>
    <s v="DOLFUT"/>
    <x v="178"/>
    <x v="7"/>
    <n v="6105.0069999999996"/>
    <n v="6114.0630000000001"/>
    <n v="6103.4089999999997"/>
    <n v="6109.2690000000002"/>
    <n v="4994519306.3900003"/>
    <n v="16350"/>
  </r>
  <r>
    <s v="DOLFUT"/>
    <x v="178"/>
    <x v="8"/>
    <n v="6106.0720000000001"/>
    <n v="6109.8019999999997"/>
    <n v="6100.7449999999999"/>
    <n v="6103.942"/>
    <n v="4210410262.23"/>
    <n v="13790"/>
  </r>
  <r>
    <s v="DOLFUT"/>
    <x v="178"/>
    <x v="9"/>
    <n v="6089.558"/>
    <n v="6107.6710000000003"/>
    <n v="6089.558"/>
    <n v="6106.0720000000001"/>
    <n v="6818184793.0900002"/>
    <n v="22365"/>
  </r>
  <r>
    <s v="DOLFUT"/>
    <x v="178"/>
    <x v="10"/>
    <n v="6094.8850000000002"/>
    <n v="6101.8109999999997"/>
    <n v="6089.558"/>
    <n v="6089.558"/>
    <n v="5427204354.9899998"/>
    <n v="17805"/>
  </r>
  <r>
    <s v="DOLFUT"/>
    <x v="178"/>
    <x v="11"/>
    <n v="6100.2129999999997"/>
    <n v="6100.2129999999997"/>
    <n v="6085.8289999999997"/>
    <n v="6094.8850000000002"/>
    <n v="3376613998.8499999"/>
    <n v="11085"/>
  </r>
  <r>
    <s v="DOLFUT"/>
    <x v="179"/>
    <x v="12"/>
    <n v="6112.9979999999996"/>
    <n v="6115.6610000000001"/>
    <n v="6109.2690000000002"/>
    <n v="6115.6610000000001"/>
    <n v="1113990116"/>
    <n v="3645"/>
  </r>
  <r>
    <s v="DOLFUT"/>
    <x v="179"/>
    <x v="13"/>
    <n v="6113.5309999999999"/>
    <n v="6115.1289999999999"/>
    <n v="6108.7359999999999"/>
    <n v="6112.9979999999996"/>
    <n v="1659361954.46"/>
    <n v="5430"/>
  </r>
  <r>
    <s v="DOLFUT"/>
    <x v="179"/>
    <x v="14"/>
    <n v="6112.4650000000001"/>
    <n v="6115.1289999999999"/>
    <n v="6108.2030000000004"/>
    <n v="6114.0630000000001"/>
    <n v="1821219222.0999999"/>
    <n v="5960"/>
  </r>
  <r>
    <s v="DOLFUT"/>
    <x v="179"/>
    <x v="15"/>
    <n v="6109.2690000000002"/>
    <n v="6113.5309999999999"/>
    <n v="6106.6049999999996"/>
    <n v="6112.4650000000001"/>
    <n v="2125011510.6099999"/>
    <n v="6955"/>
  </r>
  <r>
    <s v="DOLFUT"/>
    <x v="179"/>
    <x v="16"/>
    <n v="6113.5309999999999"/>
    <n v="6114.0630000000001"/>
    <n v="6107.6710000000003"/>
    <n v="6109.8019999999997"/>
    <n v="2509958840.27"/>
    <n v="8215"/>
  </r>
  <r>
    <s v="DOLFUT"/>
    <x v="179"/>
    <x v="17"/>
    <n v="6117.26"/>
    <n v="6118.8580000000002"/>
    <n v="6107.1379999999999"/>
    <n v="6114.0630000000001"/>
    <n v="3616639062.71"/>
    <n v="11835"/>
  </r>
  <r>
    <s v="DOLFUT"/>
    <x v="179"/>
    <x v="18"/>
    <n v="6083.6980000000003"/>
    <n v="6118.3249999999998"/>
    <n v="6083.6980000000003"/>
    <n v="6116.7269999999999"/>
    <n v="8277439426.6599998"/>
    <n v="27125"/>
  </r>
  <r>
    <s v="DOLFUT"/>
    <x v="179"/>
    <x v="0"/>
    <n v="6085.2960000000003"/>
    <n v="6085.8289999999997"/>
    <n v="6078.9040000000005"/>
    <n v="6083.6980000000003"/>
    <n v="6866675116.6300001"/>
    <n v="22575"/>
  </r>
  <r>
    <s v="DOLFUT"/>
    <x v="179"/>
    <x v="1"/>
    <n v="6077.8379999999997"/>
    <n v="6089.0249999999996"/>
    <n v="6076.7730000000001"/>
    <n v="6085.2960000000003"/>
    <n v="4720892997.6599998"/>
    <n v="15515"/>
  </r>
  <r>
    <s v="DOLFUT"/>
    <x v="179"/>
    <x v="2"/>
    <n v="6081.567"/>
    <n v="6084.2309999999998"/>
    <n v="6074.6419999999998"/>
    <n v="6078.3710000000001"/>
    <n v="2066944956.1400001"/>
    <n v="6800"/>
  </r>
  <r>
    <s v="DOLFUT"/>
    <x v="179"/>
    <x v="3"/>
    <n v="6078.9040000000005"/>
    <n v="6083.6980000000003"/>
    <n v="6076.24"/>
    <n v="6081.0339999999997"/>
    <n v="7490494830.4799995"/>
    <n v="24635"/>
  </r>
  <r>
    <s v="DOLFUT"/>
    <x v="179"/>
    <x v="4"/>
    <n v="6081.567"/>
    <n v="6083.6980000000003"/>
    <n v="6073.576"/>
    <n v="6078.3710000000001"/>
    <n v="3016945180.6399999"/>
    <n v="9925"/>
  </r>
  <r>
    <s v="DOLFUT"/>
    <x v="179"/>
    <x v="5"/>
    <n v="6083.165"/>
    <n v="6088.4930000000004"/>
    <n v="6076.24"/>
    <n v="6081.0339999999997"/>
    <n v="2928695732.4299998"/>
    <n v="9630"/>
  </r>
  <r>
    <s v="DOLFUT"/>
    <x v="179"/>
    <x v="6"/>
    <n v="6081.567"/>
    <n v="6088.4930000000004"/>
    <n v="6076.24"/>
    <n v="6081.567"/>
    <n v="4133342006.5500002"/>
    <n v="13590"/>
  </r>
  <r>
    <s v="DOLFUT"/>
    <x v="179"/>
    <x v="7"/>
    <n v="6082.6329999999998"/>
    <n v="6092.7539999999999"/>
    <n v="6081.0339999999997"/>
    <n v="6081.0339999999997"/>
    <n v="5078242872.0900002"/>
    <n v="16685"/>
  </r>
  <r>
    <s v="DOLFUT"/>
    <x v="179"/>
    <x v="8"/>
    <n v="6093.82"/>
    <n v="6098.0820000000003"/>
    <n v="6079.4359999999997"/>
    <n v="6082.6329999999998"/>
    <n v="5715090463.1999998"/>
    <n v="18770"/>
  </r>
  <r>
    <s v="DOLFUT"/>
    <x v="179"/>
    <x v="9"/>
    <n v="6089.558"/>
    <n v="6097.549"/>
    <n v="6085.2960000000003"/>
    <n v="6094.3530000000001"/>
    <n v="3952391542.4899998"/>
    <n v="12975"/>
  </r>
  <r>
    <s v="DOLFUT"/>
    <x v="179"/>
    <x v="10"/>
    <n v="6090.0910000000003"/>
    <n v="6099.68"/>
    <n v="6084.7640000000001"/>
    <n v="6089.558"/>
    <n v="2315008811.9899998"/>
    <n v="7600"/>
  </r>
  <r>
    <s v="DOLFUT"/>
    <x v="179"/>
    <x v="11"/>
    <n v="6089.558"/>
    <n v="6097.0159999999996"/>
    <n v="6083.6980000000003"/>
    <n v="6089.558"/>
    <n v="3107682046.3099999"/>
    <n v="10205"/>
  </r>
  <r>
    <s v="DOLFUT"/>
    <x v="180"/>
    <x v="12"/>
    <n v="6085.8289999999997"/>
    <n v="6090.0910000000003"/>
    <n v="6078.3710000000001"/>
    <n v="6086.3620000000001"/>
    <n v="727357916.26999998"/>
    <n v="2390"/>
  </r>
  <r>
    <s v="DOLFUT"/>
    <x v="180"/>
    <x v="13"/>
    <n v="6084.2309999999998"/>
    <n v="6088.4930000000004"/>
    <n v="6079.9690000000001"/>
    <n v="6085.8289999999997"/>
    <n v="2477266287.8800001"/>
    <n v="8145"/>
  </r>
  <r>
    <s v="DOLFUT"/>
    <x v="180"/>
    <x v="14"/>
    <n v="6086.3620000000001"/>
    <n v="6087.4269999999997"/>
    <n v="6081.0339999999997"/>
    <n v="6084.7640000000001"/>
    <n v="2069883323.73"/>
    <n v="6805"/>
  </r>
  <r>
    <s v="DOLFUT"/>
    <x v="180"/>
    <x v="15"/>
    <n v="6087.96"/>
    <n v="6090.6239999999998"/>
    <n v="6083.6980000000003"/>
    <n v="6086.8940000000002"/>
    <n v="1346718204.8299999"/>
    <n v="4425"/>
  </r>
  <r>
    <s v="DOLFUT"/>
    <x v="180"/>
    <x v="16"/>
    <n v="6082.1"/>
    <n v="6092.2219999999998"/>
    <n v="6080.5020000000004"/>
    <n v="6088.4930000000004"/>
    <n v="3786642998.77"/>
    <n v="12440"/>
  </r>
  <r>
    <s v="DOLFUT"/>
    <x v="180"/>
    <x v="17"/>
    <n v="6080.5020000000004"/>
    <n v="6082.6329999999998"/>
    <n v="6077.3050000000003"/>
    <n v="6081.567"/>
    <n v="3337563395.9299998"/>
    <n v="10980"/>
  </r>
  <r>
    <s v="DOLFUT"/>
    <x v="180"/>
    <x v="18"/>
    <n v="6075.7070000000003"/>
    <n v="6081.567"/>
    <n v="6075.1750000000002"/>
    <n v="6080.5020000000004"/>
    <n v="1975766995.72"/>
    <n v="6500"/>
  </r>
  <r>
    <s v="DOLFUT"/>
    <x v="180"/>
    <x v="0"/>
    <n v="6073.576"/>
    <n v="6076.7730000000001"/>
    <n v="6067.1840000000002"/>
    <n v="6075.7070000000003"/>
    <n v="4995709276.6700001"/>
    <n v="16450"/>
  </r>
  <r>
    <s v="DOLFUT"/>
    <x v="180"/>
    <x v="1"/>
    <n v="6079.9690000000001"/>
    <n v="6082.6329999999998"/>
    <n v="6073.0439999999999"/>
    <n v="6073.0439999999999"/>
    <n v="5735899960.3400002"/>
    <n v="18870"/>
  </r>
  <r>
    <s v="DOLFUT"/>
    <x v="180"/>
    <x v="2"/>
    <n v="6084.2309999999998"/>
    <n v="6084.2309999999998"/>
    <n v="6078.3710000000001"/>
    <n v="6078.9040000000005"/>
    <n v="1228090353.49"/>
    <n v="4040"/>
  </r>
  <r>
    <s v="DOLFUT"/>
    <x v="180"/>
    <x v="3"/>
    <n v="6079.9690000000001"/>
    <n v="6085.2960000000003"/>
    <n v="6078.3710000000001"/>
    <n v="6084.7640000000001"/>
    <n v="3922740839.1500001"/>
    <n v="12900"/>
  </r>
  <r>
    <s v="DOLFUT"/>
    <x v="180"/>
    <x v="4"/>
    <n v="6084.7640000000001"/>
    <n v="6086.3620000000001"/>
    <n v="6070.9129999999996"/>
    <n v="6079.4359999999997"/>
    <n v="3445398276.73"/>
    <n v="11335"/>
  </r>
  <r>
    <s v="DOLFUT"/>
    <x v="180"/>
    <x v="5"/>
    <n v="6075.7070000000003"/>
    <n v="6090.0910000000003"/>
    <n v="6071.9780000000001"/>
    <n v="6084.7640000000001"/>
    <n v="3144239638.1700001"/>
    <n v="10340"/>
  </r>
  <r>
    <s v="DOLFUT"/>
    <x v="180"/>
    <x v="6"/>
    <n v="6086.8940000000002"/>
    <n v="6088.4930000000004"/>
    <n v="6072.5110000000004"/>
    <n v="6076.24"/>
    <n v="4531025813.9099998"/>
    <n v="14905"/>
  </r>
  <r>
    <s v="DOLFUT"/>
    <x v="180"/>
    <x v="7"/>
    <n v="6093.82"/>
    <n v="6095.951"/>
    <n v="6079.9690000000001"/>
    <n v="6087.4269999999997"/>
    <n v="3565487254.4200001"/>
    <n v="11715"/>
  </r>
  <r>
    <s v="DOLFUT"/>
    <x v="180"/>
    <x v="8"/>
    <n v="6083.6980000000003"/>
    <n v="6099.68"/>
    <n v="6083.6980000000003"/>
    <n v="6094.3530000000001"/>
    <n v="4770523215.5100002"/>
    <n v="15660"/>
  </r>
  <r>
    <s v="DOLFUT"/>
    <x v="180"/>
    <x v="9"/>
    <n v="6081.0339999999997"/>
    <n v="6087.96"/>
    <n v="6077.3050000000003"/>
    <n v="6083.6980000000003"/>
    <n v="3480798927.1300001"/>
    <n v="11445"/>
  </r>
  <r>
    <s v="DOLFUT"/>
    <x v="180"/>
    <x v="10"/>
    <n v="6082.1"/>
    <n v="6085.2960000000003"/>
    <n v="6072.5110000000004"/>
    <n v="6080.5020000000004"/>
    <n v="3954992296.8000002"/>
    <n v="13015"/>
  </r>
  <r>
    <s v="DOLFUT"/>
    <x v="180"/>
    <x v="11"/>
    <n v="6090.0910000000003"/>
    <n v="6096.4830000000002"/>
    <n v="6079.9690000000001"/>
    <n v="6081.0339999999997"/>
    <n v="4044841113.02"/>
    <n v="13290"/>
  </r>
  <r>
    <s v="DOLFUT"/>
    <x v="181"/>
    <x v="12"/>
    <n v="6105.54"/>
    <n v="6112.4650000000001"/>
    <n v="6102.3429999999998"/>
    <n v="6105.0069999999996"/>
    <n v="1558811396.52"/>
    <n v="5105"/>
  </r>
  <r>
    <s v="DOLFUT"/>
    <x v="181"/>
    <x v="13"/>
    <n v="6101.2780000000002"/>
    <n v="6107.6710000000003"/>
    <n v="6096.4830000000002"/>
    <n v="6105.0069999999996"/>
    <n v="1517884409.5699999"/>
    <n v="4975"/>
  </r>
  <r>
    <s v="DOLFUT"/>
    <x v="181"/>
    <x v="14"/>
    <n v="6110.3339999999998"/>
    <n v="6111.4"/>
    <n v="6100.7449999999999"/>
    <n v="6101.8109999999997"/>
    <n v="2238772270.29"/>
    <n v="7335"/>
  </r>
  <r>
    <s v="DOLFUT"/>
    <x v="181"/>
    <x v="15"/>
    <n v="6099.1469999999999"/>
    <n v="6115.1289999999999"/>
    <n v="6099.1469999999999"/>
    <n v="6109.8019999999997"/>
    <n v="2827584616.5799999"/>
    <n v="9260"/>
  </r>
  <r>
    <s v="DOLFUT"/>
    <x v="181"/>
    <x v="16"/>
    <n v="6099.1469999999999"/>
    <n v="6101.8109999999997"/>
    <n v="6095.951"/>
    <n v="6099.1469999999999"/>
    <n v="1895330598.0699999"/>
    <n v="6215"/>
  </r>
  <r>
    <s v="DOLFUT"/>
    <x v="181"/>
    <x v="17"/>
    <n v="6099.68"/>
    <n v="6102.3429999999998"/>
    <n v="6095.4179999999997"/>
    <n v="6098.0820000000003"/>
    <n v="3348395921.1799998"/>
    <n v="10980"/>
  </r>
  <r>
    <s v="DOLFUT"/>
    <x v="181"/>
    <x v="18"/>
    <n v="6094.3530000000001"/>
    <n v="6099.68"/>
    <n v="6092.2219999999998"/>
    <n v="6099.1469999999999"/>
    <n v="1981276817.8399999"/>
    <n v="6500"/>
  </r>
  <r>
    <s v="DOLFUT"/>
    <x v="181"/>
    <x v="0"/>
    <n v="6091.6890000000003"/>
    <n v="6095.4179999999997"/>
    <n v="6089.558"/>
    <n v="6094.3530000000001"/>
    <n v="3248939043.8200002"/>
    <n v="10665"/>
  </r>
  <r>
    <s v="DOLFUT"/>
    <x v="181"/>
    <x v="1"/>
    <n v="6097.549"/>
    <n v="6099.1469999999999"/>
    <n v="6086.8940000000002"/>
    <n v="6091.6890000000003"/>
    <n v="3534647779.4299998"/>
    <n v="11605"/>
  </r>
  <r>
    <s v="DOLFUT"/>
    <x v="181"/>
    <x v="2"/>
    <n v="6090.6239999999998"/>
    <n v="6098.0820000000003"/>
    <n v="6083.6980000000003"/>
    <n v="6097.549"/>
    <n v="6872558510.8400002"/>
    <n v="22565"/>
  </r>
  <r>
    <s v="DOLFUT"/>
    <x v="181"/>
    <x v="3"/>
    <n v="6078.9040000000005"/>
    <n v="6094.3530000000001"/>
    <n v="6078.3710000000001"/>
    <n v="6090.6239999999998"/>
    <n v="5736252356.6899996"/>
    <n v="18845"/>
  </r>
  <r>
    <s v="DOLFUT"/>
    <x v="181"/>
    <x v="4"/>
    <n v="6077.3050000000003"/>
    <n v="6079.4359999999997"/>
    <n v="6063.4549999999999"/>
    <n v="6079.4359999999997"/>
    <n v="4679389337.9300003"/>
    <n v="15410"/>
  </r>
  <r>
    <s v="DOLFUT"/>
    <x v="181"/>
    <x v="5"/>
    <n v="6073.576"/>
    <n v="6085.8289999999997"/>
    <n v="6070.9129999999996"/>
    <n v="6077.3050000000003"/>
    <n v="2665670347.5599999"/>
    <n v="8770"/>
  </r>
  <r>
    <s v="DOLFUT"/>
    <x v="181"/>
    <x v="6"/>
    <n v="6084.7640000000001"/>
    <n v="6084.7640000000001"/>
    <n v="6070.9129999999996"/>
    <n v="6073.0439999999999"/>
    <n v="6380307824.8900003"/>
    <n v="20995"/>
  </r>
  <r>
    <s v="DOLFUT"/>
    <x v="181"/>
    <x v="7"/>
    <n v="6090.0910000000003"/>
    <n v="6096.4830000000002"/>
    <n v="6084.2309999999998"/>
    <n v="6084.7640000000001"/>
    <n v="4008045393.9200001"/>
    <n v="13160"/>
  </r>
  <r>
    <s v="DOLFUT"/>
    <x v="181"/>
    <x v="8"/>
    <n v="6108.2030000000004"/>
    <n v="6110.3339999999998"/>
    <n v="6088.4930000000004"/>
    <n v="6089.558"/>
    <n v="4616090243.7299995"/>
    <n v="15130"/>
  </r>
  <r>
    <s v="DOLFUT"/>
    <x v="181"/>
    <x v="9"/>
    <n v="6103.4089999999997"/>
    <n v="6116.7269999999999"/>
    <n v="6102.8760000000002"/>
    <n v="6108.2030000000004"/>
    <n v="5961804398.6400003"/>
    <n v="19510"/>
  </r>
  <r>
    <s v="DOLFUT"/>
    <x v="181"/>
    <x v="10"/>
    <n v="6078.9040000000005"/>
    <n v="6106.6049999999996"/>
    <n v="6077.3050000000003"/>
    <n v="6103.942"/>
    <n v="6109859342.79"/>
    <n v="20040"/>
  </r>
  <r>
    <s v="DOLFUT"/>
    <x v="181"/>
    <x v="11"/>
    <n v="6093.2870000000003"/>
    <n v="6093.2870000000003"/>
    <n v="6066.6509999999998"/>
    <n v="6078.9040000000005"/>
    <n v="3777033605.8299999"/>
    <n v="12425"/>
  </r>
  <r>
    <s v="DOLFUT"/>
    <x v="182"/>
    <x v="12"/>
    <n v="6068.7820000000002"/>
    <n v="6074.1090000000004"/>
    <n v="6067.7160000000003"/>
    <n v="6073.0439999999999"/>
    <n v="1388668686.0799999"/>
    <n v="4575"/>
  </r>
  <r>
    <s v="DOLFUT"/>
    <x v="182"/>
    <x v="13"/>
    <n v="6067.1840000000002"/>
    <n v="6073.0439999999999"/>
    <n v="6067.1840000000002"/>
    <n v="6068.2489999999998"/>
    <n v="1927275074.01"/>
    <n v="6350"/>
  </r>
  <r>
    <s v="DOLFUT"/>
    <x v="182"/>
    <x v="14"/>
    <n v="6072.5110000000004"/>
    <n v="6073.0439999999999"/>
    <n v="6060.7910000000002"/>
    <n v="6066.6509999999998"/>
    <n v="1666613381.6600001"/>
    <n v="5495"/>
  </r>
  <r>
    <s v="DOLFUT"/>
    <x v="182"/>
    <x v="15"/>
    <n v="6075.1750000000002"/>
    <n v="6076.24"/>
    <n v="6070.38"/>
    <n v="6071.9780000000001"/>
    <n v="4183440621.21"/>
    <n v="13775"/>
  </r>
  <r>
    <s v="DOLFUT"/>
    <x v="182"/>
    <x v="16"/>
    <n v="6075.7070000000003"/>
    <n v="6076.24"/>
    <n v="6071.4449999999997"/>
    <n v="6076.24"/>
    <n v="1565570321.1900001"/>
    <n v="5155"/>
  </r>
  <r>
    <s v="DOLFUT"/>
    <x v="182"/>
    <x v="17"/>
    <n v="6081.567"/>
    <n v="6082.1"/>
    <n v="6073.0439999999999"/>
    <n v="6076.24"/>
    <n v="3249752112.4899998"/>
    <n v="10695"/>
  </r>
  <r>
    <s v="DOLFUT"/>
    <x v="182"/>
    <x v="18"/>
    <n v="6079.9690000000001"/>
    <n v="6084.7640000000001"/>
    <n v="6078.9040000000005"/>
    <n v="6081.0339999999997"/>
    <n v="2917559688.1799998"/>
    <n v="9595"/>
  </r>
  <r>
    <s v="DOLFUT"/>
    <x v="182"/>
    <x v="0"/>
    <n v="6076.24"/>
    <n v="6081.567"/>
    <n v="6071.4449999999997"/>
    <n v="6079.9690000000001"/>
    <n v="10398633310.17"/>
    <n v="34225"/>
  </r>
  <r>
    <s v="DOLFUT"/>
    <x v="182"/>
    <x v="1"/>
    <n v="6071.4449999999997"/>
    <n v="6078.9040000000005"/>
    <n v="6069.8469999999998"/>
    <n v="6076.24"/>
    <n v="2880623463.3600001"/>
    <n v="9485"/>
  </r>
  <r>
    <s v="DOLFUT"/>
    <x v="182"/>
    <x v="2"/>
    <n v="6067.1840000000002"/>
    <n v="6074.1090000000004"/>
    <n v="6065.5860000000002"/>
    <n v="6071.4449999999997"/>
    <n v="3828608529.4499998"/>
    <n v="12615"/>
  </r>
  <r>
    <s v="DOLFUT"/>
    <x v="182"/>
    <x v="3"/>
    <n v="6061.3239999999996"/>
    <n v="6070.38"/>
    <n v="6060.7910000000002"/>
    <n v="6068.2489999999998"/>
    <n v="2580970034"/>
    <n v="8510"/>
  </r>
  <r>
    <s v="DOLFUT"/>
    <x v="182"/>
    <x v="4"/>
    <n v="6061.8559999999998"/>
    <n v="6068.2489999999998"/>
    <n v="6060.7910000000002"/>
    <n v="6060.7910000000002"/>
    <n v="2278666440.27"/>
    <n v="7515"/>
  </r>
  <r>
    <s v="DOLFUT"/>
    <x v="182"/>
    <x v="5"/>
    <n v="6076.24"/>
    <n v="6078.3710000000001"/>
    <n v="6057.5950000000003"/>
    <n v="6060.7910000000002"/>
    <n v="5504615151.6499996"/>
    <n v="18140"/>
  </r>
  <r>
    <s v="DOLFUT"/>
    <x v="182"/>
    <x v="6"/>
    <n v="6097.0159999999996"/>
    <n v="6098.0820000000003"/>
    <n v="6074.1090000000004"/>
    <n v="6076.7730000000001"/>
    <n v="6612088865.1800003"/>
    <n v="21725"/>
  </r>
  <r>
    <s v="DOLFUT"/>
    <x v="182"/>
    <x v="7"/>
    <n v="6097.0159999999996"/>
    <n v="6109.8019999999997"/>
    <n v="6096.4830000000002"/>
    <n v="6098.0820000000003"/>
    <n v="7443942154.1400003"/>
    <n v="24390"/>
  </r>
  <r>
    <s v="DOLFUT"/>
    <x v="182"/>
    <x v="8"/>
    <n v="6092.7539999999999"/>
    <n v="6100.7449999999999"/>
    <n v="6090.0910000000003"/>
    <n v="6096.4830000000002"/>
    <n v="3253285265.4499998"/>
    <n v="10675"/>
  </r>
  <r>
    <s v="DOLFUT"/>
    <x v="182"/>
    <x v="9"/>
    <n v="6089.558"/>
    <n v="6096.4830000000002"/>
    <n v="6084.7640000000001"/>
    <n v="6093.2870000000003"/>
    <n v="3118648151.8800001"/>
    <n v="10240"/>
  </r>
  <r>
    <s v="DOLFUT"/>
    <x v="182"/>
    <x v="10"/>
    <n v="6097.549"/>
    <n v="6097.549"/>
    <n v="6085.8289999999997"/>
    <n v="6089.558"/>
    <n v="2319247423.5500002"/>
    <n v="7615"/>
  </r>
  <r>
    <s v="DOLFUT"/>
    <x v="182"/>
    <x v="11"/>
    <n v="6096.4830000000002"/>
    <n v="6108.7359999999999"/>
    <n v="6089.0249999999996"/>
    <n v="6097.549"/>
    <n v="3356702672.8899999"/>
    <n v="11005"/>
  </r>
  <r>
    <s v="DOLFUT"/>
    <x v="183"/>
    <x v="12"/>
    <n v="6100.2129999999997"/>
    <n v="6102.3429999999998"/>
    <n v="6097.549"/>
    <n v="6098.6139999999996"/>
    <n v="824970372.98000002"/>
    <n v="2705"/>
  </r>
  <r>
    <s v="DOLFUT"/>
    <x v="183"/>
    <x v="13"/>
    <n v="6101.8109999999997"/>
    <n v="6102.8760000000002"/>
    <n v="6098.6139999999996"/>
    <n v="6099.68"/>
    <n v="693948718.09000003"/>
    <n v="2275"/>
  </r>
  <r>
    <s v="DOLFUT"/>
    <x v="183"/>
    <x v="14"/>
    <n v="6099.68"/>
    <n v="6105.54"/>
    <n v="6099.1469999999999"/>
    <n v="6101.8109999999997"/>
    <n v="1716397156.95"/>
    <n v="5625"/>
  </r>
  <r>
    <s v="DOLFUT"/>
    <x v="183"/>
    <x v="15"/>
    <n v="6095.951"/>
    <n v="6100.2129999999997"/>
    <n v="6094.3530000000001"/>
    <n v="6099.1469999999999"/>
    <n v="1679809333.0599999"/>
    <n v="5510"/>
  </r>
  <r>
    <s v="DOLFUT"/>
    <x v="183"/>
    <x v="16"/>
    <n v="6097.0159999999996"/>
    <n v="6098.0820000000003"/>
    <n v="6094.3530000000001"/>
    <n v="6095.951"/>
    <n v="1214662800.71"/>
    <n v="3985"/>
  </r>
  <r>
    <s v="DOLFUT"/>
    <x v="183"/>
    <x v="17"/>
    <n v="6096.4830000000002"/>
    <n v="6100.7449999999999"/>
    <n v="6095.951"/>
    <n v="6097.549"/>
    <n v="2024722253.3699999"/>
    <n v="6640"/>
  </r>
  <r>
    <s v="DOLFUT"/>
    <x v="183"/>
    <x v="18"/>
    <n v="6095.4179999999997"/>
    <n v="6099.1469999999999"/>
    <n v="6092.7539999999999"/>
    <n v="6096.4830000000002"/>
    <n v="1972034204.77"/>
    <n v="6470"/>
  </r>
  <r>
    <s v="DOLFUT"/>
    <x v="183"/>
    <x v="0"/>
    <n v="6095.951"/>
    <n v="6099.68"/>
    <n v="6093.2870000000003"/>
    <n v="6094.8850000000002"/>
    <n v="1929675258.0599999"/>
    <n v="6330"/>
  </r>
  <r>
    <s v="DOLFUT"/>
    <x v="183"/>
    <x v="1"/>
    <n v="6097.549"/>
    <n v="6100.2129999999997"/>
    <n v="6094.3530000000001"/>
    <n v="6096.4830000000002"/>
    <n v="2221091855.6100001"/>
    <n v="7285"/>
  </r>
  <r>
    <s v="DOLFUT"/>
    <x v="183"/>
    <x v="2"/>
    <n v="6097.549"/>
    <n v="6101.2780000000002"/>
    <n v="6093.2870000000003"/>
    <n v="6096.4830000000002"/>
    <n v="1880960791.26"/>
    <n v="6170"/>
  </r>
  <r>
    <s v="DOLFUT"/>
    <x v="183"/>
    <x v="3"/>
    <n v="6102.8760000000002"/>
    <n v="6103.4089999999997"/>
    <n v="6092.7539999999999"/>
    <n v="6097.549"/>
    <n v="2395303238.9299998"/>
    <n v="7855"/>
  </r>
  <r>
    <s v="DOLFUT"/>
    <x v="183"/>
    <x v="4"/>
    <n v="6097.549"/>
    <n v="6104.4740000000002"/>
    <n v="6093.2870000000003"/>
    <n v="6102.8760000000002"/>
    <n v="2032538766.6300001"/>
    <n v="6665"/>
  </r>
  <r>
    <s v="DOLFUT"/>
    <x v="183"/>
    <x v="5"/>
    <n v="6092.7539999999999"/>
    <n v="6100.7449999999999"/>
    <n v="6090.6239999999998"/>
    <n v="6098.0820000000003"/>
    <n v="1651816730.45"/>
    <n v="5420"/>
  </r>
  <r>
    <s v="DOLFUT"/>
    <x v="183"/>
    <x v="6"/>
    <n v="6087.96"/>
    <n v="6098.0820000000003"/>
    <n v="6086.3620000000001"/>
    <n v="6092.2219999999998"/>
    <n v="2790231269.5500002"/>
    <n v="9160"/>
  </r>
  <r>
    <s v="DOLFUT"/>
    <x v="183"/>
    <x v="7"/>
    <n v="6091.6890000000003"/>
    <n v="6092.2219999999998"/>
    <n v="6084.2309999999998"/>
    <n v="6087.96"/>
    <n v="3415419149.5799999"/>
    <n v="11220"/>
  </r>
  <r>
    <s v="DOLFUT"/>
    <x v="183"/>
    <x v="8"/>
    <n v="6092.7539999999999"/>
    <n v="6094.3530000000001"/>
    <n v="6081.567"/>
    <n v="6091.6890000000003"/>
    <n v="3109695473.3699999"/>
    <n v="10215"/>
  </r>
  <r>
    <s v="DOLFUT"/>
    <x v="183"/>
    <x v="9"/>
    <n v="6095.951"/>
    <n v="6102.8760000000002"/>
    <n v="6085.2960000000003"/>
    <n v="6092.7539999999999"/>
    <n v="2404078520.6300001"/>
    <n v="7890"/>
  </r>
  <r>
    <s v="DOLFUT"/>
    <x v="183"/>
    <x v="10"/>
    <n v="6092.7539999999999"/>
    <n v="6098.0820000000003"/>
    <n v="6086.3620000000001"/>
    <n v="6096.4830000000002"/>
    <n v="2544895222.48"/>
    <n v="8355"/>
  </r>
  <r>
    <s v="DOLFUT"/>
    <x v="183"/>
    <x v="11"/>
    <n v="6101.2780000000002"/>
    <n v="6109.8019999999997"/>
    <n v="6089.0249999999996"/>
    <n v="6092.7539999999999"/>
    <n v="3793609419.0999999"/>
    <n v="12440"/>
  </r>
  <r>
    <s v="DOLFUT"/>
    <x v="184"/>
    <x v="12"/>
    <n v="6086.3620000000001"/>
    <n v="6092.2219999999998"/>
    <n v="6083.165"/>
    <n v="6091.1559999999999"/>
    <n v="1636256154.27"/>
    <n v="5375"/>
  </r>
  <r>
    <s v="DOLFUT"/>
    <x v="184"/>
    <x v="13"/>
    <n v="6082.1"/>
    <n v="6091.6890000000003"/>
    <n v="6081.567"/>
    <n v="6086.3620000000001"/>
    <n v="2078540207.72"/>
    <n v="6830"/>
  </r>
  <r>
    <s v="DOLFUT"/>
    <x v="184"/>
    <x v="14"/>
    <n v="6083.165"/>
    <n v="6084.7640000000001"/>
    <n v="6078.3710000000001"/>
    <n v="6081.567"/>
    <n v="2432736361.25"/>
    <n v="8000"/>
  </r>
  <r>
    <s v="DOLFUT"/>
    <x v="184"/>
    <x v="15"/>
    <n v="6089.0249999999996"/>
    <n v="6090.6239999999998"/>
    <n v="6080.5020000000004"/>
    <n v="6083.165"/>
    <n v="4645989329.2200003"/>
    <n v="15270"/>
  </r>
  <r>
    <s v="DOLFUT"/>
    <x v="184"/>
    <x v="16"/>
    <n v="6101.8109999999997"/>
    <n v="6103.4089999999997"/>
    <n v="6087.4269999999997"/>
    <n v="6089.0249999999996"/>
    <n v="5231470957.3500004"/>
    <n v="17165"/>
  </r>
  <r>
    <s v="DOLFUT"/>
    <x v="184"/>
    <x v="17"/>
    <n v="6098.6139999999996"/>
    <n v="6105.0069999999996"/>
    <n v="6097.0159999999996"/>
    <n v="6102.3429999999998"/>
    <n v="4643666789.5699997"/>
    <n v="15220"/>
  </r>
  <r>
    <s v="DOLFUT"/>
    <x v="184"/>
    <x v="18"/>
    <n v="6103.4089999999997"/>
    <n v="6105.0069999999996"/>
    <n v="6095.4179999999997"/>
    <n v="6099.1469999999999"/>
    <n v="3523818317.3400002"/>
    <n v="11555"/>
  </r>
  <r>
    <s v="DOLFUT"/>
    <x v="184"/>
    <x v="0"/>
    <n v="6101.8109999999997"/>
    <n v="6106.0720000000001"/>
    <n v="6100.7449999999999"/>
    <n v="6103.942"/>
    <n v="1583847252.5899999"/>
    <n v="5190"/>
  </r>
  <r>
    <s v="DOLFUT"/>
    <x v="184"/>
    <x v="1"/>
    <n v="6101.8109999999997"/>
    <n v="6105.0069999999996"/>
    <n v="6090.6239999999998"/>
    <n v="6101.8109999999997"/>
    <n v="6051522697.6999998"/>
    <n v="19840"/>
  </r>
  <r>
    <s v="DOLFUT"/>
    <x v="184"/>
    <x v="2"/>
    <n v="6108.7359999999999"/>
    <n v="6111.4"/>
    <n v="6099.68"/>
    <n v="6101.8109999999997"/>
    <n v="2842065362.98"/>
    <n v="9310"/>
  </r>
  <r>
    <s v="DOLFUT"/>
    <x v="184"/>
    <x v="3"/>
    <n v="6109.8019999999997"/>
    <n v="6110.8670000000002"/>
    <n v="6106.0720000000001"/>
    <n v="6108.7359999999999"/>
    <n v="1282867875.3699999"/>
    <n v="4200"/>
  </r>
  <r>
    <s v="DOLFUT"/>
    <x v="184"/>
    <x v="4"/>
    <n v="6113.5309999999999"/>
    <n v="6113.5309999999999"/>
    <n v="6102.8760000000002"/>
    <n v="6109.2690000000002"/>
    <n v="1873833089"/>
    <n v="6135"/>
  </r>
  <r>
    <s v="DOLFUT"/>
    <x v="184"/>
    <x v="5"/>
    <n v="6110.3339999999998"/>
    <n v="6114.0630000000001"/>
    <n v="6094.3530000000001"/>
    <n v="6113.5309999999999"/>
    <n v="6105494342.6700001"/>
    <n v="20005"/>
  </r>
  <r>
    <s v="DOLFUT"/>
    <x v="184"/>
    <x v="6"/>
    <n v="6115.1289999999999"/>
    <n v="6118.3249999999998"/>
    <n v="6109.2690000000002"/>
    <n v="6110.3339999999998"/>
    <n v="3799555408.2800002"/>
    <n v="12430"/>
  </r>
  <r>
    <s v="DOLFUT"/>
    <x v="184"/>
    <x v="7"/>
    <n v="6118.8580000000002"/>
    <n v="6122.0540000000001"/>
    <n v="6109.8019999999997"/>
    <n v="6115.1289999999999"/>
    <n v="11186744836.360001"/>
    <n v="36585"/>
  </r>
  <r>
    <s v="DOLFUT"/>
    <x v="184"/>
    <x v="8"/>
    <n v="6118.3249999999998"/>
    <n v="6123.652"/>
    <n v="6108.7359999999999"/>
    <n v="6118.3249999999998"/>
    <n v="5317740673.2399998"/>
    <n v="17390"/>
  </r>
  <r>
    <s v="DOLFUT"/>
    <x v="184"/>
    <x v="9"/>
    <n v="6128.98"/>
    <n v="6130.5780000000004"/>
    <n v="6115.6610000000001"/>
    <n v="6119.3909999999996"/>
    <n v="9122190475.25"/>
    <n v="29785"/>
  </r>
  <r>
    <s v="DOLFUT"/>
    <x v="184"/>
    <x v="10"/>
    <n v="6132.7089999999998"/>
    <n v="6135.3720000000003"/>
    <n v="6116.7269999999999"/>
    <n v="6128.4470000000001"/>
    <n v="5257074563.0900002"/>
    <n v="17160"/>
  </r>
  <r>
    <s v="DOLFUT"/>
    <x v="184"/>
    <x v="11"/>
    <n v="6156.6809999999996"/>
    <n v="6161.4759999999997"/>
    <n v="6127.3810000000003"/>
    <n v="6132.7089999999998"/>
    <n v="5377809467.5799999"/>
    <n v="17510"/>
  </r>
  <r>
    <s v="DOLFUT"/>
    <x v="185"/>
    <x v="12"/>
    <n v="6160.41"/>
    <n v="6160.41"/>
    <n v="6154.018"/>
    <n v="6155.0829999999996"/>
    <n v="1251375015.46"/>
    <n v="4065"/>
  </r>
  <r>
    <s v="DOLFUT"/>
    <x v="185"/>
    <x v="13"/>
    <n v="6159.3450000000003"/>
    <n v="6162.5410000000002"/>
    <n v="6155.0829999999996"/>
    <n v="6160.41"/>
    <n v="986958157.78999996"/>
    <n v="3205"/>
  </r>
  <r>
    <s v="DOLFUT"/>
    <x v="185"/>
    <x v="14"/>
    <n v="6160.41"/>
    <n v="6164.1390000000001"/>
    <n v="6158.2790000000005"/>
    <n v="6159.8779999999997"/>
    <n v="897944518.25"/>
    <n v="2915"/>
  </r>
  <r>
    <s v="DOLFUT"/>
    <x v="185"/>
    <x v="15"/>
    <n v="6162.0079999999998"/>
    <n v="6163.0739999999996"/>
    <n v="6157.7470000000003"/>
    <n v="6159.8779999999997"/>
    <n v="4014853062.7600002"/>
    <n v="13035"/>
  </r>
  <r>
    <s v="DOLFUT"/>
    <x v="185"/>
    <x v="16"/>
    <n v="6172.13"/>
    <n v="6172.13"/>
    <n v="6156.1480000000001"/>
    <n v="6161.4759999999997"/>
    <n v="8455272394.9799995"/>
    <n v="27450"/>
  </r>
  <r>
    <s v="DOLFUT"/>
    <x v="185"/>
    <x v="17"/>
    <n v="6171.0649999999996"/>
    <n v="6187.5789999999997"/>
    <n v="6165.7370000000001"/>
    <n v="6172.6629999999996"/>
    <n v="7173123829.0100002"/>
    <n v="23230"/>
  </r>
  <r>
    <s v="DOLFUT"/>
    <x v="185"/>
    <x v="18"/>
    <n v="6165.2049999999999"/>
    <n v="6183.85"/>
    <n v="6159.3450000000003"/>
    <n v="6171.0649999999996"/>
    <n v="8552590522.1599998"/>
    <n v="27710"/>
  </r>
  <r>
    <s v="DOLFUT"/>
    <x v="185"/>
    <x v="0"/>
    <n v="6159.8779999999997"/>
    <n v="6165.7370000000001"/>
    <n v="6152.9520000000002"/>
    <n v="6165.7370000000001"/>
    <n v="3178110307.7600002"/>
    <n v="10320"/>
  </r>
  <r>
    <s v="DOLFUT"/>
    <x v="185"/>
    <x v="1"/>
    <n v="6155.616"/>
    <n v="6162.0079999999998"/>
    <n v="6154.55"/>
    <n v="6159.3450000000003"/>
    <n v="2409264313.9099998"/>
    <n v="7825"/>
  </r>
  <r>
    <s v="DOLFUT"/>
    <x v="185"/>
    <x v="2"/>
    <n v="6155.0829999999996"/>
    <n v="6158.2790000000005"/>
    <n v="6152.9520000000002"/>
    <n v="6155.616"/>
    <n v="2594580976.71"/>
    <n v="8430"/>
  </r>
  <r>
    <s v="DOLFUT"/>
    <x v="185"/>
    <x v="3"/>
    <n v="6152.4189999999999"/>
    <n v="6159.3450000000003"/>
    <n v="6152.4189999999999"/>
    <n v="6155.0829999999996"/>
    <n v="1731269588.03"/>
    <n v="5625"/>
  </r>
  <r>
    <s v="DOLFUT"/>
    <x v="185"/>
    <x v="4"/>
    <n v="6160.41"/>
    <n v="6162.0079999999998"/>
    <n v="6151.8869999999997"/>
    <n v="6152.4189999999999"/>
    <n v="2390667349.0999999"/>
    <n v="7765"/>
  </r>
  <r>
    <s v="DOLFUT"/>
    <x v="185"/>
    <x v="5"/>
    <n v="6180.6540000000005"/>
    <n v="6181.1859999999997"/>
    <n v="6157.7470000000003"/>
    <n v="6160.9430000000002"/>
    <n v="6683743055.7200003"/>
    <n v="21660"/>
  </r>
  <r>
    <s v="DOLFUT"/>
    <x v="185"/>
    <x v="6"/>
    <n v="6189.1769999999997"/>
    <n v="6189.71"/>
    <n v="6177.4570000000003"/>
    <n v="6180.6540000000005"/>
    <n v="3972460288.1300001"/>
    <n v="12850"/>
  </r>
  <r>
    <s v="DOLFUT"/>
    <x v="185"/>
    <x v="7"/>
    <n v="6184.9160000000002"/>
    <n v="6194.5050000000001"/>
    <n v="6184.3829999999998"/>
    <n v="6189.71"/>
    <n v="3240095706.73"/>
    <n v="10470"/>
  </r>
  <r>
    <s v="DOLFUT"/>
    <x v="185"/>
    <x v="8"/>
    <n v="6182.7849999999999"/>
    <n v="6188.6450000000004"/>
    <n v="6166.8029999999999"/>
    <n v="6185.4480000000003"/>
    <n v="5392079788.3400002"/>
    <n v="17455"/>
  </r>
  <r>
    <s v="DOLFUT"/>
    <x v="185"/>
    <x v="9"/>
    <n v="6164.1390000000001"/>
    <n v="6187.5789999999997"/>
    <n v="6159.8779999999997"/>
    <n v="6182.2520000000004"/>
    <n v="6306385166.0900002"/>
    <n v="20415"/>
  </r>
  <r>
    <s v="DOLFUT"/>
    <x v="185"/>
    <x v="10"/>
    <n v="6172.6629999999996"/>
    <n v="6177.4570000000003"/>
    <n v="6162.0079999999998"/>
    <n v="6164.6719999999996"/>
    <n v="4157357564.6500001"/>
    <n v="13480"/>
  </r>
  <r>
    <s v="DOLFUT"/>
    <x v="185"/>
    <x v="11"/>
    <n v="6159.3450000000003"/>
    <n v="6175.326"/>
    <n v="6148.69"/>
    <n v="6172.13"/>
    <n v="4286350210.3299999"/>
    <n v="13910"/>
  </r>
  <r>
    <s v="DOLFUT"/>
    <x v="186"/>
    <x v="12"/>
    <n v="6156.1480000000001"/>
    <n v="6163.607"/>
    <n v="6154.018"/>
    <n v="6163.607"/>
    <n v="2383737553.48"/>
    <n v="7740"/>
  </r>
  <r>
    <s v="DOLFUT"/>
    <x v="186"/>
    <x v="13"/>
    <n v="6154.55"/>
    <n v="6156.1480000000001"/>
    <n v="6150.8209999999999"/>
    <n v="6155.0829999999996"/>
    <n v="1127627561.6900001"/>
    <n v="3665"/>
  </r>
  <r>
    <s v="DOLFUT"/>
    <x v="186"/>
    <x v="14"/>
    <n v="6158.2790000000005"/>
    <n v="6158.8119999999999"/>
    <n v="6151.8869999999997"/>
    <n v="6155.0829999999996"/>
    <n v="3369490691.5599999"/>
    <n v="10945"/>
  </r>
  <r>
    <s v="DOLFUT"/>
    <x v="186"/>
    <x v="15"/>
    <n v="6154.55"/>
    <n v="6157.7470000000003"/>
    <n v="6152.9520000000002"/>
    <n v="6157.7470000000003"/>
    <n v="12736065370.83"/>
    <n v="41380"/>
  </r>
  <r>
    <s v="DOLFUT"/>
    <x v="186"/>
    <x v="16"/>
    <n v="6154.018"/>
    <n v="6158.2790000000005"/>
    <n v="6151.3540000000003"/>
    <n v="6153.4849999999997"/>
    <n v="4100825252.79"/>
    <n v="13325"/>
  </r>
  <r>
    <s v="DOLFUT"/>
    <x v="186"/>
    <x v="17"/>
    <n v="6148.1580000000004"/>
    <n v="6163.607"/>
    <n v="6148.1580000000004"/>
    <n v="6154.55"/>
    <n v="4871830906.1899996"/>
    <n v="15825"/>
  </r>
  <r>
    <s v="DOLFUT"/>
    <x v="186"/>
    <x v="18"/>
    <n v="6151.3540000000003"/>
    <n v="6156.6809999999996"/>
    <n v="6136.97"/>
    <n v="6148.1580000000004"/>
    <n v="4873330921.3400002"/>
    <n v="15860"/>
  </r>
  <r>
    <s v="DOLFUT"/>
    <x v="186"/>
    <x v="0"/>
    <n v="6154.018"/>
    <n v="6160.9430000000002"/>
    <n v="6150.8209999999999"/>
    <n v="6152.4189999999999"/>
    <n v="2131445207.8099999"/>
    <n v="6925"/>
  </r>
  <r>
    <s v="DOLFUT"/>
    <x v="186"/>
    <x v="1"/>
    <n v="6155.616"/>
    <n v="6158.8119999999999"/>
    <n v="6149.7560000000003"/>
    <n v="6154.55"/>
    <n v="2787785404.5"/>
    <n v="9060"/>
  </r>
  <r>
    <s v="DOLFUT"/>
    <x v="186"/>
    <x v="2"/>
    <n v="6162.5410000000002"/>
    <n v="6164.6719999999996"/>
    <n v="6153.4849999999997"/>
    <n v="6155.616"/>
    <n v="5187563118.1400003"/>
    <n v="16845"/>
  </r>
  <r>
    <s v="DOLFUT"/>
    <x v="186"/>
    <x v="3"/>
    <n v="6163.0739999999996"/>
    <n v="6167.3360000000002"/>
    <n v="6160.9430000000002"/>
    <n v="6163.607"/>
    <n v="1957428002.0799999"/>
    <n v="6350"/>
  </r>
  <r>
    <s v="DOLFUT"/>
    <x v="186"/>
    <x v="4"/>
    <n v="6168.4009999999998"/>
    <n v="6169.9989999999998"/>
    <n v="6151.8869999999997"/>
    <n v="6163.607"/>
    <n v="3574616663.8299999"/>
    <n v="11605"/>
  </r>
  <r>
    <s v="DOLFUT"/>
    <x v="186"/>
    <x v="5"/>
    <n v="6163.0739999999996"/>
    <n v="6179.5879999999997"/>
    <n v="6160.9430000000002"/>
    <n v="6167.8680000000004"/>
    <n v="7062329804.4300003"/>
    <n v="22890"/>
  </r>
  <r>
    <s v="DOLFUT"/>
    <x v="186"/>
    <x v="6"/>
    <n v="6150.8209999999999"/>
    <n v="6163.0739999999996"/>
    <n v="6143.8959999999997"/>
    <n v="6163.0739999999996"/>
    <n v="5646198974.79"/>
    <n v="18350"/>
  </r>
  <r>
    <s v="DOLFUT"/>
    <x v="186"/>
    <x v="7"/>
    <n v="6163.0739999999996"/>
    <n v="6169.9989999999998"/>
    <n v="6151.3540000000003"/>
    <n v="6151.3540000000003"/>
    <n v="4928483213.9399996"/>
    <n v="16005"/>
  </r>
  <r>
    <s v="DOLFUT"/>
    <x v="186"/>
    <x v="8"/>
    <n v="6149.7560000000003"/>
    <n v="6184.3829999999998"/>
    <n v="6146.027"/>
    <n v="6162.0079999999998"/>
    <n v="9734065870.7000008"/>
    <n v="31550"/>
  </r>
  <r>
    <s v="DOLFUT"/>
    <x v="186"/>
    <x v="9"/>
    <n v="6165.7370000000001"/>
    <n v="6175.326"/>
    <n v="6139.1009999999997"/>
    <n v="6150.8209999999999"/>
    <n v="6036176409.3999996"/>
    <n v="19595"/>
  </r>
  <r>
    <s v="DOLFUT"/>
    <x v="186"/>
    <x v="10"/>
    <n v="6161.4759999999997"/>
    <n v="6166.27"/>
    <n v="6151.3540000000003"/>
    <n v="6165.2049999999999"/>
    <n v="3414095998.5100002"/>
    <n v="11085"/>
  </r>
  <r>
    <s v="DOLFUT"/>
    <x v="186"/>
    <x v="11"/>
    <n v="6166.27"/>
    <n v="6168.4009999999998"/>
    <n v="6151.8869999999997"/>
    <n v="6160.9430000000002"/>
    <n v="4005270439.1500001"/>
    <n v="13005"/>
  </r>
  <r>
    <s v="DOLFUT"/>
    <x v="187"/>
    <x v="12"/>
    <n v="6162.0079999999998"/>
    <n v="6165.7370000000001"/>
    <n v="6159.3450000000003"/>
    <n v="6165.7370000000001"/>
    <n v="990565359.25999999"/>
    <n v="3215"/>
  </r>
  <r>
    <s v="DOLFUT"/>
    <x v="187"/>
    <x v="13"/>
    <n v="6161.4759999999997"/>
    <n v="6168.4009999999998"/>
    <n v="6160.41"/>
    <n v="6162.5410000000002"/>
    <n v="1645758203.51"/>
    <n v="5340"/>
  </r>
  <r>
    <s v="DOLFUT"/>
    <x v="187"/>
    <x v="14"/>
    <n v="6164.6719999999996"/>
    <n v="6166.27"/>
    <n v="6159.3450000000003"/>
    <n v="6161.4759999999997"/>
    <n v="1007609036.62"/>
    <n v="3270"/>
  </r>
  <r>
    <s v="DOLFUT"/>
    <x v="187"/>
    <x v="15"/>
    <n v="6166.27"/>
    <n v="6166.27"/>
    <n v="6155.0829999999996"/>
    <n v="6164.6719999999996"/>
    <n v="4887900765.6800003"/>
    <n v="15865"/>
  </r>
  <r>
    <s v="DOLFUT"/>
    <x v="187"/>
    <x v="16"/>
    <n v="6164.6719999999996"/>
    <n v="6167.8680000000004"/>
    <n v="6163.607"/>
    <n v="6166.8029999999999"/>
    <n v="1692561659.27"/>
    <n v="5490"/>
  </r>
  <r>
    <s v="DOLFUT"/>
    <x v="187"/>
    <x v="17"/>
    <n v="6164.1390000000001"/>
    <n v="6168.4009999999998"/>
    <n v="6161.4759999999997"/>
    <n v="6165.7370000000001"/>
    <n v="1649194933.5799999"/>
    <n v="5350"/>
  </r>
  <r>
    <s v="DOLFUT"/>
    <x v="187"/>
    <x v="18"/>
    <n v="6165.7370000000001"/>
    <n v="6165.7370000000001"/>
    <n v="6157.7470000000003"/>
    <n v="6164.1390000000001"/>
    <n v="4384385249.6599998"/>
    <n v="14230"/>
  </r>
  <r>
    <s v="DOLFUT"/>
    <x v="187"/>
    <x v="0"/>
    <n v="6159.8779999999997"/>
    <n v="6167.3360000000002"/>
    <n v="6158.8119999999999"/>
    <n v="6165.7370000000001"/>
    <n v="1927571667.6099999"/>
    <n v="6255"/>
  </r>
  <r>
    <s v="DOLFUT"/>
    <x v="187"/>
    <x v="1"/>
    <n v="6159.8779999999997"/>
    <n v="6162.5410000000002"/>
    <n v="6154.55"/>
    <n v="6159.8779999999997"/>
    <n v="2363526703.9499998"/>
    <n v="7675"/>
  </r>
  <r>
    <s v="DOLFUT"/>
    <x v="187"/>
    <x v="2"/>
    <n v="6159.3450000000003"/>
    <n v="6165.2049999999999"/>
    <n v="6156.1480000000001"/>
    <n v="6160.41"/>
    <n v="2633674463.8400002"/>
    <n v="8550"/>
  </r>
  <r>
    <s v="DOLFUT"/>
    <x v="187"/>
    <x v="3"/>
    <n v="6161.4759999999997"/>
    <n v="6164.6719999999996"/>
    <n v="6156.6809999999996"/>
    <n v="6160.9430000000002"/>
    <n v="2404208771.4400001"/>
    <n v="7805"/>
  </r>
  <r>
    <s v="DOLFUT"/>
    <x v="187"/>
    <x v="4"/>
    <n v="6160.9430000000002"/>
    <n v="6163.607"/>
    <n v="6154.018"/>
    <n v="6162.0079999999998"/>
    <n v="2428096342.8099999"/>
    <n v="7885"/>
  </r>
  <r>
    <s v="DOLFUT"/>
    <x v="187"/>
    <x v="5"/>
    <n v="6173.1959999999999"/>
    <n v="6174.7939999999999"/>
    <n v="6155.616"/>
    <n v="6160.41"/>
    <n v="5536434171.29"/>
    <n v="17960"/>
  </r>
  <r>
    <s v="DOLFUT"/>
    <x v="187"/>
    <x v="6"/>
    <n v="6163.0739999999996"/>
    <n v="6175.8590000000004"/>
    <n v="6162.5410000000002"/>
    <n v="6173.1959999999999"/>
    <n v="4292611038.8800001"/>
    <n v="13915"/>
  </r>
  <r>
    <s v="DOLFUT"/>
    <x v="187"/>
    <x v="7"/>
    <n v="6188.1120000000001"/>
    <n v="6188.6450000000004"/>
    <n v="6160.41"/>
    <n v="6162.5410000000002"/>
    <n v="5902669201.5799999"/>
    <n v="19120"/>
  </r>
  <r>
    <s v="DOLFUT"/>
    <x v="187"/>
    <x v="8"/>
    <n v="6191.308"/>
    <n v="6200.3639999999996"/>
    <n v="6185.4480000000003"/>
    <n v="6188.1120000000001"/>
    <n v="5080917009.0100002"/>
    <n v="16410"/>
  </r>
  <r>
    <s v="DOLFUT"/>
    <x v="187"/>
    <x v="9"/>
    <n v="6188.6450000000004"/>
    <n v="6206.7569999999996"/>
    <n v="6187.0460000000003"/>
    <n v="6191.308"/>
    <n v="4112185307.0999999"/>
    <n v="13270"/>
  </r>
  <r>
    <s v="DOLFUT"/>
    <x v="187"/>
    <x v="10"/>
    <n v="6200.3639999999996"/>
    <n v="6203.5609999999997"/>
    <n v="6183.317"/>
    <n v="6188.6450000000004"/>
    <n v="3379382294.5799999"/>
    <n v="10915"/>
  </r>
  <r>
    <s v="DOLFUT"/>
    <x v="187"/>
    <x v="11"/>
    <n v="6197.701"/>
    <n v="6206.2240000000002"/>
    <n v="6176.9250000000002"/>
    <n v="6199.299"/>
    <n v="4933164784.7799997"/>
    <n v="15945"/>
  </r>
  <r>
    <s v="DOLFUT"/>
    <x v="188"/>
    <x v="12"/>
    <n v="6190.2430000000004"/>
    <n v="6191.8410000000003"/>
    <n v="6187.0460000000003"/>
    <n v="6191.8410000000003"/>
    <n v="510621776.17000002"/>
    <n v="1650"/>
  </r>
  <r>
    <s v="DOLFUT"/>
    <x v="188"/>
    <x v="13"/>
    <n v="6191.8410000000003"/>
    <n v="6194.5050000000001"/>
    <n v="6188.6450000000004"/>
    <n v="6189.1769999999997"/>
    <n v="1318666469.96"/>
    <n v="4260"/>
  </r>
  <r>
    <s v="DOLFUT"/>
    <x v="188"/>
    <x v="14"/>
    <n v="6185.9809999999998"/>
    <n v="6192.9059999999999"/>
    <n v="6185.9809999999998"/>
    <n v="6192.9059999999999"/>
    <n v="1491469732.8699999"/>
    <n v="4820"/>
  </r>
  <r>
    <s v="DOLFUT"/>
    <x v="188"/>
    <x v="15"/>
    <n v="6189.1769999999997"/>
    <n v="6193.4390000000003"/>
    <n v="6184.3829999999998"/>
    <n v="6185.9809999999998"/>
    <n v="3010275753.4499998"/>
    <n v="9730"/>
  </r>
  <r>
    <s v="DOLFUT"/>
    <x v="188"/>
    <x v="16"/>
    <n v="6184.3829999999998"/>
    <n v="6189.71"/>
    <n v="6183.85"/>
    <n v="6189.1769999999997"/>
    <n v="1984332784.0599999"/>
    <n v="6415"/>
  </r>
  <r>
    <s v="DOLFUT"/>
    <x v="188"/>
    <x v="17"/>
    <n v="6180.6540000000005"/>
    <n v="6184.3829999999998"/>
    <n v="6180.1210000000001"/>
    <n v="6184.3829999999998"/>
    <n v="1151295251.5899999"/>
    <n v="3725"/>
  </r>
  <r>
    <s v="DOLFUT"/>
    <x v="188"/>
    <x v="18"/>
    <n v="6179.0559999999996"/>
    <n v="6182.7849999999999"/>
    <n v="6175.326"/>
    <n v="6180.6540000000005"/>
    <n v="1453579800.47"/>
    <n v="4705"/>
  </r>
  <r>
    <s v="DOLFUT"/>
    <x v="188"/>
    <x v="0"/>
    <n v="6177.4570000000003"/>
    <n v="6185.4480000000003"/>
    <n v="6177.4570000000003"/>
    <n v="6179.0559999999996"/>
    <n v="1587007233"/>
    <n v="5135"/>
  </r>
  <r>
    <s v="DOLFUT"/>
    <x v="188"/>
    <x v="1"/>
    <n v="6175.8590000000004"/>
    <n v="6180.1210000000001"/>
    <n v="6171.0649999999996"/>
    <n v="6178.5230000000001"/>
    <n v="2938740759.71"/>
    <n v="9515"/>
  </r>
  <r>
    <s v="DOLFUT"/>
    <x v="188"/>
    <x v="2"/>
    <n v="6185.9809999999998"/>
    <n v="6188.6450000000004"/>
    <n v="6175.326"/>
    <n v="6176.3919999999998"/>
    <n v="2860140259.1300001"/>
    <n v="9250"/>
  </r>
  <r>
    <s v="DOLFUT"/>
    <x v="188"/>
    <x v="3"/>
    <n v="6177.4570000000003"/>
    <n v="6188.1120000000001"/>
    <n v="6174.7939999999999"/>
    <n v="6185.9809999999998"/>
    <n v="2801909892.3000002"/>
    <n v="9065"/>
  </r>
  <r>
    <s v="DOLFUT"/>
    <x v="188"/>
    <x v="4"/>
    <n v="6184.9160000000002"/>
    <n v="6188.1120000000001"/>
    <n v="6172.6629999999996"/>
    <n v="6176.3919999999998"/>
    <n v="2317215218"/>
    <n v="7500"/>
  </r>
  <r>
    <s v="DOLFUT"/>
    <x v="188"/>
    <x v="5"/>
    <n v="6193.4390000000003"/>
    <n v="6193.4390000000003"/>
    <n v="6181.1859999999997"/>
    <n v="6185.4480000000003"/>
    <n v="2524210515.73"/>
    <n v="8160"/>
  </r>
  <r>
    <s v="DOLFUT"/>
    <x v="188"/>
    <x v="6"/>
    <n v="6195.0370000000003"/>
    <n v="6207.29"/>
    <n v="6189.1769999999997"/>
    <n v="6192.9059999999999"/>
    <n v="3686629292.5599999"/>
    <n v="11900"/>
  </r>
  <r>
    <s v="DOLFUT"/>
    <x v="188"/>
    <x v="7"/>
    <n v="6181.7190000000001"/>
    <n v="6197.1679999999997"/>
    <n v="6181.7190000000001"/>
    <n v="6195.0370000000003"/>
    <n v="3297696394.8299999"/>
    <n v="10655"/>
  </r>
  <r>
    <s v="DOLFUT"/>
    <x v="188"/>
    <x v="8"/>
    <n v="6174.7939999999999"/>
    <n v="6189.71"/>
    <n v="6172.6629999999996"/>
    <n v="6180.6540000000005"/>
    <n v="3424403391.9299998"/>
    <n v="11080"/>
  </r>
  <r>
    <s v="DOLFUT"/>
    <x v="188"/>
    <x v="9"/>
    <n v="6191.8410000000003"/>
    <n v="6192.9059999999999"/>
    <n v="6163.0739999999996"/>
    <n v="6173.1959999999999"/>
    <n v="6271792390.3000002"/>
    <n v="20310"/>
  </r>
  <r>
    <s v="DOLFUT"/>
    <x v="188"/>
    <x v="10"/>
    <n v="6214.7479999999996"/>
    <n v="6214.7479999999996"/>
    <n v="6189.71"/>
    <n v="6191.8410000000003"/>
    <n v="5847896474.1999998"/>
    <n v="18855"/>
  </r>
  <r>
    <s v="DOLFUT"/>
    <x v="188"/>
    <x v="11"/>
    <n v="6206.7569999999996"/>
    <n v="6228.0659999999998"/>
    <n v="6205.692"/>
    <n v="6215.2809999999999"/>
    <n v="3803239588.25"/>
    <n v="12230"/>
  </r>
  <r>
    <s v="DOLFUT"/>
    <x v="189"/>
    <x v="12"/>
    <n v="6214.2150000000001"/>
    <n v="6219.01"/>
    <n v="6205.692"/>
    <n v="6212.0839999999998"/>
    <n v="1357336708.5599999"/>
    <n v="4370"/>
  </r>
  <r>
    <s v="DOLFUT"/>
    <x v="189"/>
    <x v="13"/>
    <n v="6208.8879999999999"/>
    <n v="6217.4120000000003"/>
    <n v="6208.3549999999996"/>
    <n v="6213.683"/>
    <n v="1806361307.73"/>
    <n v="5815"/>
  </r>
  <r>
    <s v="DOLFUT"/>
    <x v="189"/>
    <x v="14"/>
    <n v="6195.57"/>
    <n v="6209.9530000000004"/>
    <n v="6195.57"/>
    <n v="6209.9530000000004"/>
    <n v="1920657454.1500001"/>
    <n v="6190"/>
  </r>
  <r>
    <s v="DOLFUT"/>
    <x v="189"/>
    <x v="15"/>
    <n v="6193.4390000000003"/>
    <n v="6201.9629999999997"/>
    <n v="6186.5140000000001"/>
    <n v="6195.57"/>
    <n v="1850815854.04"/>
    <n v="5975"/>
  </r>
  <r>
    <s v="DOLFUT"/>
    <x v="189"/>
    <x v="16"/>
    <n v="6207.8230000000003"/>
    <n v="6207.8230000000003"/>
    <n v="6188.6450000000004"/>
    <n v="6192.3739999999998"/>
    <n v="6112791317.6999998"/>
    <n v="19725"/>
  </r>
  <r>
    <s v="DOLFUT"/>
    <x v="189"/>
    <x v="17"/>
    <n v="6175.8590000000004"/>
    <n v="6213.683"/>
    <n v="6174.7939999999999"/>
    <n v="6207.8230000000003"/>
    <n v="5195534254.29"/>
    <n v="16770"/>
  </r>
  <r>
    <s v="DOLFUT"/>
    <x v="189"/>
    <x v="18"/>
    <n v="6180.1210000000001"/>
    <n v="6185.4480000000003"/>
    <n v="6174.7939999999999"/>
    <n v="6176.9250000000002"/>
    <n v="3319356783.9899998"/>
    <n v="10745"/>
  </r>
  <r>
    <s v="DOLFUT"/>
    <x v="189"/>
    <x v="0"/>
    <n v="6185.9809999999998"/>
    <n v="6190.7749999999996"/>
    <n v="6180.1210000000001"/>
    <n v="6180.1210000000001"/>
    <n v="13087570606.66"/>
    <n v="42300"/>
  </r>
  <r>
    <s v="DOLFUT"/>
    <x v="189"/>
    <x v="1"/>
    <n v="6188.6450000000004"/>
    <n v="6192.9059999999999"/>
    <n v="6169.4669999999996"/>
    <n v="6185.9809999999998"/>
    <n v="5083819417.79"/>
    <n v="16445"/>
  </r>
  <r>
    <s v="DOLFUT"/>
    <x v="189"/>
    <x v="2"/>
    <n v="6181.1859999999997"/>
    <n v="6194.5050000000001"/>
    <n v="6177.4570000000003"/>
    <n v="6189.1769999999997"/>
    <n v="3301138452.1300001"/>
    <n v="10670"/>
  </r>
  <r>
    <s v="DOLFUT"/>
    <x v="189"/>
    <x v="3"/>
    <n v="6158.2790000000005"/>
    <n v="6188.6450000000004"/>
    <n v="6158.2790000000005"/>
    <n v="6181.7190000000001"/>
    <n v="8032385323.3100004"/>
    <n v="26020"/>
  </r>
  <r>
    <s v="DOLFUT"/>
    <x v="189"/>
    <x v="4"/>
    <n v="6149.223"/>
    <n v="6171.5969999999998"/>
    <n v="6136.97"/>
    <n v="6158.2790000000005"/>
    <n v="6935017500.6700001"/>
    <n v="22540"/>
  </r>
  <r>
    <s v="DOLFUT"/>
    <x v="189"/>
    <x v="5"/>
    <n v="6148.1580000000004"/>
    <n v="6157.2139999999999"/>
    <n v="6134.84"/>
    <n v="6149.223"/>
    <n v="4768191486.3800001"/>
    <n v="15520"/>
  </r>
  <r>
    <s v="DOLFUT"/>
    <x v="189"/>
    <x v="6"/>
    <n v="6157.7470000000003"/>
    <n v="6162.0079999999998"/>
    <n v="6146.5590000000002"/>
    <n v="6147.625"/>
    <n v="3962418989.9099998"/>
    <n v="12875"/>
  </r>
  <r>
    <s v="DOLFUT"/>
    <x v="189"/>
    <x v="7"/>
    <n v="6147.625"/>
    <n v="6166.8029999999999"/>
    <n v="6139.1009999999997"/>
    <n v="6157.7470000000003"/>
    <n v="5662950320.3400002"/>
    <n v="18410"/>
  </r>
  <r>
    <s v="DOLFUT"/>
    <x v="189"/>
    <x v="8"/>
    <n v="6166.27"/>
    <n v="6176.3919999999998"/>
    <n v="6136.97"/>
    <n v="6146.5590000000002"/>
    <n v="10031134261.08"/>
    <n v="32595"/>
  </r>
  <r>
    <s v="DOLFUT"/>
    <x v="189"/>
    <x v="9"/>
    <n v="6171.5969999999998"/>
    <n v="6176.3919999999998"/>
    <n v="6158.8119999999999"/>
    <n v="6166.8029999999999"/>
    <n v="3082379562.3200002"/>
    <n v="9995"/>
  </r>
  <r>
    <s v="DOLFUT"/>
    <x v="189"/>
    <x v="10"/>
    <n v="6174.2610000000004"/>
    <n v="6175.8590000000004"/>
    <n v="6164.1390000000001"/>
    <n v="6172.13"/>
    <n v="2391270658.04"/>
    <n v="7750"/>
  </r>
  <r>
    <s v="DOLFUT"/>
    <x v="189"/>
    <x v="11"/>
    <n v="6176.3919999999998"/>
    <n v="6180.1210000000001"/>
    <n v="6163.607"/>
    <n v="6173.7280000000001"/>
    <n v="2261976357.8899999"/>
    <n v="7330"/>
  </r>
  <r>
    <s v="DOLFUT"/>
    <x v="190"/>
    <x v="12"/>
    <n v="6167.8680000000004"/>
    <n v="6172.13"/>
    <n v="6164.6719999999996"/>
    <n v="6165.2049999999999"/>
    <n v="2390201882.2600002"/>
    <n v="7750"/>
  </r>
  <r>
    <s v="DOLFUT"/>
    <x v="190"/>
    <x v="13"/>
    <n v="6169.9989999999998"/>
    <n v="6170.5320000000002"/>
    <n v="6163.607"/>
    <n v="6167.3360000000002"/>
    <n v="2517070960.3800001"/>
    <n v="8165"/>
  </r>
  <r>
    <s v="DOLFUT"/>
    <x v="190"/>
    <x v="14"/>
    <n v="6168.9340000000002"/>
    <n v="6173.7280000000001"/>
    <n v="6167.3360000000002"/>
    <n v="6168.9340000000002"/>
    <n v="1274171569.8699999"/>
    <n v="4130"/>
  </r>
  <r>
    <s v="DOLFUT"/>
    <x v="190"/>
    <x v="15"/>
    <n v="6173.7280000000001"/>
    <n v="6180.1210000000001"/>
    <n v="6168.9340000000002"/>
    <n v="6168.9340000000002"/>
    <n v="1776940474.4200001"/>
    <n v="5755"/>
  </r>
  <r>
    <s v="DOLFUT"/>
    <x v="190"/>
    <x v="16"/>
    <n v="6160.41"/>
    <n v="6178.5230000000001"/>
    <n v="6159.3450000000003"/>
    <n v="6174.2610000000004"/>
    <n v="3555655849.1199999"/>
    <n v="11525"/>
  </r>
  <r>
    <s v="DOLFUT"/>
    <x v="190"/>
    <x v="17"/>
    <n v="6155.0829999999996"/>
    <n v="6162.5410000000002"/>
    <n v="6152.9520000000002"/>
    <n v="6159.3450000000003"/>
    <n v="2356416847.9200001"/>
    <n v="7655"/>
  </r>
  <r>
    <s v="DOLFUT"/>
    <x v="190"/>
    <x v="18"/>
    <n v="6162.5410000000002"/>
    <n v="6164.1390000000001"/>
    <n v="6152.4189999999999"/>
    <n v="6154.55"/>
    <n v="3041392777.1999998"/>
    <n v="9875"/>
  </r>
  <r>
    <s v="DOLFUT"/>
    <x v="190"/>
    <x v="0"/>
    <n v="6168.4009999999998"/>
    <n v="6169.4669999999996"/>
    <n v="6151.3540000000003"/>
    <n v="6162.0079999999998"/>
    <n v="3860905401.7399998"/>
    <n v="12535"/>
  </r>
  <r>
    <s v="DOLFUT"/>
    <x v="190"/>
    <x v="1"/>
    <n v="6179.5879999999997"/>
    <n v="6180.1210000000001"/>
    <n v="6168.4009999999998"/>
    <n v="6168.9340000000002"/>
    <n v="1689719315.02"/>
    <n v="5475"/>
  </r>
  <r>
    <s v="DOLFUT"/>
    <x v="190"/>
    <x v="2"/>
    <n v="6178.5230000000001"/>
    <n v="6184.3829999999998"/>
    <n v="6177.4570000000003"/>
    <n v="6179.0559999999996"/>
    <n v="1483423749.1199999"/>
    <n v="4800"/>
  </r>
  <r>
    <s v="DOLFUT"/>
    <x v="190"/>
    <x v="3"/>
    <n v="6179.0559999999996"/>
    <n v="6182.7849999999999"/>
    <n v="6170.5320000000002"/>
    <n v="6178.5230000000001"/>
    <n v="3176973876.1500001"/>
    <n v="10285"/>
  </r>
  <r>
    <s v="DOLFUT"/>
    <x v="190"/>
    <x v="4"/>
    <n v="6191.308"/>
    <n v="6195.57"/>
    <n v="6177.4570000000003"/>
    <n v="6179.0559999999996"/>
    <n v="2786818512.02"/>
    <n v="9010"/>
  </r>
  <r>
    <s v="DOLFUT"/>
    <x v="190"/>
    <x v="5"/>
    <n v="6184.9160000000002"/>
    <n v="6194.5050000000001"/>
    <n v="6179.5879999999997"/>
    <n v="6191.308"/>
    <n v="6965335839.2700005"/>
    <n v="22515"/>
  </r>
  <r>
    <s v="DOLFUT"/>
    <x v="190"/>
    <x v="6"/>
    <n v="6187.5789999999997"/>
    <n v="6187.5789999999997"/>
    <n v="6166.8029999999999"/>
    <n v="6184.3829999999998"/>
    <n v="7620313996.1000004"/>
    <n v="24680"/>
  </r>
  <r>
    <s v="DOLFUT"/>
    <x v="190"/>
    <x v="7"/>
    <n v="6190.7749999999996"/>
    <n v="6202.4949999999999"/>
    <n v="6178.5230000000001"/>
    <n v="6188.1120000000001"/>
    <n v="12111788447.35"/>
    <n v="39105"/>
  </r>
  <r>
    <s v="DOLFUT"/>
    <x v="190"/>
    <x v="8"/>
    <n v="6215.8130000000001"/>
    <n v="6216.8789999999999"/>
    <n v="6190.2430000000004"/>
    <n v="6191.308"/>
    <n v="4176503101.1100001"/>
    <n v="13465"/>
  </r>
  <r>
    <s v="DOLFUT"/>
    <x v="190"/>
    <x v="9"/>
    <n v="6207.29"/>
    <n v="6227.0010000000002"/>
    <n v="6202.4949999999999"/>
    <n v="6216.8789999999999"/>
    <n v="4853657056.7200003"/>
    <n v="15625"/>
  </r>
  <r>
    <s v="DOLFUT"/>
    <x v="190"/>
    <x v="10"/>
    <n v="6223.2719999999999"/>
    <n v="6224.3370000000004"/>
    <n v="6206.2240000000002"/>
    <n v="6207.8230000000003"/>
    <n v="5960808872.3000002"/>
    <n v="19180"/>
  </r>
  <r>
    <s v="DOLFUT"/>
    <x v="190"/>
    <x v="11"/>
    <n v="6209.4210000000003"/>
    <n v="6232.8609999999999"/>
    <n v="6205.1589999999997"/>
    <n v="6223.8040000000001"/>
    <n v="4739066314.4099998"/>
    <n v="15230"/>
  </r>
  <r>
    <s v="DOLFUT"/>
    <x v="191"/>
    <x v="12"/>
    <n v="6215.2809999999999"/>
    <n v="6216.8789999999999"/>
    <n v="6198.7659999999996"/>
    <n v="6201.9629999999997"/>
    <n v="1118667558.24"/>
    <n v="3605"/>
  </r>
  <r>
    <s v="DOLFUT"/>
    <x v="191"/>
    <x v="13"/>
    <n v="6215.8130000000001"/>
    <n v="6219.01"/>
    <n v="6209.4210000000003"/>
    <n v="6214.7479999999996"/>
    <n v="2126794534.9200001"/>
    <n v="6845"/>
  </r>
  <r>
    <s v="DOLFUT"/>
    <x v="191"/>
    <x v="14"/>
    <n v="6200.3639999999996"/>
    <n v="6216.3459999999995"/>
    <n v="6199.8320000000003"/>
    <n v="6215.8130000000001"/>
    <n v="2267076782.2800002"/>
    <n v="7305"/>
  </r>
  <r>
    <s v="DOLFUT"/>
    <x v="191"/>
    <x v="15"/>
    <n v="6196.1030000000001"/>
    <n v="6202.4949999999999"/>
    <n v="6193.9719999999998"/>
    <n v="6200.3639999999996"/>
    <n v="2877779920.4899998"/>
    <n v="9285"/>
  </r>
  <r>
    <s v="DOLFUT"/>
    <x v="191"/>
    <x v="16"/>
    <n v="6196.1030000000001"/>
    <n v="6198.2340000000004"/>
    <n v="6191.8410000000003"/>
    <n v="6195.57"/>
    <n v="2306303317.0100002"/>
    <n v="7445"/>
  </r>
  <r>
    <s v="DOLFUT"/>
    <x v="191"/>
    <x v="17"/>
    <n v="6184.9160000000002"/>
    <n v="6196.6350000000002"/>
    <n v="6182.7849999999999"/>
    <n v="6196.1030000000001"/>
    <n v="2001214646.77"/>
    <n v="6465"/>
  </r>
  <r>
    <s v="DOLFUT"/>
    <x v="191"/>
    <x v="18"/>
    <n v="6177.4570000000003"/>
    <n v="6186.5140000000001"/>
    <n v="6175.326"/>
    <n v="6185.4480000000003"/>
    <n v="4147925701.6900001"/>
    <n v="13420"/>
  </r>
  <r>
    <s v="DOLFUT"/>
    <x v="191"/>
    <x v="0"/>
    <n v="6192.3739999999998"/>
    <n v="6196.1030000000001"/>
    <n v="6173.1959999999999"/>
    <n v="6176.9250000000002"/>
    <n v="3849988839.4299998"/>
    <n v="12450"/>
  </r>
  <r>
    <s v="DOLFUT"/>
    <x v="191"/>
    <x v="1"/>
    <n v="6206.2240000000002"/>
    <n v="6206.2240000000002"/>
    <n v="6188.1120000000001"/>
    <n v="6192.9059999999999"/>
    <n v="2720718892.3400002"/>
    <n v="8780"/>
  </r>
  <r>
    <s v="DOLFUT"/>
    <x v="191"/>
    <x v="2"/>
    <n v="6207.8230000000003"/>
    <n v="6208.3549999999996"/>
    <n v="6200.8969999999999"/>
    <n v="6206.2240000000002"/>
    <n v="1932952970.28"/>
    <n v="6230"/>
  </r>
  <r>
    <s v="DOLFUT"/>
    <x v="191"/>
    <x v="3"/>
    <n v="6211.0190000000002"/>
    <n v="6215.2809999999999"/>
    <n v="6197.701"/>
    <n v="6208.3549999999996"/>
    <n v="3395232405.77"/>
    <n v="10940"/>
  </r>
  <r>
    <s v="DOLFUT"/>
    <x v="191"/>
    <x v="4"/>
    <n v="6192.3739999999998"/>
    <n v="6214.2150000000001"/>
    <n v="6188.1120000000001"/>
    <n v="6209.9530000000004"/>
    <n v="5326000944.8699999"/>
    <n v="17170"/>
  </r>
  <r>
    <s v="DOLFUT"/>
    <x v="191"/>
    <x v="5"/>
    <n v="6202.4949999999999"/>
    <n v="6203.5609999999997"/>
    <n v="6185.9809999999998"/>
    <n v="6192.3739999999998"/>
    <n v="5719676942.96"/>
    <n v="18465"/>
  </r>
  <r>
    <s v="DOLFUT"/>
    <x v="191"/>
    <x v="6"/>
    <n v="6216.8789999999999"/>
    <n v="6216.8789999999999"/>
    <n v="6200.8969999999999"/>
    <n v="6204.0940000000001"/>
    <n v="3929645330.4200001"/>
    <n v="12660"/>
  </r>
  <r>
    <s v="DOLFUT"/>
    <x v="191"/>
    <x v="7"/>
    <n v="6211.5519999999997"/>
    <n v="6225.9350000000004"/>
    <n v="6211.0190000000002"/>
    <n v="6216.3459999999995"/>
    <n v="5501933689.79"/>
    <n v="17690"/>
  </r>
  <r>
    <s v="DOLFUT"/>
    <x v="191"/>
    <x v="8"/>
    <n v="6205.1589999999997"/>
    <n v="6213.683"/>
    <n v="6204.6260000000002"/>
    <n v="6211.0190000000002"/>
    <n v="2727237292.52"/>
    <n v="8785"/>
  </r>
  <r>
    <s v="DOLFUT"/>
    <x v="191"/>
    <x v="9"/>
    <n v="6193.9719999999998"/>
    <n v="6208.3549999999996"/>
    <n v="6192.3739999999998"/>
    <n v="6206.2240000000002"/>
    <n v="3926039727.1199999"/>
    <n v="12665"/>
  </r>
  <r>
    <s v="DOLFUT"/>
    <x v="191"/>
    <x v="10"/>
    <n v="6181.1859999999997"/>
    <n v="6194.5050000000001"/>
    <n v="6176.9250000000002"/>
    <n v="6192.9059999999999"/>
    <n v="4291810888.7399998"/>
    <n v="13875"/>
  </r>
  <r>
    <s v="DOLFUT"/>
    <x v="191"/>
    <x v="11"/>
    <n v="6165.7370000000001"/>
    <n v="6184.9160000000002"/>
    <n v="6152.9520000000002"/>
    <n v="6180.6540000000005"/>
    <n v="5013403675.3299999"/>
    <n v="16250"/>
  </r>
  <r>
    <s v="DOLFUT"/>
    <x v="192"/>
    <x v="12"/>
    <n v="6165.2049999999999"/>
    <n v="6168.4009999999998"/>
    <n v="6155.0829999999996"/>
    <n v="6159.3450000000003"/>
    <n v="2166010947.9000001"/>
    <n v="7030"/>
  </r>
  <r>
    <s v="DOLFUT"/>
    <x v="192"/>
    <x v="13"/>
    <n v="6175.326"/>
    <n v="6177.99"/>
    <n v="6162.5410000000002"/>
    <n v="6164.6719999999996"/>
    <n v="1528632365.02"/>
    <n v="4955"/>
  </r>
  <r>
    <s v="DOLFUT"/>
    <x v="192"/>
    <x v="14"/>
    <n v="6178.5230000000001"/>
    <n v="6180.6540000000005"/>
    <n v="6171.5969999999998"/>
    <n v="6175.326"/>
    <n v="994506311.76999998"/>
    <n v="3220"/>
  </r>
  <r>
    <s v="DOLFUT"/>
    <x v="192"/>
    <x v="15"/>
    <n v="6174.7939999999999"/>
    <n v="6181.1859999999997"/>
    <n v="6173.7280000000001"/>
    <n v="6177.99"/>
    <n v="2740968897.02"/>
    <n v="8875"/>
  </r>
  <r>
    <s v="DOLFUT"/>
    <x v="192"/>
    <x v="16"/>
    <n v="6181.7190000000001"/>
    <n v="6182.2520000000004"/>
    <n v="6173.7280000000001"/>
    <n v="6174.2610000000004"/>
    <n v="2593648178.52"/>
    <n v="8395"/>
  </r>
  <r>
    <s v="DOLFUT"/>
    <x v="192"/>
    <x v="17"/>
    <n v="6174.2610000000004"/>
    <n v="6184.3829999999998"/>
    <n v="6171.5969999999998"/>
    <n v="6182.7849999999999"/>
    <n v="2066851729.5899999"/>
    <n v="6690"/>
  </r>
  <r>
    <s v="DOLFUT"/>
    <x v="192"/>
    <x v="18"/>
    <n v="6179.0559999999996"/>
    <n v="6184.3829999999998"/>
    <n v="6173.1959999999999"/>
    <n v="6174.2610000000004"/>
    <n v="2435998757.6700001"/>
    <n v="7885"/>
  </r>
  <r>
    <s v="DOLFUT"/>
    <x v="192"/>
    <x v="0"/>
    <n v="6174.2610000000004"/>
    <n v="6188.1120000000001"/>
    <n v="6171.0649999999996"/>
    <n v="6178.5230000000001"/>
    <n v="4220230213.9899998"/>
    <n v="13660"/>
  </r>
  <r>
    <s v="DOLFUT"/>
    <x v="192"/>
    <x v="1"/>
    <n v="6166.8029999999999"/>
    <n v="6184.3829999999998"/>
    <n v="6166.8029999999999"/>
    <n v="6174.7939999999999"/>
    <n v="3644825576.5300002"/>
    <n v="11805"/>
  </r>
  <r>
    <s v="DOLFUT"/>
    <x v="192"/>
    <x v="2"/>
    <n v="6168.9340000000002"/>
    <n v="6171.5969999999998"/>
    <n v="6162.5410000000002"/>
    <n v="6166.27"/>
    <n v="2966187587.4699998"/>
    <n v="9620"/>
  </r>
  <r>
    <s v="DOLFUT"/>
    <x v="192"/>
    <x v="3"/>
    <n v="6169.9989999999998"/>
    <n v="6173.7280000000001"/>
    <n v="6164.1390000000001"/>
    <n v="6168.4009999999998"/>
    <n v="2703768974.25"/>
    <n v="8765"/>
  </r>
  <r>
    <s v="DOLFUT"/>
    <x v="192"/>
    <x v="4"/>
    <n v="6179.0559999999996"/>
    <n v="6180.1210000000001"/>
    <n v="6159.8779999999997"/>
    <n v="6170.5320000000002"/>
    <n v="5351297169.3599997"/>
    <n v="17345"/>
  </r>
  <r>
    <s v="DOLFUT"/>
    <x v="192"/>
    <x v="5"/>
    <n v="6199.299"/>
    <n v="6199.299"/>
    <n v="6165.2049999999999"/>
    <n v="6178.5230000000001"/>
    <n v="8227385028.0200005"/>
    <n v="26620"/>
  </r>
  <r>
    <s v="DOLFUT"/>
    <x v="192"/>
    <x v="6"/>
    <n v="6214.7479999999996"/>
    <n v="6222.7389999999996"/>
    <n v="6197.1679999999997"/>
    <n v="6200.3639999999996"/>
    <n v="5003438956.0600004"/>
    <n v="16115"/>
  </r>
  <r>
    <s v="DOLFUT"/>
    <x v="192"/>
    <x v="7"/>
    <n v="6220.6080000000002"/>
    <n v="6223.2719999999999"/>
    <n v="6206.7569999999996"/>
    <n v="6215.8130000000001"/>
    <n v="6497135338.4200001"/>
    <n v="20910"/>
  </r>
  <r>
    <s v="DOLFUT"/>
    <x v="192"/>
    <x v="8"/>
    <n v="6226.4679999999998"/>
    <n v="6232.8609999999999"/>
    <n v="6219.5429999999997"/>
    <n v="6220.6080000000002"/>
    <n v="3937146604.77"/>
    <n v="12650"/>
  </r>
  <r>
    <s v="DOLFUT"/>
    <x v="192"/>
    <x v="9"/>
    <n v="6219.01"/>
    <n v="6233.9260000000004"/>
    <n v="6218.4769999999999"/>
    <n v="6226.4679999999998"/>
    <n v="3906450299.1100001"/>
    <n v="12545"/>
  </r>
  <r>
    <s v="DOLFUT"/>
    <x v="192"/>
    <x v="10"/>
    <n v="6220.0749999999998"/>
    <n v="6224.87"/>
    <n v="6208.8879999999999"/>
    <n v="6219.01"/>
    <n v="5500460177.6199999"/>
    <n v="17685"/>
  </r>
  <r>
    <s v="DOLFUT"/>
    <x v="192"/>
    <x v="11"/>
    <n v="6206.2240000000002"/>
    <n v="6237.6549999999997"/>
    <n v="6206.2240000000002"/>
    <n v="6219.5429999999997"/>
    <n v="4870903967.9499998"/>
    <n v="15655"/>
  </r>
  <r>
    <s v="DOLFUT"/>
    <x v="193"/>
    <x v="12"/>
    <n v="6223.8040000000001"/>
    <n v="6223.8040000000001"/>
    <n v="6213.683"/>
    <n v="6219.01"/>
    <n v="1329233033.1800001"/>
    <n v="4275"/>
  </r>
  <r>
    <s v="DOLFUT"/>
    <x v="193"/>
    <x v="13"/>
    <n v="6221.6729999999998"/>
    <n v="6224.87"/>
    <n v="6217.9440000000004"/>
    <n v="6223.8040000000001"/>
    <n v="1304927806.8800001"/>
    <n v="4195"/>
  </r>
  <r>
    <s v="DOLFUT"/>
    <x v="193"/>
    <x v="14"/>
    <n v="6228.5990000000002"/>
    <n v="6228.5990000000002"/>
    <n v="6204.0940000000001"/>
    <n v="6221.1409999999996"/>
    <n v="4845156393.7799997"/>
    <n v="15585"/>
  </r>
  <r>
    <s v="DOLFUT"/>
    <x v="193"/>
    <x v="15"/>
    <n v="6227.0010000000002"/>
    <n v="6229.6639999999998"/>
    <n v="6223.2719999999999"/>
    <n v="6228.0659999999998"/>
    <n v="1914596796.3099999"/>
    <n v="6150"/>
  </r>
  <r>
    <s v="DOLFUT"/>
    <x v="193"/>
    <x v="16"/>
    <n v="6230.73"/>
    <n v="6231.2619999999997"/>
    <n v="6225.402"/>
    <n v="6227.5330000000004"/>
    <n v="2692410784.46"/>
    <n v="8645"/>
  </r>
  <r>
    <s v="DOLFUT"/>
    <x v="193"/>
    <x v="17"/>
    <n v="6237.6549999999997"/>
    <n v="6238.1880000000001"/>
    <n v="6228.0659999999998"/>
    <n v="6231.2619999999997"/>
    <n v="6043952302.5200005"/>
    <n v="19400"/>
  </r>
  <r>
    <s v="DOLFUT"/>
    <x v="193"/>
    <x v="18"/>
    <n v="6246.1790000000001"/>
    <n v="6250.44"/>
    <n v="6232.3280000000004"/>
    <n v="6237.6549999999997"/>
    <n v="3313261099.6100001"/>
    <n v="10620"/>
  </r>
  <r>
    <s v="DOLFUT"/>
    <x v="193"/>
    <x v="0"/>
    <n v="6232.8609999999999"/>
    <n v="6252.5709999999999"/>
    <n v="6232.8609999999999"/>
    <n v="6246.7110000000002"/>
    <n v="4577653737.3999996"/>
    <n v="14665"/>
  </r>
  <r>
    <s v="DOLFUT"/>
    <x v="193"/>
    <x v="1"/>
    <n v="6246.1790000000001"/>
    <n v="6247.777"/>
    <n v="6230.73"/>
    <n v="6232.3280000000004"/>
    <n v="2336419886.7199998"/>
    <n v="7490"/>
  </r>
  <r>
    <s v="DOLFUT"/>
    <x v="193"/>
    <x v="2"/>
    <n v="6238.1880000000001"/>
    <n v="6248.8419999999996"/>
    <n v="6235.5240000000003"/>
    <n v="6246.7110000000002"/>
    <n v="1864719394.9300001"/>
    <n v="5975"/>
  </r>
  <r>
    <s v="DOLFUT"/>
    <x v="193"/>
    <x v="3"/>
    <n v="6238.7209999999995"/>
    <n v="6251.5060000000003"/>
    <n v="6227.5330000000004"/>
    <n v="6239.7860000000001"/>
    <n v="7064025328.96"/>
    <n v="22650"/>
  </r>
  <r>
    <s v="DOLFUT"/>
    <x v="193"/>
    <x v="4"/>
    <n v="6254.17"/>
    <n v="6262.6930000000002"/>
    <n v="6236.0569999999998"/>
    <n v="6239.2529999999997"/>
    <n v="9501823225.8199997"/>
    <n v="30405"/>
  </r>
  <r>
    <s v="DOLFUT"/>
    <x v="193"/>
    <x v="5"/>
    <n v="6317.5640000000003"/>
    <n v="6322.8909999999996"/>
    <n v="6249.375"/>
    <n v="6254.17"/>
    <n v="9925528560.2099991"/>
    <n v="31535"/>
  </r>
  <r>
    <s v="DOLFUT"/>
    <x v="193"/>
    <x v="6"/>
    <n v="6309.04"/>
    <n v="6322.8909999999996"/>
    <n v="6306.3760000000002"/>
    <n v="6317.0309999999999"/>
    <n v="4793008126.8900003"/>
    <n v="15180"/>
  </r>
  <r>
    <s v="DOLFUT"/>
    <x v="193"/>
    <x v="7"/>
    <n v="6297.8530000000001"/>
    <n v="6313.8339999999998"/>
    <n v="6294.6559999999999"/>
    <n v="6308.5069999999996"/>
    <n v="8057748537.7399998"/>
    <n v="25555"/>
  </r>
  <r>
    <s v="DOLFUT"/>
    <x v="193"/>
    <x v="8"/>
    <n v="6297.32"/>
    <n v="6311.7039999999997"/>
    <n v="6289.8620000000001"/>
    <n v="6298.3860000000004"/>
    <n v="4165065136.0300002"/>
    <n v="13220"/>
  </r>
  <r>
    <s v="DOLFUT"/>
    <x v="193"/>
    <x v="9"/>
    <n v="6274.4129999999996"/>
    <n v="6300.5159999999996"/>
    <n v="6257.366"/>
    <n v="6297.32"/>
    <n v="5750582076.0799999"/>
    <n v="18315"/>
  </r>
  <r>
    <s v="DOLFUT"/>
    <x v="193"/>
    <x v="10"/>
    <n v="6276.0110000000004"/>
    <n v="6280.2730000000001"/>
    <n v="6264.2910000000002"/>
    <n v="6274.4129999999996"/>
    <n v="4462604586.8400002"/>
    <n v="14230"/>
  </r>
  <r>
    <s v="DOLFUT"/>
    <x v="193"/>
    <x v="11"/>
    <n v="6296.7870000000003"/>
    <n v="6305.3109999999997"/>
    <n v="6266.9549999999999"/>
    <n v="6276.5439999999999"/>
    <n v="5255602782.2700005"/>
    <n v="16720"/>
  </r>
  <r>
    <s v="DOLFUT"/>
    <x v="194"/>
    <x v="12"/>
    <n v="6258.4309999999996"/>
    <n v="6260.5619999999999"/>
    <n v="6252.0389999999998"/>
    <n v="6260.5619999999999"/>
    <n v="2762087373.5799999"/>
    <n v="8830"/>
  </r>
  <r>
    <s v="DOLFUT"/>
    <x v="194"/>
    <x v="13"/>
    <n v="6260.0290000000005"/>
    <n v="6263.759"/>
    <n v="6250.973"/>
    <n v="6261.6279999999997"/>
    <n v="1677000417.1900001"/>
    <n v="5360"/>
  </r>
  <r>
    <s v="DOLFUT"/>
    <x v="194"/>
    <x v="14"/>
    <n v="6251.5060000000003"/>
    <n v="6262.6930000000002"/>
    <n v="6251.5060000000003"/>
    <n v="6261.0950000000003"/>
    <n v="1440240679.73"/>
    <n v="4605"/>
  </r>
  <r>
    <s v="DOLFUT"/>
    <x v="194"/>
    <x v="15"/>
    <n v="6255.2349999999997"/>
    <n v="6255.768"/>
    <n v="6247.777"/>
    <n v="6251.5060000000003"/>
    <n v="2092923865.3299999"/>
    <n v="6695"/>
  </r>
  <r>
    <s v="DOLFUT"/>
    <x v="194"/>
    <x v="16"/>
    <n v="6255.2349999999997"/>
    <n v="6258.4309999999996"/>
    <n v="6251.5060000000003"/>
    <n v="6255.768"/>
    <n v="4583539262.5"/>
    <n v="14655"/>
  </r>
  <r>
    <s v="DOLFUT"/>
    <x v="194"/>
    <x v="17"/>
    <n v="6263.759"/>
    <n v="6274.4129999999996"/>
    <n v="6253.6369999999997"/>
    <n v="6255.2349999999997"/>
    <n v="5260947992.9499998"/>
    <n v="16805"/>
  </r>
  <r>
    <s v="DOLFUT"/>
    <x v="194"/>
    <x v="18"/>
    <n v="6253.6369999999997"/>
    <n v="6271.2169999999996"/>
    <n v="6246.1790000000001"/>
    <n v="6263.759"/>
    <n v="5751861810.21"/>
    <n v="18385"/>
  </r>
  <r>
    <s v="DOLFUT"/>
    <x v="194"/>
    <x v="0"/>
    <n v="6241.384"/>
    <n v="6260.0290000000005"/>
    <n v="6240.8509999999997"/>
    <n v="6252.5709999999999"/>
    <n v="7276382618.1400003"/>
    <n v="23280"/>
  </r>
  <r>
    <s v="DOLFUT"/>
    <x v="194"/>
    <x v="1"/>
    <n v="6252.5709999999999"/>
    <n v="6261.0950000000003"/>
    <n v="6231.2619999999997"/>
    <n v="6242.45"/>
    <n v="5017376058.5100002"/>
    <n v="16070"/>
  </r>
  <r>
    <s v="DOLFUT"/>
    <x v="194"/>
    <x v="2"/>
    <n v="6257.366"/>
    <n v="6257.366"/>
    <n v="6245.1130000000003"/>
    <n v="6252.5709999999999"/>
    <n v="2670201557.3000002"/>
    <n v="8545"/>
  </r>
  <r>
    <s v="DOLFUT"/>
    <x v="194"/>
    <x v="3"/>
    <n v="6256.8329999999996"/>
    <n v="6270.1509999999998"/>
    <n v="6253.1040000000003"/>
    <n v="6257.8990000000003"/>
    <n v="3181802744.9299998"/>
    <n v="10165"/>
  </r>
  <r>
    <s v="DOLFUT"/>
    <x v="194"/>
    <x v="4"/>
    <n v="6234.991"/>
    <n v="6267.4880000000003"/>
    <n v="6231.7950000000001"/>
    <n v="6256.8329999999996"/>
    <n v="4031399842.6199999"/>
    <n v="12900"/>
  </r>
  <r>
    <s v="DOLFUT"/>
    <x v="194"/>
    <x v="5"/>
    <n v="6230.73"/>
    <n v="6248.31"/>
    <n v="6230.73"/>
    <n v="6234.4589999999998"/>
    <n v="4520851601.2700005"/>
    <n v="14490"/>
  </r>
  <r>
    <s v="DOLFUT"/>
    <x v="194"/>
    <x v="6"/>
    <n v="6246.1790000000001"/>
    <n v="6252.5709999999999"/>
    <n v="6228.0659999999998"/>
    <n v="6231.2619999999997"/>
    <n v="10690812234.51"/>
    <n v="34265"/>
  </r>
  <r>
    <s v="DOLFUT"/>
    <x v="194"/>
    <x v="7"/>
    <n v="6228.0659999999998"/>
    <n v="6252.0389999999998"/>
    <n v="6225.402"/>
    <n v="6246.1790000000001"/>
    <n v="8566267922.0799999"/>
    <n v="27470"/>
  </r>
  <r>
    <s v="DOLFUT"/>
    <x v="194"/>
    <x v="8"/>
    <n v="6249.375"/>
    <n v="6257.8990000000003"/>
    <n v="6224.87"/>
    <n v="6227.5330000000004"/>
    <n v="6672491676.9200001"/>
    <n v="21385"/>
  </r>
  <r>
    <s v="DOLFUT"/>
    <x v="194"/>
    <x v="9"/>
    <n v="6273.348"/>
    <n v="6273.88"/>
    <n v="6242.982"/>
    <n v="6249.375"/>
    <n v="8834425561.5499992"/>
    <n v="28250"/>
  </r>
  <r>
    <s v="DOLFUT"/>
    <x v="194"/>
    <x v="10"/>
    <n v="6271.2169999999996"/>
    <n v="6290.3950000000004"/>
    <n v="6271.2169999999996"/>
    <n v="6273.348"/>
    <n v="2774919475.0799999"/>
    <n v="8835"/>
  </r>
  <r>
    <s v="DOLFUT"/>
    <x v="194"/>
    <x v="11"/>
    <n v="6285.6"/>
    <n v="6291.9930000000004"/>
    <n v="6266.4219999999996"/>
    <n v="6271.2169999999996"/>
    <n v="5837124812.5799999"/>
    <n v="18605"/>
  </r>
  <r>
    <s v="DOLFUT"/>
    <x v="195"/>
    <x v="12"/>
    <n v="6296.8159999999998"/>
    <n v="6302.7020000000002"/>
    <n v="6281.8329999999996"/>
    <n v="6290.3950000000004"/>
    <n v="1827648063.0799999"/>
    <n v="5810"/>
  </r>
  <r>
    <s v="DOLFUT"/>
    <x v="195"/>
    <x v="13"/>
    <n v="6267.9210000000003"/>
    <n v="6310.7280000000001"/>
    <n v="6263.1059999999998"/>
    <n v="6295.7449999999999"/>
    <n v="5240415523.4300003"/>
    <n v="16670"/>
  </r>
  <r>
    <s v="DOLFUT"/>
    <x v="195"/>
    <x v="14"/>
    <n v="6265.7809999999999"/>
    <n v="6270.5969999999998"/>
    <n v="6259.8950000000004"/>
    <n v="6268.4560000000001"/>
    <n v="2964362138.5799999"/>
    <n v="9460"/>
  </r>
  <r>
    <s v="DOLFUT"/>
    <x v="195"/>
    <x v="15"/>
    <n v="6281.2979999999998"/>
    <n v="6282.3680000000004"/>
    <n v="6264.1760000000004"/>
    <n v="6266.3159999999998"/>
    <n v="3625267865.54"/>
    <n v="11555"/>
  </r>
  <r>
    <s v="DOLFUT"/>
    <x v="195"/>
    <x v="16"/>
    <n v="6276.4830000000002"/>
    <n v="6286.1139999999996"/>
    <n v="6273.2719999999999"/>
    <n v="6281.8329999999996"/>
    <n v="5616325464.4499998"/>
    <n v="17885"/>
  </r>
  <r>
    <s v="DOLFUT"/>
    <x v="195"/>
    <x v="17"/>
    <n v="6282.9040000000005"/>
    <n v="6287.1840000000002"/>
    <n v="6273.2719999999999"/>
    <n v="6276.4830000000002"/>
    <n v="3761346877.8600001"/>
    <n v="11980"/>
  </r>
  <r>
    <s v="DOLFUT"/>
    <x v="195"/>
    <x v="18"/>
    <n v="6286.6490000000003"/>
    <n v="6287.1840000000002"/>
    <n v="6276.4830000000002"/>
    <n v="6283.9740000000002"/>
    <n v="3466016967.6399999"/>
    <n v="11035"/>
  </r>
  <r>
    <s v="DOLFUT"/>
    <x v="195"/>
    <x v="0"/>
    <n v="6297.3509999999997"/>
    <n v="6300.0259999999998"/>
    <n v="6279.1580000000004"/>
    <n v="6286.1139999999996"/>
    <n v="3182673507.21"/>
    <n v="10125"/>
  </r>
  <r>
    <s v="DOLFUT"/>
    <x v="195"/>
    <x v="1"/>
    <n v="6312.3329999999996"/>
    <n v="6312.8680000000004"/>
    <n v="6296.8159999999998"/>
    <n v="6296.8159999999998"/>
    <n v="3418925422.8600001"/>
    <n v="10840"/>
  </r>
  <r>
    <s v="DOLFUT"/>
    <x v="195"/>
    <x v="2"/>
    <n v="6295.7449999999999"/>
    <n v="6315.5429999999997"/>
    <n v="6295.7449999999999"/>
    <n v="6312.3329999999996"/>
    <n v="1725739495.5999999"/>
    <n v="5475"/>
  </r>
  <r>
    <s v="DOLFUT"/>
    <x v="195"/>
    <x v="3"/>
    <n v="6299.491"/>
    <n v="6303.2370000000001"/>
    <n v="6288.7889999999998"/>
    <n v="6295.21"/>
    <n v="2286871354.7800002"/>
    <n v="7265"/>
  </r>
  <r>
    <s v="DOLFUT"/>
    <x v="195"/>
    <x v="4"/>
    <n v="6302.7020000000002"/>
    <n v="6305.9120000000003"/>
    <n v="6289.3249999999998"/>
    <n v="6298.9560000000001"/>
    <n v="2980470038.29"/>
    <n v="9465"/>
  </r>
  <r>
    <s v="DOLFUT"/>
    <x v="195"/>
    <x v="5"/>
    <n v="6314.473"/>
    <n v="6318.2190000000001"/>
    <n v="6297.8860000000004"/>
    <n v="6302.1660000000002"/>
    <n v="3734764127.96"/>
    <n v="11840"/>
  </r>
  <r>
    <s v="DOLFUT"/>
    <x v="195"/>
    <x v="6"/>
    <n v="6327.3149999999996"/>
    <n v="6327.3149999999996"/>
    <n v="6296.8159999999998"/>
    <n v="6315.0079999999998"/>
    <n v="9190230111.7299995"/>
    <n v="29130"/>
  </r>
  <r>
    <s v="DOLFUT"/>
    <x v="195"/>
    <x v="7"/>
    <n v="6315.0079999999998"/>
    <n v="6333.201"/>
    <n v="6315.0079999999998"/>
    <n v="6329.991"/>
    <n v="4711694500.1499996"/>
    <n v="14900"/>
  </r>
  <r>
    <s v="DOLFUT"/>
    <x v="195"/>
    <x v="8"/>
    <n v="6321.4290000000001"/>
    <n v="6331.5959999999995"/>
    <n v="6311.2629999999999"/>
    <n v="6315.0079999999998"/>
    <n v="6964843940.4700003"/>
    <n v="22040"/>
  </r>
  <r>
    <s v="DOLFUT"/>
    <x v="195"/>
    <x v="9"/>
    <n v="6332.6660000000002"/>
    <n v="6336.4120000000003"/>
    <n v="6315.0079999999998"/>
    <n v="6321.9639999999999"/>
    <n v="3582179651.8600001"/>
    <n v="11325"/>
  </r>
  <r>
    <s v="DOLFUT"/>
    <x v="195"/>
    <x v="10"/>
    <n v="6323.0349999999999"/>
    <n v="6335.8760000000002"/>
    <n v="6315.5429999999997"/>
    <n v="6332.1310000000003"/>
    <n v="2875810894.6100001"/>
    <n v="9095"/>
  </r>
  <r>
    <s v="DOLFUT"/>
    <x v="195"/>
    <x v="11"/>
    <n v="6275.9480000000003"/>
    <n v="6372.2619999999997"/>
    <n v="6275.4120000000003"/>
    <n v="6322.4989999999998"/>
    <n v="11404819850.02"/>
    <n v="36055"/>
  </r>
  <r>
    <s v="DOLFUT"/>
    <x v="196"/>
    <x v="12"/>
    <n v="6277.5529999999999"/>
    <n v="6278.0879999999997"/>
    <n v="6260.43"/>
    <n v="6266.3159999999998"/>
    <n v="1080333550.49"/>
    <n v="3445"/>
  </r>
  <r>
    <s v="DOLFUT"/>
    <x v="196"/>
    <x v="13"/>
    <n v="6279.6930000000002"/>
    <n v="6285.5789999999997"/>
    <n v="6275.9480000000003"/>
    <n v="6279.1580000000004"/>
    <n v="3631978966.48"/>
    <n v="11565"/>
  </r>
  <r>
    <s v="DOLFUT"/>
    <x v="196"/>
    <x v="14"/>
    <n v="6281.8329999999996"/>
    <n v="6285.0439999999999"/>
    <n v="6274.8770000000004"/>
    <n v="6279.6930000000002"/>
    <n v="5242285626.3100004"/>
    <n v="16695"/>
  </r>
  <r>
    <s v="DOLFUT"/>
    <x v="196"/>
    <x v="15"/>
    <n v="6293.6049999999996"/>
    <n v="6295.7449999999999"/>
    <n v="6275.4120000000003"/>
    <n v="6281.2979999999998"/>
    <n v="2537795685.5799999"/>
    <n v="8080"/>
  </r>
  <r>
    <s v="DOLFUT"/>
    <x v="196"/>
    <x v="16"/>
    <n v="6286.1139999999996"/>
    <n v="6301.0959999999995"/>
    <n v="6286.1139999999996"/>
    <n v="6293.6049999999996"/>
    <n v="2385402500.4000001"/>
    <n v="7580"/>
  </r>
  <r>
    <s v="DOLFUT"/>
    <x v="196"/>
    <x v="17"/>
    <n v="6285.0439999999999"/>
    <n v="6287.1840000000002"/>
    <n v="6281.2979999999998"/>
    <n v="6285.0439999999999"/>
    <n v="3732894158.8499999"/>
    <n v="11880"/>
  </r>
  <r>
    <s v="DOLFUT"/>
    <x v="196"/>
    <x v="18"/>
    <n v="6293.07"/>
    <n v="6294.6750000000002"/>
    <n v="6280.2280000000001"/>
    <n v="6285.0439999999999"/>
    <n v="3844228820.6900001"/>
    <n v="12230"/>
  </r>
  <r>
    <s v="DOLFUT"/>
    <x v="196"/>
    <x v="0"/>
    <n v="6287.7190000000001"/>
    <n v="6293.6049999999996"/>
    <n v="6287.7190000000001"/>
    <n v="6293.07"/>
    <n v="2261735459.8600001"/>
    <n v="7190"/>
  </r>
  <r>
    <s v="DOLFUT"/>
    <x v="196"/>
    <x v="1"/>
    <n v="6296.8159999999998"/>
    <n v="6296.8159999999998"/>
    <n v="6280.2280000000001"/>
    <n v="6287.7190000000001"/>
    <n v="4257625495.5700002"/>
    <n v="13545"/>
  </r>
  <r>
    <s v="DOLFUT"/>
    <x v="196"/>
    <x v="2"/>
    <n v="6288.2539999999999"/>
    <n v="6297.8860000000004"/>
    <n v="6287.1840000000002"/>
    <n v="6297.8860000000004"/>
    <n v="4632458990.3800001"/>
    <n v="14720"/>
  </r>
  <r>
    <s v="DOLFUT"/>
    <x v="196"/>
    <x v="3"/>
    <n v="6283.4390000000003"/>
    <n v="6289.86"/>
    <n v="6273.2719999999999"/>
    <n v="6286.6490000000003"/>
    <n v="3117811303.1700001"/>
    <n v="9925"/>
  </r>
  <r>
    <s v="DOLFUT"/>
    <x v="196"/>
    <x v="4"/>
    <n v="6264.7110000000002"/>
    <n v="6289.3249999999998"/>
    <n v="6255.0789999999997"/>
    <n v="6282.9040000000005"/>
    <n v="5762942065.0299997"/>
    <n v="18385"/>
  </r>
  <r>
    <s v="DOLFUT"/>
    <x v="196"/>
    <x v="5"/>
    <n v="6268.9920000000002"/>
    <n v="6276.4830000000002"/>
    <n v="6264.7110000000002"/>
    <n v="6265.7809999999999"/>
    <n v="3212074654.6500001"/>
    <n v="10245"/>
  </r>
  <r>
    <s v="DOLFUT"/>
    <x v="196"/>
    <x v="6"/>
    <n v="6283.4390000000003"/>
    <n v="6289.86"/>
    <n v="6267.3860000000004"/>
    <n v="6268.9920000000002"/>
    <n v="3497000345.1700001"/>
    <n v="11140"/>
  </r>
  <r>
    <s v="DOLFUT"/>
    <x v="196"/>
    <x v="7"/>
    <n v="6294.14"/>
    <n v="6298.9560000000001"/>
    <n v="6282.9040000000005"/>
    <n v="6283.9740000000002"/>
    <n v="4689512779.1899996"/>
    <n v="14910"/>
  </r>
  <r>
    <s v="DOLFUT"/>
    <x v="196"/>
    <x v="8"/>
    <n v="6268.4560000000001"/>
    <n v="6304.3069999999998"/>
    <n v="6264.1760000000004"/>
    <n v="6295.21"/>
    <n v="7792283800.04"/>
    <n v="24790"/>
  </r>
  <r>
    <s v="DOLFUT"/>
    <x v="196"/>
    <x v="9"/>
    <n v="6257.7550000000001"/>
    <n v="6274.3419999999996"/>
    <n v="6255.6149999999998"/>
    <n v="6268.4560000000001"/>
    <n v="5412382719.5799999"/>
    <n v="17280"/>
  </r>
  <r>
    <s v="DOLFUT"/>
    <x v="196"/>
    <x v="10"/>
    <n v="6273.8069999999998"/>
    <n v="6279.1580000000004"/>
    <n v="6256.6850000000004"/>
    <n v="6256.6850000000004"/>
    <n v="7125546375.3100004"/>
    <n v="22740"/>
  </r>
  <r>
    <s v="DOLFUT"/>
    <x v="196"/>
    <x v="11"/>
    <n v="6277.5529999999999"/>
    <n v="6289.86"/>
    <n v="6265.7809999999999"/>
    <n v="6274.3419999999996"/>
    <n v="4489551159.6300001"/>
    <n v="14305"/>
  </r>
  <r>
    <s v="DOLFUT"/>
    <x v="197"/>
    <x v="12"/>
    <n v="6283.4390000000003"/>
    <n v="6285.0439999999999"/>
    <n v="6270.0619999999999"/>
    <n v="6270.0619999999999"/>
    <n v="2104687082.98"/>
    <n v="6705"/>
  </r>
  <r>
    <s v="DOLFUT"/>
    <x v="197"/>
    <x v="13"/>
    <n v="6283.4390000000003"/>
    <n v="6283.9740000000002"/>
    <n v="6277.5529999999999"/>
    <n v="6283.4390000000003"/>
    <n v="737988745.63"/>
    <n v="2350"/>
  </r>
  <r>
    <s v="DOLFUT"/>
    <x v="197"/>
    <x v="14"/>
    <n v="6285.5789999999997"/>
    <n v="6289.3249999999998"/>
    <n v="6280.7629999999999"/>
    <n v="6284.509"/>
    <n v="1201929833.3399999"/>
    <n v="3825"/>
  </r>
  <r>
    <s v="DOLFUT"/>
    <x v="197"/>
    <x v="15"/>
    <n v="6287.1840000000002"/>
    <n v="6288.7889999999998"/>
    <n v="6283.9740000000002"/>
    <n v="6284.509"/>
    <n v="1595133410.25"/>
    <n v="5075"/>
  </r>
  <r>
    <s v="DOLFUT"/>
    <x v="197"/>
    <x v="16"/>
    <n v="6281.2979999999998"/>
    <n v="6288.7889999999998"/>
    <n v="6280.2280000000001"/>
    <n v="6288.2539999999999"/>
    <n v="5072140910.9499998"/>
    <n v="16145"/>
  </r>
  <r>
    <s v="DOLFUT"/>
    <x v="197"/>
    <x v="17"/>
    <n v="6275.9480000000003"/>
    <n v="6287.1840000000002"/>
    <n v="6273.2719999999999"/>
    <n v="6281.8329999999996"/>
    <n v="3783244605.3699999"/>
    <n v="12050"/>
  </r>
  <r>
    <s v="DOLFUT"/>
    <x v="197"/>
    <x v="18"/>
    <n v="6284.509"/>
    <n v="6288.2539999999999"/>
    <n v="6272.2020000000002"/>
    <n v="6275.9480000000003"/>
    <n v="3081714973.4000001"/>
    <n v="9815"/>
  </r>
  <r>
    <s v="DOLFUT"/>
    <x v="197"/>
    <x v="0"/>
    <n v="6279.6930000000002"/>
    <n v="6290.3950000000004"/>
    <n v="6279.6930000000002"/>
    <n v="6284.509"/>
    <n v="2863464068.7600002"/>
    <n v="9110"/>
  </r>
  <r>
    <s v="DOLFUT"/>
    <x v="197"/>
    <x v="1"/>
    <n v="6275.9480000000003"/>
    <n v="6281.2979999999998"/>
    <n v="6272.2020000000002"/>
    <n v="6279.6930000000002"/>
    <n v="2816625482.8200002"/>
    <n v="8975"/>
  </r>
  <r>
    <s v="DOLFUT"/>
    <x v="197"/>
    <x v="2"/>
    <n v="6283.9740000000002"/>
    <n v="6290.3950000000004"/>
    <n v="6274.8770000000004"/>
    <n v="6275.4120000000003"/>
    <n v="2111163551.5599999"/>
    <n v="6720"/>
  </r>
  <r>
    <s v="DOLFUT"/>
    <x v="197"/>
    <x v="3"/>
    <n v="6292"/>
    <n v="6292.5349999999999"/>
    <n v="6279.1580000000004"/>
    <n v="6284.509"/>
    <n v="2679683654.79"/>
    <n v="8525"/>
  </r>
  <r>
    <s v="DOLFUT"/>
    <x v="197"/>
    <x v="4"/>
    <n v="6290.3950000000004"/>
    <n v="6296.2809999999999"/>
    <n v="6283.9740000000002"/>
    <n v="6292.5349999999999"/>
    <n v="2719129047.1900001"/>
    <n v="8645"/>
  </r>
  <r>
    <s v="DOLFUT"/>
    <x v="197"/>
    <x v="5"/>
    <n v="6301.0959999999995"/>
    <n v="6301.0959999999995"/>
    <n v="6283.4390000000003"/>
    <n v="6289.3249999999998"/>
    <n v="6383811805.5900002"/>
    <n v="20285"/>
  </r>
  <r>
    <s v="DOLFUT"/>
    <x v="197"/>
    <x v="6"/>
    <n v="6308.5870000000004"/>
    <n v="6309.1220000000003"/>
    <n v="6298.9560000000001"/>
    <n v="6301.0959999999995"/>
    <n v="4667609032.04"/>
    <n v="14810"/>
  </r>
  <r>
    <s v="DOLFUT"/>
    <x v="197"/>
    <x v="7"/>
    <n v="6329.4549999999999"/>
    <n v="6329.4549999999999"/>
    <n v="6305.9120000000003"/>
    <n v="6309.1220000000003"/>
    <n v="3389454447.5500002"/>
    <n v="10730"/>
  </r>
  <r>
    <s v="DOLFUT"/>
    <x v="197"/>
    <x v="8"/>
    <n v="6325.71"/>
    <n v="6335.8760000000002"/>
    <n v="6321.9639999999999"/>
    <n v="6329.991"/>
    <n v="3959258741.5999999"/>
    <n v="12510"/>
  </r>
  <r>
    <s v="DOLFUT"/>
    <x v="197"/>
    <x v="9"/>
    <n v="6326.2449999999999"/>
    <n v="6335.3410000000003"/>
    <n v="6320.3590000000004"/>
    <n v="6325.71"/>
    <n v="5196456869.1700001"/>
    <n v="16425"/>
  </r>
  <r>
    <s v="DOLFUT"/>
    <x v="197"/>
    <x v="10"/>
    <n v="6333.201"/>
    <n v="6340.1570000000002"/>
    <n v="6313.9380000000001"/>
    <n v="6327.3149999999996"/>
    <n v="3237306195.02"/>
    <n v="10235"/>
  </r>
  <r>
    <s v="DOLFUT"/>
    <x v="197"/>
    <x v="11"/>
    <n v="6329.991"/>
    <n v="6339.6220000000003"/>
    <n v="6323.57"/>
    <n v="6333.201"/>
    <n v="2269877095.8699999"/>
    <n v="7170"/>
  </r>
  <r>
    <s v="DOLFUT"/>
    <x v="198"/>
    <x v="12"/>
    <n v="6327.85"/>
    <n v="6327.85"/>
    <n v="6312.3329999999996"/>
    <n v="6313.9380000000001"/>
    <n v="1102355416.45"/>
    <n v="3490"/>
  </r>
  <r>
    <s v="DOLFUT"/>
    <x v="198"/>
    <x v="13"/>
    <n v="6319.8239999999996"/>
    <n v="6328.3850000000002"/>
    <n v="6317.1490000000003"/>
    <n v="6328.3850000000002"/>
    <n v="2120530519.6400001"/>
    <n v="6710"/>
  </r>
  <r>
    <s v="DOLFUT"/>
    <x v="198"/>
    <x v="14"/>
    <n v="6334.2709999999997"/>
    <n v="6334.8059999999996"/>
    <n v="6312.8680000000004"/>
    <n v="6319.8239999999996"/>
    <n v="1924998957.0799999"/>
    <n v="6090"/>
  </r>
  <r>
    <s v="DOLFUT"/>
    <x v="198"/>
    <x v="15"/>
    <n v="6333.201"/>
    <n v="6336.4120000000003"/>
    <n v="6331.0609999999997"/>
    <n v="6333.7359999999999"/>
    <n v="1721046045.71"/>
    <n v="5435"/>
  </r>
  <r>
    <s v="DOLFUT"/>
    <x v="198"/>
    <x v="16"/>
    <n v="6334.8059999999996"/>
    <n v="6338.0169999999998"/>
    <n v="6329.991"/>
    <n v="6332.6660000000002"/>
    <n v="1783040089.8299999"/>
    <n v="5630"/>
  </r>
  <r>
    <s v="DOLFUT"/>
    <x v="198"/>
    <x v="17"/>
    <n v="6329.4549999999999"/>
    <n v="6336.9470000000001"/>
    <n v="6327.85"/>
    <n v="6334.2709999999997"/>
    <n v="2111992791.03"/>
    <n v="6670"/>
  </r>
  <r>
    <s v="DOLFUT"/>
    <x v="198"/>
    <x v="18"/>
    <n v="6332.1310000000003"/>
    <n v="6332.6660000000002"/>
    <n v="6318.2190000000001"/>
    <n v="6329.991"/>
    <n v="3322564158.4000001"/>
    <n v="10505"/>
  </r>
  <r>
    <s v="DOLFUT"/>
    <x v="198"/>
    <x v="0"/>
    <n v="6329.991"/>
    <n v="6338.0169999999998"/>
    <n v="6329.991"/>
    <n v="6331.5959999999995"/>
    <n v="2194332297.0100002"/>
    <n v="6930"/>
  </r>
  <r>
    <s v="DOLFUT"/>
    <x v="198"/>
    <x v="1"/>
    <n v="6337.482"/>
    <n v="6347.1130000000003"/>
    <n v="6325.71"/>
    <n v="6329.991"/>
    <n v="4254140522.7399998"/>
    <n v="13430"/>
  </r>
  <r>
    <s v="DOLFUT"/>
    <x v="198"/>
    <x v="2"/>
    <n v="6343.3680000000004"/>
    <n v="6346.0429999999997"/>
    <n v="6334.8059999999996"/>
    <n v="6337.482"/>
    <n v="1567927292.72"/>
    <n v="4945"/>
  </r>
  <r>
    <s v="DOLFUT"/>
    <x v="198"/>
    <x v="3"/>
    <n v="6355.674"/>
    <n v="6364.7709999999997"/>
    <n v="6340.692"/>
    <n v="6343.3680000000004"/>
    <n v="3941182819.4699998"/>
    <n v="12410"/>
  </r>
  <r>
    <s v="DOLFUT"/>
    <x v="198"/>
    <x v="4"/>
    <n v="6350.3239999999996"/>
    <n v="6365.3059999999996"/>
    <n v="6350.3239999999996"/>
    <n v="6355.674"/>
    <n v="3157643022.96"/>
    <n v="9930"/>
  </r>
  <r>
    <s v="DOLFUT"/>
    <x v="198"/>
    <x v="5"/>
    <n v="6343.3680000000004"/>
    <n v="6354.6040000000003"/>
    <n v="6342.8320000000003"/>
    <n v="6349.7889999999998"/>
    <n v="4007212567"/>
    <n v="12620"/>
  </r>
  <r>
    <s v="DOLFUT"/>
    <x v="198"/>
    <x v="6"/>
    <n v="6342.2969999999996"/>
    <n v="6359.9549999999999"/>
    <n v="6339.0870000000004"/>
    <n v="6343.9030000000002"/>
    <n v="4227674420.1700001"/>
    <n v="13320"/>
  </r>
  <r>
    <s v="DOLFUT"/>
    <x v="198"/>
    <x v="7"/>
    <n v="6334.2709999999997"/>
    <n v="6344.4380000000001"/>
    <n v="6329.991"/>
    <n v="6342.2969999999996"/>
    <n v="4103439526.5"/>
    <n v="12950"/>
  </r>
  <r>
    <s v="DOLFUT"/>
    <x v="198"/>
    <x v="8"/>
    <n v="6341.7619999999997"/>
    <n v="6342.2969999999996"/>
    <n v="6323.0349999999999"/>
    <n v="6334.8059999999996"/>
    <n v="4623681813.6899996"/>
    <n v="14600"/>
  </r>
  <r>
    <s v="DOLFUT"/>
    <x v="198"/>
    <x v="9"/>
    <n v="6356.7449999999999"/>
    <n v="6358.8850000000002"/>
    <n v="6331.0609999999997"/>
    <n v="6342.2969999999996"/>
    <n v="6297235272.5299997"/>
    <n v="19855"/>
  </r>
  <r>
    <s v="DOLFUT"/>
    <x v="198"/>
    <x v="10"/>
    <n v="6371.192"/>
    <n v="6371.7269999999999"/>
    <n v="6352.4639999999999"/>
    <n v="6356.7449999999999"/>
    <n v="4750609896.29"/>
    <n v="14940"/>
  </r>
  <r>
    <s v="DOLFUT"/>
    <x v="198"/>
    <x v="11"/>
    <n v="6370.6570000000002"/>
    <n v="6379.7529999999997"/>
    <n v="6348.183"/>
    <n v="6370.1220000000003"/>
    <n v="4251038800.6100001"/>
    <n v="13355"/>
  </r>
  <r>
    <s v="DOLFUT"/>
    <x v="199"/>
    <x v="12"/>
    <n v="6338.0169999999998"/>
    <n v="6342.8320000000003"/>
    <n v="6329.991"/>
    <n v="6332.6660000000002"/>
    <n v="1340380719.3399999"/>
    <n v="4230"/>
  </r>
  <r>
    <s v="DOLFUT"/>
    <x v="199"/>
    <x v="13"/>
    <n v="6340.692"/>
    <n v="6340.692"/>
    <n v="6333.7359999999999"/>
    <n v="6338.0169999999998"/>
    <n v="906184567.64999998"/>
    <n v="2860"/>
  </r>
  <r>
    <s v="DOLFUT"/>
    <x v="199"/>
    <x v="14"/>
    <n v="6341.2269999999999"/>
    <n v="6344.4380000000001"/>
    <n v="6338.0169999999998"/>
    <n v="6341.2269999999999"/>
    <n v="2040298825.5999999"/>
    <n v="6435"/>
  </r>
  <r>
    <s v="DOLFUT"/>
    <x v="199"/>
    <x v="15"/>
    <n v="6333.201"/>
    <n v="6348.7179999999998"/>
    <n v="6331.5959999999995"/>
    <n v="6340.692"/>
    <n v="3687983865.6900001"/>
    <n v="11630"/>
  </r>
  <r>
    <s v="DOLFUT"/>
    <x v="199"/>
    <x v="16"/>
    <n v="6326.78"/>
    <n v="6336.9470000000001"/>
    <n v="6325.1750000000002"/>
    <n v="6333.7359999999999"/>
    <n v="1814910361.6500001"/>
    <n v="5735"/>
  </r>
  <r>
    <s v="DOLFUT"/>
    <x v="199"/>
    <x v="17"/>
    <n v="6320.8940000000002"/>
    <n v="6328.3850000000002"/>
    <n v="6316.6139999999996"/>
    <n v="6327.85"/>
    <n v="2181081855.6399999"/>
    <n v="6900"/>
  </r>
  <r>
    <s v="DOLFUT"/>
    <x v="199"/>
    <x v="18"/>
    <n v="6318.2190000000001"/>
    <n v="6323.0349999999999"/>
    <n v="6312.3329999999996"/>
    <n v="6320.8940000000002"/>
    <n v="3239993899.3800001"/>
    <n v="10260"/>
  </r>
  <r>
    <s v="DOLFUT"/>
    <x v="199"/>
    <x v="0"/>
    <n v="6305.3770000000004"/>
    <n v="6318.7539999999999"/>
    <n v="6302.7020000000002"/>
    <n v="6318.2190000000001"/>
    <n v="3329659847.7399998"/>
    <n v="10550"/>
  </r>
  <r>
    <s v="DOLFUT"/>
    <x v="199"/>
    <x v="1"/>
    <n v="6302.1660000000002"/>
    <n v="6308.0519999999997"/>
    <n v="6297.8860000000004"/>
    <n v="6305.9120000000003"/>
    <n v="1823224293.25"/>
    <n v="5785"/>
  </r>
  <r>
    <s v="DOLFUT"/>
    <x v="199"/>
    <x v="2"/>
    <n v="6294.6750000000002"/>
    <n v="6306.4470000000001"/>
    <n v="6287.7190000000001"/>
    <n v="6301.6310000000003"/>
    <n v="3060498669.6500001"/>
    <n v="9720"/>
  </r>
  <r>
    <s v="DOLFUT"/>
    <x v="199"/>
    <x v="3"/>
    <n v="6305.3770000000004"/>
    <n v="6306.4470000000001"/>
    <n v="6290.93"/>
    <n v="6293.6049999999996"/>
    <n v="3213904894.0999999"/>
    <n v="10205"/>
  </r>
  <r>
    <s v="DOLFUT"/>
    <x v="199"/>
    <x v="4"/>
    <n v="6298.9560000000001"/>
    <n v="6309.1220000000003"/>
    <n v="6296.2809999999999"/>
    <n v="6305.3770000000004"/>
    <n v="4259849954.8499999"/>
    <n v="13515"/>
  </r>
  <r>
    <s v="DOLFUT"/>
    <x v="199"/>
    <x v="5"/>
    <n v="6311.7979999999998"/>
    <n v="6314.473"/>
    <n v="6286.6490000000003"/>
    <n v="6298.9560000000001"/>
    <n v="8234242617.6800003"/>
    <n v="26120"/>
  </r>
  <r>
    <s v="DOLFUT"/>
    <x v="199"/>
    <x v="6"/>
    <n v="6313.4030000000002"/>
    <n v="6313.4030000000002"/>
    <n v="6299.491"/>
    <n v="6312.3329999999996"/>
    <n v="4756347687.6099997"/>
    <n v="15080"/>
  </r>
  <r>
    <s v="DOLFUT"/>
    <x v="199"/>
    <x v="7"/>
    <n v="6300.5609999999997"/>
    <n v="6323.0349999999999"/>
    <n v="6299.491"/>
    <n v="6312.8680000000004"/>
    <n v="4903864425.6999998"/>
    <n v="15535"/>
  </r>
  <r>
    <s v="DOLFUT"/>
    <x v="199"/>
    <x v="8"/>
    <n v="6298.4210000000003"/>
    <n v="6310.7280000000001"/>
    <n v="6292.5349999999999"/>
    <n v="6301.0959999999995"/>
    <n v="3942654020.5700002"/>
    <n v="12515"/>
  </r>
  <r>
    <s v="DOLFUT"/>
    <x v="199"/>
    <x v="9"/>
    <n v="6321.9639999999999"/>
    <n v="6334.8059999999996"/>
    <n v="6294.6750000000002"/>
    <n v="6297.8860000000004"/>
    <n v="7302799220.6000004"/>
    <n v="23125"/>
  </r>
  <r>
    <s v="DOLFUT"/>
    <x v="199"/>
    <x v="10"/>
    <n v="6318.2190000000001"/>
    <n v="6334.8059999999996"/>
    <n v="6317.1490000000003"/>
    <n v="6321.4290000000001"/>
    <n v="4884975316.4899998"/>
    <n v="15445"/>
  </r>
  <r>
    <s v="DOLFUT"/>
    <x v="199"/>
    <x v="11"/>
    <n v="6324.64"/>
    <n v="6336.9470000000001"/>
    <n v="6307.5169999999998"/>
    <n v="6318.2190000000001"/>
    <n v="5357222978.46"/>
    <n v="16940"/>
  </r>
  <r>
    <s v="DOLFUT"/>
    <x v="200"/>
    <x v="12"/>
    <n v="6350.8590000000004"/>
    <n v="6351.9290000000001"/>
    <n v="6344.4380000000001"/>
    <n v="6350.3239999999996"/>
    <n v="996772591.76999998"/>
    <n v="3140"/>
  </r>
  <r>
    <s v="DOLFUT"/>
    <x v="200"/>
    <x v="13"/>
    <n v="6351.9290000000001"/>
    <n v="6363.701"/>
    <n v="6340.1570000000002"/>
    <n v="6349.7889999999998"/>
    <n v="2716884656.1999998"/>
    <n v="8555"/>
  </r>
  <r>
    <s v="DOLFUT"/>
    <x v="200"/>
    <x v="14"/>
    <n v="6350.3239999999996"/>
    <n v="6354.6040000000003"/>
    <n v="6344.4380000000001"/>
    <n v="6352.4639999999999"/>
    <n v="2924173119.4499998"/>
    <n v="9210"/>
  </r>
  <r>
    <s v="DOLFUT"/>
    <x v="200"/>
    <x v="15"/>
    <n v="6341.2269999999999"/>
    <n v="6358.35"/>
    <n v="6339.6220000000003"/>
    <n v="6350.8590000000004"/>
    <n v="3586810229.9099998"/>
    <n v="11295"/>
  </r>
  <r>
    <s v="DOLFUT"/>
    <x v="200"/>
    <x v="16"/>
    <n v="6332.6660000000002"/>
    <n v="6354.6040000000003"/>
    <n v="6331.0609999999997"/>
    <n v="6341.2269999999999"/>
    <n v="4222022642.8800001"/>
    <n v="13315"/>
  </r>
  <r>
    <s v="DOLFUT"/>
    <x v="200"/>
    <x v="17"/>
    <n v="6313.9380000000001"/>
    <n v="6333.7359999999999"/>
    <n v="6313.9380000000001"/>
    <n v="6333.201"/>
    <n v="4315682558.4499998"/>
    <n v="13650"/>
  </r>
  <r>
    <s v="DOLFUT"/>
    <x v="200"/>
    <x v="18"/>
    <n v="6307.5169999999998"/>
    <n v="6315.5429999999997"/>
    <n v="6305.3770000000004"/>
    <n v="6313.9380000000001"/>
    <n v="4327007783.75"/>
    <n v="13715"/>
  </r>
  <r>
    <s v="DOLFUT"/>
    <x v="200"/>
    <x v="0"/>
    <n v="6322.4989999999998"/>
    <n v="6325.1750000000002"/>
    <n v="6295.7449999999999"/>
    <n v="6308.0519999999997"/>
    <n v="6634979998.8800001"/>
    <n v="21030"/>
  </r>
  <r>
    <s v="DOLFUT"/>
    <x v="200"/>
    <x v="1"/>
    <n v="6331.0609999999997"/>
    <n v="6333.7359999999999"/>
    <n v="6320.8940000000002"/>
    <n v="6321.9639999999999"/>
    <n v="4112004410.4000001"/>
    <n v="13000"/>
  </r>
  <r>
    <s v="DOLFUT"/>
    <x v="200"/>
    <x v="2"/>
    <n v="6343.3680000000004"/>
    <n v="6343.3680000000004"/>
    <n v="6323.57"/>
    <n v="6331.5959999999995"/>
    <n v="4497512875.1499996"/>
    <n v="14195"/>
  </r>
  <r>
    <s v="DOLFUT"/>
    <x v="200"/>
    <x v="3"/>
    <n v="6344.973"/>
    <n v="6356.7449999999999"/>
    <n v="6332.6660000000002"/>
    <n v="6342.8320000000003"/>
    <n v="4445322825.29"/>
    <n v="14010"/>
  </r>
  <r>
    <s v="DOLFUT"/>
    <x v="200"/>
    <x v="4"/>
    <n v="6340.1570000000002"/>
    <n v="6349.7889999999998"/>
    <n v="6335.3410000000003"/>
    <n v="6344.4380000000001"/>
    <n v="2558445741.4400001"/>
    <n v="8065"/>
  </r>
  <r>
    <s v="DOLFUT"/>
    <x v="200"/>
    <x v="5"/>
    <n v="6369.0510000000004"/>
    <n v="6370.1220000000003"/>
    <n v="6339.0870000000004"/>
    <n v="6339.6220000000003"/>
    <n v="5729729680.0500002"/>
    <n v="18030"/>
  </r>
  <r>
    <s v="DOLFUT"/>
    <x v="200"/>
    <x v="6"/>
    <n v="6378.683"/>
    <n v="6380.8230000000003"/>
    <n v="6364.2359999999999"/>
    <n v="6369.5860000000002"/>
    <n v="5024866770.29"/>
    <n v="15765"/>
  </r>
  <r>
    <s v="DOLFUT"/>
    <x v="200"/>
    <x v="7"/>
    <n v="6374.402"/>
    <n v="6383.4989999999998"/>
    <n v="6371.7269999999999"/>
    <n v="6379.2179999999998"/>
    <n v="3459989564.5300002"/>
    <n v="10850"/>
  </r>
  <r>
    <s v="DOLFUT"/>
    <x v="200"/>
    <x v="8"/>
    <n v="6381.3580000000002"/>
    <n v="6386.7089999999998"/>
    <n v="6367.4459999999999"/>
    <n v="6375.4719999999998"/>
    <n v="4038907198.9699998"/>
    <n v="12670"/>
  </r>
  <r>
    <s v="DOLFUT"/>
    <x v="200"/>
    <x v="9"/>
    <n v="6388.8490000000002"/>
    <n v="6393.13"/>
    <n v="6372.2619999999997"/>
    <n v="6380.2879999999996"/>
    <n v="6576814849.9300003"/>
    <n v="20610"/>
  </r>
  <r>
    <s v="DOLFUT"/>
    <x v="200"/>
    <x v="10"/>
    <n v="6390.4549999999999"/>
    <n v="6400.0860000000002"/>
    <n v="6383.4989999999998"/>
    <n v="6388.8490000000002"/>
    <n v="5164651074.4300003"/>
    <n v="16160"/>
  </r>
  <r>
    <s v="DOLFUT"/>
    <x v="200"/>
    <x v="11"/>
    <n v="6370.6570000000002"/>
    <n v="6392.06"/>
    <n v="6365.8410000000003"/>
    <n v="6390.99"/>
    <n v="8047422952.1099997"/>
    <n v="25215"/>
  </r>
  <r>
    <s v="DOLFUT"/>
    <x v="201"/>
    <x v="12"/>
    <n v="6370.1220000000003"/>
    <n v="6374.9369999999999"/>
    <n v="6367.4459999999999"/>
    <n v="6369.5860000000002"/>
    <n v="1696204310.75"/>
    <n v="5325"/>
  </r>
  <r>
    <s v="DOLFUT"/>
    <x v="201"/>
    <x v="13"/>
    <n v="6367.9809999999998"/>
    <n v="6371.192"/>
    <n v="6366.3760000000002"/>
    <n v="6369.5860000000002"/>
    <n v="1695781731.71"/>
    <n v="5325"/>
  </r>
  <r>
    <s v="DOLFUT"/>
    <x v="201"/>
    <x v="14"/>
    <n v="6374.9369999999999"/>
    <n v="6374.9369999999999"/>
    <n v="6366.9110000000001"/>
    <n v="6367.4459999999999"/>
    <n v="1157822694.51"/>
    <n v="3635"/>
  </r>
  <r>
    <s v="DOLFUT"/>
    <x v="201"/>
    <x v="15"/>
    <n v="6367.4459999999999"/>
    <n v="6374.402"/>
    <n v="6365.3059999999996"/>
    <n v="6374.402"/>
    <n v="2049617904.0599999"/>
    <n v="6435"/>
  </r>
  <r>
    <s v="DOLFUT"/>
    <x v="201"/>
    <x v="16"/>
    <n v="6357.28"/>
    <n v="6369.5860000000002"/>
    <n v="6357.28"/>
    <n v="6366.3760000000002"/>
    <n v="5033740261.3000002"/>
    <n v="15815"/>
  </r>
  <r>
    <s v="DOLFUT"/>
    <x v="201"/>
    <x v="17"/>
    <n v="6356.7449999999999"/>
    <n v="6363.165"/>
    <n v="6353.5339999999997"/>
    <n v="6357.28"/>
    <n v="6061601908.8000002"/>
    <n v="19065"/>
  </r>
  <r>
    <s v="DOLFUT"/>
    <x v="201"/>
    <x v="18"/>
    <n v="6362.63"/>
    <n v="6363.701"/>
    <n v="6354.6040000000003"/>
    <n v="6356.7449999999999"/>
    <n v="4249428880.1399999"/>
    <n v="13365"/>
  </r>
  <r>
    <s v="DOLFUT"/>
    <x v="201"/>
    <x v="0"/>
    <n v="6350.3239999999996"/>
    <n v="6365.8410000000003"/>
    <n v="6347.6480000000001"/>
    <n v="6362.0950000000003"/>
    <n v="4325749945.6000004"/>
    <n v="13610"/>
  </r>
  <r>
    <s v="DOLFUT"/>
    <x v="201"/>
    <x v="1"/>
    <n v="6350.3239999999996"/>
    <n v="6359.42"/>
    <n v="6348.7179999999998"/>
    <n v="6349.7889999999998"/>
    <n v="2517442866.3800001"/>
    <n v="7925"/>
  </r>
  <r>
    <s v="DOLFUT"/>
    <x v="201"/>
    <x v="2"/>
    <n v="6358.8850000000002"/>
    <n v="6361.56"/>
    <n v="6341.2269999999999"/>
    <n v="6350.8590000000004"/>
    <n v="12387864843.27"/>
    <n v="38985"/>
  </r>
  <r>
    <s v="DOLFUT"/>
    <x v="201"/>
    <x v="3"/>
    <n v="6369.0510000000004"/>
    <n v="6372.7969999999996"/>
    <n v="6355.1390000000001"/>
    <n v="6358.8850000000002"/>
    <n v="3644972703.46"/>
    <n v="11455"/>
  </r>
  <r>
    <s v="DOLFUT"/>
    <x v="201"/>
    <x v="4"/>
    <n v="6367.9809999999998"/>
    <n v="6372.7969999999996"/>
    <n v="6362.63"/>
    <n v="6368.5159999999996"/>
    <n v="4897541391.1700001"/>
    <n v="15380"/>
  </r>
  <r>
    <s v="DOLFUT"/>
    <x v="201"/>
    <x v="5"/>
    <n v="6366.3760000000002"/>
    <n v="6372.2619999999997"/>
    <n v="6357.28"/>
    <n v="6368.5159999999996"/>
    <n v="7628072581.3299999"/>
    <n v="23965"/>
  </r>
  <r>
    <s v="DOLFUT"/>
    <x v="201"/>
    <x v="6"/>
    <n v="6413.4629999999997"/>
    <n v="6415.6030000000001"/>
    <n v="6354.0690000000004"/>
    <n v="6366.3760000000002"/>
    <n v="13167317301.190001"/>
    <n v="41225"/>
  </r>
  <r>
    <s v="DOLFUT"/>
    <x v="201"/>
    <x v="7"/>
    <n v="6420.9539999999997"/>
    <n v="6423.6289999999999"/>
    <n v="6409.1819999999998"/>
    <n v="6414.5330000000004"/>
    <n v="7737797456.4700003"/>
    <n v="24110"/>
  </r>
  <r>
    <s v="DOLFUT"/>
    <x v="201"/>
    <x v="8"/>
    <n v="6442.8919999999998"/>
    <n v="6447.7079999999996"/>
    <n v="6417.7439999999997"/>
    <n v="6420.9539999999997"/>
    <n v="6410207946.5100002"/>
    <n v="19930"/>
  </r>
  <r>
    <s v="DOLFUT"/>
    <x v="201"/>
    <x v="9"/>
    <n v="6433.2610000000004"/>
    <n v="6443.9629999999997"/>
    <n v="6431.6559999999999"/>
    <n v="6442.8919999999998"/>
    <n v="3986938003.1799998"/>
    <n v="12385"/>
  </r>
  <r>
    <s v="DOLFUT"/>
    <x v="201"/>
    <x v="10"/>
    <n v="6447.7079999999996"/>
    <n v="6451.9889999999996"/>
    <n v="6427.375"/>
    <n v="6433.2610000000004"/>
    <n v="4985729449.9300003"/>
    <n v="15490"/>
  </r>
  <r>
    <s v="DOLFUT"/>
    <x v="201"/>
    <x v="11"/>
    <n v="6448.2430000000004"/>
    <n v="6453.0590000000002"/>
    <n v="6428.4449999999997"/>
    <n v="6448.2430000000004"/>
    <n v="5983901675.9099998"/>
    <n v="18580"/>
  </r>
  <r>
    <s v="DOLFUT"/>
    <x v="202"/>
    <x v="12"/>
    <n v="6460.0150000000003"/>
    <n v="6461.62"/>
    <n v="6454.1289999999999"/>
    <n v="6460.0150000000003"/>
    <n v="899301973.72000003"/>
    <n v="2785"/>
  </r>
  <r>
    <s v="DOLFUT"/>
    <x v="202"/>
    <x v="13"/>
    <n v="6457.875"/>
    <n v="6462.69"/>
    <n v="6454.6639999999998"/>
    <n v="6460.0150000000003"/>
    <n v="1398105096.54"/>
    <n v="4330"/>
  </r>
  <r>
    <s v="DOLFUT"/>
    <x v="202"/>
    <x v="14"/>
    <n v="6467.5060000000003"/>
    <n v="6468.0410000000002"/>
    <n v="6456.2690000000002"/>
    <n v="6457.3389999999999"/>
    <n v="1211508425.3599999"/>
    <n v="3750"/>
  </r>
  <r>
    <s v="DOLFUT"/>
    <x v="202"/>
    <x v="15"/>
    <n v="6467.5060000000003"/>
    <n v="6471.7870000000003"/>
    <n v="6464.2960000000003"/>
    <n v="6466.9709999999995"/>
    <n v="4628625814.5699997"/>
    <n v="14310"/>
  </r>
  <r>
    <s v="DOLFUT"/>
    <x v="202"/>
    <x v="16"/>
    <n v="6463.2250000000004"/>
    <n v="6469.6459999999997"/>
    <n v="6457.875"/>
    <n v="6467.5060000000003"/>
    <n v="2336574756.4000001"/>
    <n v="7230"/>
  </r>
  <r>
    <s v="DOLFUT"/>
    <x v="202"/>
    <x v="17"/>
    <n v="6462.1549999999997"/>
    <n v="6463.76"/>
    <n v="6451.9889999999996"/>
    <n v="6462.1549999999997"/>
    <n v="3254836068.5100002"/>
    <n v="10080"/>
  </r>
  <r>
    <s v="DOLFUT"/>
    <x v="202"/>
    <x v="18"/>
    <n v="6470.7160000000003"/>
    <n v="6473.3919999999998"/>
    <n v="6461.62"/>
    <n v="6462.69"/>
    <n v="1904189848.8299999"/>
    <n v="5890"/>
  </r>
  <r>
    <s v="DOLFUT"/>
    <x v="202"/>
    <x v="0"/>
    <n v="6463.2250000000004"/>
    <n v="6471.2520000000004"/>
    <n v="6458.9449999999997"/>
    <n v="6470.7160000000003"/>
    <n v="2333446012.75"/>
    <n v="7220"/>
  </r>
  <r>
    <s v="DOLFUT"/>
    <x v="202"/>
    <x v="1"/>
    <n v="6463.2250000000004"/>
    <n v="6469.1109999999999"/>
    <n v="6461.62"/>
    <n v="6462.69"/>
    <n v="1764939554.04"/>
    <n v="5460"/>
  </r>
  <r>
    <s v="DOLFUT"/>
    <x v="202"/>
    <x v="2"/>
    <n v="6463.76"/>
    <n v="6470.7160000000003"/>
    <n v="6456.8040000000001"/>
    <n v="6463.76"/>
    <n v="2724392356.7600002"/>
    <n v="8430"/>
  </r>
  <r>
    <s v="DOLFUT"/>
    <x v="202"/>
    <x v="3"/>
    <n v="6466.9709999999995"/>
    <n v="6470.1809999999996"/>
    <n v="6460.0150000000003"/>
    <n v="6463.76"/>
    <n v="6537303642.7600002"/>
    <n v="20220"/>
  </r>
  <r>
    <s v="DOLFUT"/>
    <x v="202"/>
    <x v="4"/>
    <n v="6466.4359999999997"/>
    <n v="6474.4620000000004"/>
    <n v="6462.1549999999997"/>
    <n v="6467.5060000000003"/>
    <n v="4146359725.2199998"/>
    <n v="12820"/>
  </r>
  <r>
    <s v="DOLFUT"/>
    <x v="202"/>
    <x v="5"/>
    <n v="6487.3040000000001"/>
    <n v="6491.049"/>
    <n v="6465.366"/>
    <n v="6466.9709999999995"/>
    <n v="5296072487.1800003"/>
    <n v="16350"/>
  </r>
  <r>
    <s v="DOLFUT"/>
    <x v="202"/>
    <x v="6"/>
    <n v="6486.7690000000002"/>
    <n v="6493.7250000000004"/>
    <n v="6479.8130000000001"/>
    <n v="6486.7690000000002"/>
    <n v="2187730084.7399998"/>
    <n v="6745"/>
  </r>
  <r>
    <s v="DOLFUT"/>
    <x v="202"/>
    <x v="7"/>
    <n v="6491.585"/>
    <n v="6496.9350000000004"/>
    <n v="6480.8829999999998"/>
    <n v="6488.9089999999997"/>
    <n v="7321261470.1300001"/>
    <n v="22565"/>
  </r>
  <r>
    <s v="DOLFUT"/>
    <x v="202"/>
    <x v="8"/>
    <n v="6490.5140000000001"/>
    <n v="6495.33"/>
    <n v="6480.348"/>
    <n v="6492.12"/>
    <n v="3924677890.77"/>
    <n v="12100"/>
  </r>
  <r>
    <s v="DOLFUT"/>
    <x v="202"/>
    <x v="9"/>
    <n v="6480.8829999999998"/>
    <n v="6495.33"/>
    <n v="6480.8829999999998"/>
    <n v="6490.5140000000001"/>
    <n v="4684489185.2399998"/>
    <n v="14440"/>
  </r>
  <r>
    <s v="DOLFUT"/>
    <x v="202"/>
    <x v="10"/>
    <n v="6488.3739999999998"/>
    <n v="6500.1459999999997"/>
    <n v="6479.2780000000002"/>
    <n v="6480.8829999999998"/>
    <n v="8144306855.4799995"/>
    <n v="25085"/>
  </r>
  <r>
    <s v="DOLFUT"/>
    <x v="202"/>
    <x v="11"/>
    <n v="6493.7250000000004"/>
    <n v="6506.0320000000002"/>
    <n v="6480.8829999999998"/>
    <n v="6487.8389999999999"/>
    <n v="3776105574.5900002"/>
    <n v="11630"/>
  </r>
  <r>
    <s v="DOLFUT"/>
    <x v="203"/>
    <x v="12"/>
    <n v="6471.2520000000004"/>
    <n v="6472.3220000000001"/>
    <n v="6458.9449999999997"/>
    <n v="6458.9449999999997"/>
    <n v="874802154.57000005"/>
    <n v="2705"/>
  </r>
  <r>
    <s v="DOLFUT"/>
    <x v="203"/>
    <x v="13"/>
    <n v="6476.067"/>
    <n v="6477.1369999999997"/>
    <n v="6464.8310000000001"/>
    <n v="6471.7870000000003"/>
    <n v="985226913.71000004"/>
    <n v="3045"/>
  </r>
  <r>
    <s v="DOLFUT"/>
    <x v="203"/>
    <x v="14"/>
    <n v="6480.8829999999998"/>
    <n v="6481.9530000000004"/>
    <n v="6476.6019999999999"/>
    <n v="6476.6019999999999"/>
    <n v="704642590.75999999"/>
    <n v="2175"/>
  </r>
  <r>
    <s v="DOLFUT"/>
    <x v="203"/>
    <x v="15"/>
    <n v="6483.558"/>
    <n v="6488.3739999999998"/>
    <n v="6478.2079999999996"/>
    <n v="6480.8829999999998"/>
    <n v="1640494374.1300001"/>
    <n v="5060"/>
  </r>
  <r>
    <s v="DOLFUT"/>
    <x v="203"/>
    <x v="16"/>
    <n v="6479.2780000000002"/>
    <n v="6484.6289999999999"/>
    <n v="6475.5320000000002"/>
    <n v="6484.6289999999999"/>
    <n v="1517745396.25"/>
    <n v="4685"/>
  </r>
  <r>
    <s v="DOLFUT"/>
    <x v="203"/>
    <x v="17"/>
    <n v="6470.7160000000003"/>
    <n v="6486.7690000000002"/>
    <n v="6469.1109999999999"/>
    <n v="6479.2780000000002"/>
    <n v="1368614724.5999999"/>
    <n v="4225"/>
  </r>
  <r>
    <s v="DOLFUT"/>
    <x v="203"/>
    <x v="18"/>
    <n v="6487.3040000000001"/>
    <n v="6487.8389999999999"/>
    <n v="6471.7870000000003"/>
    <n v="6472.857"/>
    <n v="1402536491.25"/>
    <n v="4330"/>
  </r>
  <r>
    <s v="DOLFUT"/>
    <x v="203"/>
    <x v="0"/>
    <n v="6495.33"/>
    <n v="6496.4"/>
    <n v="6475.5320000000002"/>
    <n v="6487.8389999999999"/>
    <n v="2604270753.0300002"/>
    <n v="8030"/>
  </r>
  <r>
    <s v="DOLFUT"/>
    <x v="203"/>
    <x v="1"/>
    <n v="6481.9530000000004"/>
    <n v="6505.4970000000003"/>
    <n v="6479.2780000000002"/>
    <n v="6494.7950000000001"/>
    <n v="4097047734.25"/>
    <n v="12620"/>
  </r>
  <r>
    <s v="DOLFUT"/>
    <x v="203"/>
    <x v="2"/>
    <n v="6478.2079999999996"/>
    <n v="6483.558"/>
    <n v="6475.5320000000002"/>
    <n v="6483.0230000000001"/>
    <n v="989831807.94000006"/>
    <n v="3055"/>
  </r>
  <r>
    <s v="DOLFUT"/>
    <x v="203"/>
    <x v="3"/>
    <n v="6484.6289999999999"/>
    <n v="6486.7690000000002"/>
    <n v="6475.5320000000002"/>
    <n v="6478.7430000000004"/>
    <n v="1366028819.1199999"/>
    <n v="4215"/>
  </r>
  <r>
    <s v="DOLFUT"/>
    <x v="203"/>
    <x v="4"/>
    <n v="6473.9269999999997"/>
    <n v="6486.2340000000004"/>
    <n v="6468.576"/>
    <n v="6485.1639999999998"/>
    <n v="1276191779.0899999"/>
    <n v="3940"/>
  </r>
  <r>
    <s v="DOLFUT"/>
    <x v="203"/>
    <x v="5"/>
    <n v="6471.7870000000003"/>
    <n v="6479.2780000000002"/>
    <n v="6468.576"/>
    <n v="6473.9269999999997"/>
    <n v="2600939883.0999999"/>
    <n v="8035"/>
  </r>
  <r>
    <s v="DOLFUT"/>
    <x v="203"/>
    <x v="6"/>
    <n v="6490.5140000000001"/>
    <n v="6494.7950000000001"/>
    <n v="6464.8310000000001"/>
    <n v="6471.7870000000003"/>
    <n v="4856280607.7700005"/>
    <n v="15005"/>
  </r>
  <r>
    <s v="DOLFUT"/>
    <x v="203"/>
    <x v="7"/>
    <n v="6486.7690000000002"/>
    <n v="6498.0060000000003"/>
    <n v="6479.2780000000002"/>
    <n v="6489.9790000000003"/>
    <n v="3240587837.6399999"/>
    <n v="9990"/>
  </r>
  <r>
    <s v="DOLFUT"/>
    <x v="203"/>
    <x v="8"/>
    <n v="6522.6189999999997"/>
    <n v="6525.83"/>
    <n v="6480.348"/>
    <n v="6487.3040000000001"/>
    <n v="8914711118.9400005"/>
    <n v="27440"/>
  </r>
  <r>
    <s v="DOLFUT"/>
    <x v="203"/>
    <x v="9"/>
    <n v="6522.0839999999998"/>
    <n v="6528.5050000000001"/>
    <n v="6511.3829999999998"/>
    <n v="6520.4790000000003"/>
    <n v="2825866707.21"/>
    <n v="8670"/>
  </r>
  <r>
    <s v="DOLFUT"/>
    <x v="203"/>
    <x v="10"/>
    <n v="6515.6629999999996"/>
    <n v="6528.5050000000001"/>
    <n v="6509.2420000000002"/>
    <n v="6522.6189999999997"/>
    <n v="3360704224.3400002"/>
    <n v="10310"/>
  </r>
  <r>
    <s v="DOLFUT"/>
    <x v="203"/>
    <x v="11"/>
    <n v="6505.4970000000003"/>
    <n v="6518.8739999999998"/>
    <n v="6493.7250000000004"/>
    <n v="6516.1980000000003"/>
    <n v="2778550295.27"/>
    <n v="8540"/>
  </r>
  <r>
    <s v="DOLFUT"/>
    <x v="204"/>
    <x v="12"/>
    <n v="6518.8739999999998"/>
    <n v="6518.8739999999998"/>
    <n v="6503.8909999999996"/>
    <n v="6514.058"/>
    <n v="939294752.45000005"/>
    <n v="2885"/>
  </r>
  <r>
    <s v="DOLFUT"/>
    <x v="204"/>
    <x v="13"/>
    <n v="6514.5929999999998"/>
    <n v="6522.0839999999998"/>
    <n v="6508.1719999999996"/>
    <n v="6519.4089999999997"/>
    <n v="3208237064.4200001"/>
    <n v="9850"/>
  </r>
  <r>
    <s v="DOLFUT"/>
    <x v="204"/>
    <x v="14"/>
    <n v="6504.4260000000004"/>
    <n v="6518.3389999999999"/>
    <n v="6504.4260000000004"/>
    <n v="6514.5929999999998"/>
    <n v="1263047417.23"/>
    <n v="3880"/>
  </r>
  <r>
    <s v="DOLFUT"/>
    <x v="204"/>
    <x v="15"/>
    <n v="6501.2160000000003"/>
    <n v="6506.567"/>
    <n v="6499.6109999999999"/>
    <n v="6504.4260000000004"/>
    <n v="2006008924.26"/>
    <n v="6170"/>
  </r>
  <r>
    <s v="DOLFUT"/>
    <x v="204"/>
    <x v="16"/>
    <n v="6498.5410000000002"/>
    <n v="6502.2860000000001"/>
    <n v="6496.9350000000004"/>
    <n v="6501.2160000000003"/>
    <n v="1688542507.3"/>
    <n v="5195"/>
  </r>
  <r>
    <s v="DOLFUT"/>
    <x v="204"/>
    <x v="17"/>
    <n v="6505.4970000000003"/>
    <n v="6508.7070000000003"/>
    <n v="6497.47"/>
    <n v="6498.0060000000003"/>
    <n v="3480980064.73"/>
    <n v="10705"/>
  </r>
  <r>
    <s v="DOLFUT"/>
    <x v="204"/>
    <x v="18"/>
    <n v="6492.6549999999997"/>
    <n v="6506.567"/>
    <n v="6491.049"/>
    <n v="6505.4970000000003"/>
    <n v="3258627909.4400001"/>
    <n v="10025"/>
  </r>
  <r>
    <s v="DOLFUT"/>
    <x v="204"/>
    <x v="0"/>
    <n v="6479.8130000000001"/>
    <n v="6498.0060000000003"/>
    <n v="6477.1369999999997"/>
    <n v="6492.12"/>
    <n v="2356247222"/>
    <n v="7260"/>
  </r>
  <r>
    <s v="DOLFUT"/>
    <x v="204"/>
    <x v="1"/>
    <n v="6474.9970000000003"/>
    <n v="6484.0929999999998"/>
    <n v="6471.2520000000004"/>
    <n v="6479.8130000000001"/>
    <n v="2505954976.9000001"/>
    <n v="7735"/>
  </r>
  <r>
    <s v="DOLFUT"/>
    <x v="204"/>
    <x v="2"/>
    <n v="6483.558"/>
    <n v="6484.6289999999999"/>
    <n v="6469.1109999999999"/>
    <n v="6475.5320000000002"/>
    <n v="3287305094.3000002"/>
    <n v="10155"/>
  </r>
  <r>
    <s v="DOLFUT"/>
    <x v="204"/>
    <x v="3"/>
    <n v="6475.5320000000002"/>
    <n v="6485.1639999999998"/>
    <n v="6473.9269999999997"/>
    <n v="6483.0230000000001"/>
    <n v="2709730509.4200001"/>
    <n v="8365"/>
  </r>
  <r>
    <s v="DOLFUT"/>
    <x v="204"/>
    <x v="4"/>
    <n v="6478.2079999999996"/>
    <n v="6479.2780000000002"/>
    <n v="6467.5060000000003"/>
    <n v="6475.5320000000002"/>
    <n v="2761064699.6100001"/>
    <n v="8530"/>
  </r>
  <r>
    <s v="DOLFUT"/>
    <x v="204"/>
    <x v="5"/>
    <n v="6496.4"/>
    <n v="6499.076"/>
    <n v="6477.6729999999998"/>
    <n v="6477.6729999999998"/>
    <n v="4156248529.5799999"/>
    <n v="12815"/>
  </r>
  <r>
    <s v="DOLFUT"/>
    <x v="204"/>
    <x v="6"/>
    <n v="6510.3119999999999"/>
    <n v="6510.3119999999999"/>
    <n v="6486.2340000000004"/>
    <n v="6495.8649999999998"/>
    <n v="6319185705.3699999"/>
    <n v="19450"/>
  </r>
  <r>
    <s v="DOLFUT"/>
    <x v="204"/>
    <x v="7"/>
    <n v="6525.83"/>
    <n v="6532.7860000000001"/>
    <n v="6510.3119999999999"/>
    <n v="6510.8469999999998"/>
    <n v="4208955466.2399998"/>
    <n v="12905"/>
  </r>
  <r>
    <s v="DOLFUT"/>
    <x v="204"/>
    <x v="8"/>
    <n v="6519.9440000000004"/>
    <n v="6526.9"/>
    <n v="6502.2860000000001"/>
    <n v="6524.76"/>
    <n v="5475118116.3599997"/>
    <n v="16810"/>
  </r>
  <r>
    <s v="DOLFUT"/>
    <x v="204"/>
    <x v="9"/>
    <n v="6494.7950000000001"/>
    <n v="6522.0839999999998"/>
    <n v="6493.7250000000004"/>
    <n v="6517.8029999999999"/>
    <n v="4578630928.3900003"/>
    <n v="14060"/>
  </r>
  <r>
    <s v="DOLFUT"/>
    <x v="204"/>
    <x v="10"/>
    <n v="6482.4880000000003"/>
    <n v="6501.7510000000002"/>
    <n v="6482.4880000000003"/>
    <n v="6495.33"/>
    <n v="3661823159.75"/>
    <n v="11280"/>
  </r>
  <r>
    <s v="DOLFUT"/>
    <x v="204"/>
    <x v="11"/>
    <n v="6486.2340000000004"/>
    <n v="6492.12"/>
    <n v="6465.366"/>
    <n v="6481.4179999999997"/>
    <n v="6949732760.1199999"/>
    <n v="21460"/>
  </r>
  <r>
    <s v="DOLFUT"/>
    <x v="205"/>
    <x v="12"/>
    <n v="6496.4"/>
    <n v="6499.6109999999999"/>
    <n v="6488.3739999999998"/>
    <n v="6492.6549999999997"/>
    <n v="623311308.34000003"/>
    <n v="1920"/>
  </r>
  <r>
    <s v="DOLFUT"/>
    <x v="205"/>
    <x v="13"/>
    <n v="6496.4"/>
    <n v="6499.6109999999999"/>
    <n v="6488.9089999999997"/>
    <n v="6496.4"/>
    <n v="888061290.98000002"/>
    <n v="2735"/>
  </r>
  <r>
    <s v="DOLFUT"/>
    <x v="205"/>
    <x v="14"/>
    <n v="6495.33"/>
    <n v="6500.6809999999996"/>
    <n v="6494.7950000000001"/>
    <n v="6496.9350000000004"/>
    <n v="6981149685.8199997"/>
    <n v="21490"/>
  </r>
  <r>
    <s v="DOLFUT"/>
    <x v="205"/>
    <x v="15"/>
    <n v="6501.7510000000002"/>
    <n v="6502.8209999999999"/>
    <n v="6495.33"/>
    <n v="6496.4"/>
    <n v="1652419022.25"/>
    <n v="5085"/>
  </r>
  <r>
    <s v="DOLFUT"/>
    <x v="205"/>
    <x v="16"/>
    <n v="6510.3119999999999"/>
    <n v="6510.3119999999999"/>
    <n v="6499.6109999999999"/>
    <n v="6501.2160000000003"/>
    <n v="4817603857.0900002"/>
    <n v="14815"/>
  </r>
  <r>
    <s v="DOLFUT"/>
    <x v="205"/>
    <x v="17"/>
    <n v="6503.8909999999996"/>
    <n v="6512.9880000000003"/>
    <n v="6501.7510000000002"/>
    <n v="6510.8469999999998"/>
    <n v="6461573840.1599998"/>
    <n v="19860"/>
  </r>
  <r>
    <s v="DOLFUT"/>
    <x v="205"/>
    <x v="18"/>
    <n v="6496.9350000000004"/>
    <n v="6506.567"/>
    <n v="6496.9350000000004"/>
    <n v="6503.3559999999998"/>
    <n v="4159610434.1199999"/>
    <n v="12800"/>
  </r>
  <r>
    <s v="DOLFUT"/>
    <x v="205"/>
    <x v="0"/>
    <n v="6481.9530000000004"/>
    <n v="6500.6809999999996"/>
    <n v="6481.9530000000004"/>
    <n v="6496.9350000000004"/>
    <n v="3262642209.6700001"/>
    <n v="10050"/>
  </r>
  <r>
    <s v="DOLFUT"/>
    <x v="205"/>
    <x v="1"/>
    <n v="6485.6989999999996"/>
    <n v="6487.3040000000001"/>
    <n v="6476.6019999999999"/>
    <n v="6481.9530000000004"/>
    <n v="2354211512.02"/>
    <n v="7265"/>
  </r>
  <r>
    <s v="DOLFUT"/>
    <x v="205"/>
    <x v="2"/>
    <n v="6484.6289999999999"/>
    <n v="6492.12"/>
    <n v="6472.3220000000001"/>
    <n v="6486.2340000000004"/>
    <n v="2659612019.8699999"/>
    <n v="8205"/>
  </r>
  <r>
    <s v="DOLFUT"/>
    <x v="205"/>
    <x v="3"/>
    <n v="6463.2250000000004"/>
    <n v="6485.1639999999998"/>
    <n v="6461.085"/>
    <n v="6485.1639999999998"/>
    <n v="4631169315"/>
    <n v="14315"/>
  </r>
  <r>
    <s v="DOLFUT"/>
    <x v="205"/>
    <x v="4"/>
    <n v="6456.2690000000002"/>
    <n v="6475.5320000000002"/>
    <n v="6454.6639999999998"/>
    <n v="6463.2250000000004"/>
    <n v="4630417260.7600002"/>
    <n v="14325"/>
  </r>
  <r>
    <s v="DOLFUT"/>
    <x v="205"/>
    <x v="5"/>
    <n v="6461.085"/>
    <n v="6461.62"/>
    <n v="6442.357"/>
    <n v="6456.2690000000002"/>
    <n v="9633179896.6200008"/>
    <n v="29865"/>
  </r>
  <r>
    <s v="DOLFUT"/>
    <x v="205"/>
    <x v="6"/>
    <n v="6477.6729999999998"/>
    <n v="6482.4880000000003"/>
    <n v="6460.55"/>
    <n v="6460.55"/>
    <n v="6880353816.1800003"/>
    <n v="21265"/>
  </r>
  <r>
    <s v="DOLFUT"/>
    <x v="205"/>
    <x v="7"/>
    <n v="6487.8389999999999"/>
    <n v="6489.9790000000003"/>
    <n v="6472.3220000000001"/>
    <n v="6477.1369999999997"/>
    <n v="5995569218.3299999"/>
    <n v="18500"/>
  </r>
  <r>
    <s v="DOLFUT"/>
    <x v="205"/>
    <x v="8"/>
    <n v="6482.4880000000003"/>
    <n v="6490.5140000000001"/>
    <n v="6469.6459999999997"/>
    <n v="6487.8389999999999"/>
    <n v="4243457927.9200001"/>
    <n v="13095"/>
  </r>
  <r>
    <s v="DOLFUT"/>
    <x v="205"/>
    <x v="9"/>
    <n v="6467.5060000000003"/>
    <n v="6487.3040000000001"/>
    <n v="6465.9009999999998"/>
    <n v="6486.7690000000002"/>
    <n v="6772828519.1300001"/>
    <n v="20915"/>
  </r>
  <r>
    <s v="DOLFUT"/>
    <x v="205"/>
    <x v="10"/>
    <n v="6439.1469999999999"/>
    <n v="6468.576"/>
    <n v="6432.7259999999997"/>
    <n v="6468.0410000000002"/>
    <n v="7689092646.9799995"/>
    <n v="23835"/>
  </r>
  <r>
    <s v="DOLFUT"/>
    <x v="205"/>
    <x v="11"/>
    <n v="6463.2250000000004"/>
    <n v="6466.4359999999997"/>
    <n v="6438.6120000000001"/>
    <n v="6439.1469999999999"/>
    <n v="5489763643.7700005"/>
    <n v="17015"/>
  </r>
  <r>
    <s v="DOLFUT"/>
    <x v="206"/>
    <x v="12"/>
    <n v="6454.6639999999998"/>
    <n v="6456.8040000000001"/>
    <n v="6443.9629999999997"/>
    <n v="6456.8040000000001"/>
    <n v="1422093112.1400001"/>
    <n v="4410"/>
  </r>
  <r>
    <s v="DOLFUT"/>
    <x v="206"/>
    <x v="13"/>
    <n v="6461.085"/>
    <n v="6462.1549999999997"/>
    <n v="6448.2430000000004"/>
    <n v="6453.5940000000001"/>
    <n v="1660299271.9200001"/>
    <n v="5145"/>
  </r>
  <r>
    <s v="DOLFUT"/>
    <x v="206"/>
    <x v="14"/>
    <n v="6465.366"/>
    <n v="6466.4359999999997"/>
    <n v="6459.48"/>
    <n v="6460.55"/>
    <n v="2802233984.4000001"/>
    <n v="8670"/>
  </r>
  <r>
    <s v="DOLFUT"/>
    <x v="206"/>
    <x v="15"/>
    <n v="6460.0150000000003"/>
    <n v="6469.1109999999999"/>
    <n v="6458.9449999999997"/>
    <n v="6465.366"/>
    <n v="3820179538.4899998"/>
    <n v="11820"/>
  </r>
  <r>
    <s v="DOLFUT"/>
    <x v="206"/>
    <x v="16"/>
    <n v="6463.76"/>
    <n v="6464.8310000000001"/>
    <n v="6457.875"/>
    <n v="6460.0150000000003"/>
    <n v="2319795064.3699999"/>
    <n v="7180"/>
  </r>
  <r>
    <s v="DOLFUT"/>
    <x v="206"/>
    <x v="17"/>
    <n v="6475.5320000000002"/>
    <n v="6475.5320000000002"/>
    <n v="6464.2960000000003"/>
    <n v="6465.366"/>
    <n v="4568472042.6400003"/>
    <n v="14125"/>
  </r>
  <r>
    <s v="DOLFUT"/>
    <x v="206"/>
    <x v="18"/>
    <n v="6484.6289999999999"/>
    <n v="6487.8389999999999"/>
    <n v="6470.1809999999996"/>
    <n v="6476.6019999999999"/>
    <n v="2734486631.6500001"/>
    <n v="8440"/>
  </r>
  <r>
    <s v="DOLFUT"/>
    <x v="206"/>
    <x v="0"/>
    <n v="6493.7250000000004"/>
    <n v="6494.26"/>
    <n v="6476.067"/>
    <n v="6484.0929999999998"/>
    <n v="4086182543.5599999"/>
    <n v="12605"/>
  </r>
  <r>
    <s v="DOLFUT"/>
    <x v="206"/>
    <x v="1"/>
    <n v="6489.9790000000003"/>
    <n v="6495.33"/>
    <n v="6486.2340000000004"/>
    <n v="6492.6549999999997"/>
    <n v="2215045626.02"/>
    <n v="6825"/>
  </r>
  <r>
    <s v="DOLFUT"/>
    <x v="206"/>
    <x v="2"/>
    <n v="6490.5140000000001"/>
    <n v="6502.8209999999999"/>
    <n v="6489.4440000000004"/>
    <n v="6489.4440000000004"/>
    <n v="2987661506.8600001"/>
    <n v="9200"/>
  </r>
  <r>
    <s v="DOLFUT"/>
    <x v="206"/>
    <x v="3"/>
    <n v="6482.4880000000003"/>
    <n v="6496.9350000000004"/>
    <n v="6481.4179999999997"/>
    <n v="6490.5140000000001"/>
    <n v="2168837898.8200002"/>
    <n v="6685"/>
  </r>
  <r>
    <s v="DOLFUT"/>
    <x v="206"/>
    <x v="4"/>
    <n v="6483.0230000000001"/>
    <n v="6486.2340000000004"/>
    <n v="6477.6729999999998"/>
    <n v="6482.4880000000003"/>
    <n v="3325214540.9699998"/>
    <n v="10260"/>
  </r>
  <r>
    <s v="DOLFUT"/>
    <x v="206"/>
    <x v="5"/>
    <n v="6483.0230000000001"/>
    <n v="6503.8909999999996"/>
    <n v="6477.6729999999998"/>
    <n v="6484.0929999999998"/>
    <n v="11422974295.07"/>
    <n v="35190"/>
  </r>
  <r>
    <s v="DOLFUT"/>
    <x v="206"/>
    <x v="6"/>
    <n v="6463.76"/>
    <n v="6484.0929999999998"/>
    <n v="6461.62"/>
    <n v="6482.4880000000003"/>
    <n v="5379925064.2399998"/>
    <n v="16630"/>
  </r>
  <r>
    <s v="DOLFUT"/>
    <x v="206"/>
    <x v="7"/>
    <n v="6456.2690000000002"/>
    <n v="6471.7870000000003"/>
    <n v="6451.4539999999997"/>
    <n v="6463.76"/>
    <n v="6400831614.54"/>
    <n v="19815"/>
  </r>
  <r>
    <s v="DOLFUT"/>
    <x v="206"/>
    <x v="8"/>
    <n v="6509.2420000000002"/>
    <n v="6509.2420000000002"/>
    <n v="6453.0590000000002"/>
    <n v="6455.7340000000004"/>
    <n v="10659428413.18"/>
    <n v="32950"/>
  </r>
  <r>
    <s v="DOLFUT"/>
    <x v="206"/>
    <x v="9"/>
    <n v="6502.2860000000001"/>
    <n v="6514.058"/>
    <n v="6488.3739999999998"/>
    <n v="6509.2420000000002"/>
    <n v="4457482373.3100004"/>
    <n v="13705"/>
  </r>
  <r>
    <s v="DOLFUT"/>
    <x v="206"/>
    <x v="10"/>
    <n v="6485.6989999999996"/>
    <n v="6508.1719999999996"/>
    <n v="6479.2780000000002"/>
    <n v="6502.2860000000001"/>
    <n v="2384012096.3000002"/>
    <n v="7340"/>
  </r>
  <r>
    <s v="DOLFUT"/>
    <x v="206"/>
    <x v="11"/>
    <n v="6490.5140000000001"/>
    <n v="6499.6109999999999"/>
    <n v="6474.9970000000003"/>
    <n v="6484.6289999999999"/>
    <n v="2416536369.0500002"/>
    <n v="7450"/>
  </r>
  <r>
    <s v="DOLFUT"/>
    <x v="207"/>
    <x v="12"/>
    <n v="6500.6809999999996"/>
    <n v="6509.2420000000002"/>
    <n v="6500.1459999999997"/>
    <n v="6509.2420000000002"/>
    <n v="1021066405.3099999"/>
    <n v="3140"/>
  </r>
  <r>
    <s v="DOLFUT"/>
    <x v="207"/>
    <x v="13"/>
    <n v="6492.6549999999997"/>
    <n v="6503.3559999999998"/>
    <n v="6490.5140000000001"/>
    <n v="6502.2860000000001"/>
    <n v="1124131012.0599999"/>
    <n v="3460"/>
  </r>
  <r>
    <s v="DOLFUT"/>
    <x v="207"/>
    <x v="14"/>
    <n v="6491.049"/>
    <n v="6497.47"/>
    <n v="6489.4440000000004"/>
    <n v="6493.7250000000004"/>
    <n v="961002259.20000005"/>
    <n v="2960"/>
  </r>
  <r>
    <s v="DOLFUT"/>
    <x v="207"/>
    <x v="15"/>
    <n v="6492.12"/>
    <n v="6495.33"/>
    <n v="6485.1639999999998"/>
    <n v="6491.049"/>
    <n v="3012754194.0999999"/>
    <n v="9285"/>
  </r>
  <r>
    <s v="DOLFUT"/>
    <x v="207"/>
    <x v="16"/>
    <n v="6496.4"/>
    <n v="6500.1459999999997"/>
    <n v="6490.5140000000001"/>
    <n v="6492.12"/>
    <n v="6839175970.1099997"/>
    <n v="21065"/>
  </r>
  <r>
    <s v="DOLFUT"/>
    <x v="207"/>
    <x v="17"/>
    <n v="6506.0320000000002"/>
    <n v="6508.1719999999996"/>
    <n v="6490.5140000000001"/>
    <n v="6497.47"/>
    <n v="8431595323.3299999"/>
    <n v="25955"/>
  </r>
  <r>
    <s v="DOLFUT"/>
    <x v="207"/>
    <x v="18"/>
    <n v="6508.1719999999996"/>
    <n v="6508.7070000000003"/>
    <n v="6502.2860000000001"/>
    <n v="6506.567"/>
    <n v="1663937277.48"/>
    <n v="5115"/>
  </r>
  <r>
    <s v="DOLFUT"/>
    <x v="207"/>
    <x v="0"/>
    <n v="6502.2860000000001"/>
    <n v="6509.2420000000002"/>
    <n v="6489.4440000000004"/>
    <n v="6508.7070000000003"/>
    <n v="3766245263.1999998"/>
    <n v="11590"/>
  </r>
  <r>
    <s v="DOLFUT"/>
    <x v="207"/>
    <x v="1"/>
    <n v="6496.4"/>
    <n v="6507.6369999999997"/>
    <n v="6492.12"/>
    <n v="6502.8209999999999"/>
    <n v="2892907219.9299998"/>
    <n v="8900"/>
  </r>
  <r>
    <s v="DOLFUT"/>
    <x v="207"/>
    <x v="2"/>
    <n v="6501.7510000000002"/>
    <n v="6504.4260000000004"/>
    <n v="6495.33"/>
    <n v="6496.9350000000004"/>
    <n v="2621382996.9699998"/>
    <n v="8065"/>
  </r>
  <r>
    <s v="DOLFUT"/>
    <x v="207"/>
    <x v="3"/>
    <n v="6495.8649999999998"/>
    <n v="6502.2860000000001"/>
    <n v="6488.9089999999997"/>
    <n v="6501.7510000000002"/>
    <n v="3061655645.3099999"/>
    <n v="9425"/>
  </r>
  <r>
    <s v="DOLFUT"/>
    <x v="207"/>
    <x v="4"/>
    <n v="6517.8029999999999"/>
    <n v="6523.1540000000005"/>
    <n v="6494.26"/>
    <n v="6495.8649999999998"/>
    <n v="4074752843.98"/>
    <n v="12525"/>
  </r>
  <r>
    <s v="DOLFUT"/>
    <x v="207"/>
    <x v="5"/>
    <n v="6517.268"/>
    <n v="6519.4089999999997"/>
    <n v="6506.567"/>
    <n v="6517.268"/>
    <n v="3128230371.3200002"/>
    <n v="9605"/>
  </r>
  <r>
    <s v="DOLFUT"/>
    <x v="207"/>
    <x v="6"/>
    <n v="6515.6629999999996"/>
    <n v="6518.8739999999998"/>
    <n v="6499.6109999999999"/>
    <n v="6518.3389999999999"/>
    <n v="4878322271.6700001"/>
    <n v="14990"/>
  </r>
  <r>
    <s v="DOLFUT"/>
    <x v="207"/>
    <x v="7"/>
    <n v="6505.4970000000003"/>
    <n v="6522.0839999999998"/>
    <n v="6503.3559999999998"/>
    <n v="6515.6629999999996"/>
    <n v="5782889561.5100002"/>
    <n v="17760"/>
  </r>
  <r>
    <s v="DOLFUT"/>
    <x v="207"/>
    <x v="8"/>
    <n v="6520.4790000000003"/>
    <n v="6524.2240000000002"/>
    <n v="6486.2340000000004"/>
    <n v="6504.9620000000004"/>
    <n v="10141542482.370001"/>
    <n v="31185"/>
  </r>
  <r>
    <s v="DOLFUT"/>
    <x v="207"/>
    <x v="9"/>
    <n v="6527.97"/>
    <n v="6535.4610000000002"/>
    <n v="6514.058"/>
    <n v="6522.0839999999998"/>
    <n v="4439285121.9099998"/>
    <n v="13610"/>
  </r>
  <r>
    <s v="DOLFUT"/>
    <x v="207"/>
    <x v="10"/>
    <n v="6532.7860000000001"/>
    <n v="6538.1360000000004"/>
    <n v="6515.6629999999996"/>
    <n v="6527.97"/>
    <n v="3117210408.8800001"/>
    <n v="9550"/>
  </r>
  <r>
    <s v="DOLFUT"/>
    <x v="207"/>
    <x v="11"/>
    <n v="6540.277"/>
    <n v="6540.8119999999999"/>
    <n v="6515.1279999999997"/>
    <n v="6532.7860000000001"/>
    <n v="3519383657.3299999"/>
    <n v="10780"/>
  </r>
  <r>
    <s v="DOLFUT"/>
    <x v="208"/>
    <x v="12"/>
    <n v="6548.3029999999999"/>
    <n v="6549.3729999999996"/>
    <n v="6542.4170000000004"/>
    <n v="6548.8379999999997"/>
    <n v="888661650.19000006"/>
    <n v="2715"/>
  </r>
  <r>
    <s v="DOLFUT"/>
    <x v="208"/>
    <x v="13"/>
    <n v="6548.8379999999997"/>
    <n v="6549.3729999999996"/>
    <n v="6543.4870000000001"/>
    <n v="6547.768"/>
    <n v="783903918.11000001"/>
    <n v="2395"/>
  </r>
  <r>
    <s v="DOLFUT"/>
    <x v="208"/>
    <x v="14"/>
    <n v="6548.3029999999999"/>
    <n v="6549.9080000000004"/>
    <n v="6546.1629999999996"/>
    <n v="6548.8379999999997"/>
    <n v="1029723724.1900001"/>
    <n v="3145"/>
  </r>
  <r>
    <s v="DOLFUT"/>
    <x v="208"/>
    <x v="15"/>
    <n v="6548.3029999999999"/>
    <n v="6554.1890000000003"/>
    <n v="6546.6980000000003"/>
    <n v="6548.8379999999997"/>
    <n v="1647468867.96"/>
    <n v="5030"/>
  </r>
  <r>
    <s v="DOLFUT"/>
    <x v="208"/>
    <x v="16"/>
    <n v="6538.6719999999996"/>
    <n v="6552.049"/>
    <n v="6537.6009999999997"/>
    <n v="6547.2330000000002"/>
    <n v="3039354334.0900002"/>
    <n v="9285"/>
  </r>
  <r>
    <s v="DOLFUT"/>
    <x v="208"/>
    <x v="17"/>
    <n v="6538.1360000000004"/>
    <n v="6544.0219999999999"/>
    <n v="6529.5749999999998"/>
    <n v="6538.1360000000004"/>
    <n v="3440036182.1799998"/>
    <n v="10525"/>
  </r>
  <r>
    <s v="DOLFUT"/>
    <x v="208"/>
    <x v="18"/>
    <n v="6545.0929999999998"/>
    <n v="6545.0929999999998"/>
    <n v="6537.6009999999997"/>
    <n v="6539.2070000000003"/>
    <n v="1921473719.52"/>
    <n v="5875"/>
  </r>
  <r>
    <s v="DOLFUT"/>
    <x v="208"/>
    <x v="0"/>
    <n v="6549.9080000000004"/>
    <n v="6551.5129999999999"/>
    <n v="6541.8819999999996"/>
    <n v="6544.5569999999998"/>
    <n v="3078439350.4299998"/>
    <n v="9405"/>
  </r>
  <r>
    <s v="DOLFUT"/>
    <x v="208"/>
    <x v="1"/>
    <n v="6561.1450000000004"/>
    <n v="6563.2849999999999"/>
    <n v="6545.0929999999998"/>
    <n v="6547.768"/>
    <n v="2254254379.5100002"/>
    <n v="6880"/>
  </r>
  <r>
    <s v="DOLFUT"/>
    <x v="208"/>
    <x v="2"/>
    <n v="6544.5569999999998"/>
    <n v="6563.82"/>
    <n v="6544.5569999999998"/>
    <n v="6560.61"/>
    <n v="1880058833.23"/>
    <n v="5735"/>
  </r>
  <r>
    <s v="DOLFUT"/>
    <x v="208"/>
    <x v="3"/>
    <n v="6558.47"/>
    <n v="6559.0050000000001"/>
    <n v="6544.5569999999998"/>
    <n v="6545.0929999999998"/>
    <n v="2930124942.5700002"/>
    <n v="8945"/>
  </r>
  <r>
    <s v="DOLFUT"/>
    <x v="208"/>
    <x v="4"/>
    <n v="6553.1189999999997"/>
    <n v="6561.68"/>
    <n v="6546.6980000000003"/>
    <n v="6558.47"/>
    <n v="1944575242.1500001"/>
    <n v="5935"/>
  </r>
  <r>
    <s v="DOLFUT"/>
    <x v="208"/>
    <x v="5"/>
    <n v="6566.4960000000001"/>
    <n v="6571.8469999999998"/>
    <n v="6552.5839999999998"/>
    <n v="6555.259"/>
    <n v="3443322908.0500002"/>
    <n v="10495"/>
  </r>
  <r>
    <s v="DOLFUT"/>
    <x v="208"/>
    <x v="6"/>
    <n v="6581.4780000000001"/>
    <n v="6582.0129999999999"/>
    <n v="6557.3990000000003"/>
    <n v="6567.0309999999999"/>
    <n v="3314046495.27"/>
    <n v="10090"/>
  </r>
  <r>
    <s v="DOLFUT"/>
    <x v="208"/>
    <x v="7"/>
    <n v="6570.241"/>
    <n v="6585.223"/>
    <n v="6559.54"/>
    <n v="6580.9430000000002"/>
    <n v="10887412146.52"/>
    <n v="33135"/>
  </r>
  <r>
    <s v="DOLFUT"/>
    <x v="208"/>
    <x v="8"/>
    <n v="6548.8379999999997"/>
    <n v="6575.5919999999996"/>
    <n v="6548.3029999999999"/>
    <n v="6569.7060000000001"/>
    <n v="4844161190.71"/>
    <n v="14765"/>
  </r>
  <r>
    <s v="DOLFUT"/>
    <x v="208"/>
    <x v="9"/>
    <n v="6549.9080000000004"/>
    <n v="6550.4430000000002"/>
    <n v="6531.7160000000003"/>
    <n v="6548.3029999999999"/>
    <n v="3233460578.5999999"/>
    <n v="9885"/>
  </r>
  <r>
    <s v="DOLFUT"/>
    <x v="208"/>
    <x v="10"/>
    <n v="6542.9520000000002"/>
    <n v="6552.5839999999998"/>
    <n v="6525.2950000000001"/>
    <n v="6549.3729999999996"/>
    <n v="3566728294.71"/>
    <n v="10910"/>
  </r>
  <r>
    <s v="DOLFUT"/>
    <x v="208"/>
    <x v="11"/>
    <n v="6579.8729999999996"/>
    <n v="6590.5739999999996"/>
    <n v="6542.4170000000004"/>
    <n v="6542.4170000000004"/>
    <n v="5079044506.75"/>
    <n v="15470"/>
  </r>
  <r>
    <s v="DOLFUT"/>
    <x v="209"/>
    <x v="12"/>
    <n v="6563.2849999999999"/>
    <n v="6565.4260000000004"/>
    <n v="6547.768"/>
    <n v="6557.9340000000002"/>
    <n v="913210562.88"/>
    <n v="2785"/>
  </r>
  <r>
    <s v="DOLFUT"/>
    <x v="209"/>
    <x v="13"/>
    <n v="6556.3289999999997"/>
    <n v="6564.3549999999996"/>
    <n v="6555.259"/>
    <n v="6563.2849999999999"/>
    <n v="1103499817.74"/>
    <n v="3365"/>
  </r>
  <r>
    <s v="DOLFUT"/>
    <x v="209"/>
    <x v="14"/>
    <n v="6555.7939999999999"/>
    <n v="6559.54"/>
    <n v="6553.6540000000005"/>
    <n v="6556.3289999999997"/>
    <n v="1681634898.4000001"/>
    <n v="5130"/>
  </r>
  <r>
    <s v="DOLFUT"/>
    <x v="209"/>
    <x v="15"/>
    <n v="6549.9080000000004"/>
    <n v="6555.7939999999999"/>
    <n v="6545.6279999999997"/>
    <n v="6555.7939999999999"/>
    <n v="2690876715.46"/>
    <n v="8215"/>
  </r>
  <r>
    <s v="DOLFUT"/>
    <x v="209"/>
    <x v="16"/>
    <n v="6549.3729999999996"/>
    <n v="6554.1890000000003"/>
    <n v="6546.6980000000003"/>
    <n v="6550.4430000000002"/>
    <n v="1893210284.8900001"/>
    <n v="5780"/>
  </r>
  <r>
    <s v="DOLFUT"/>
    <x v="209"/>
    <x v="17"/>
    <n v="6559.0050000000001"/>
    <n v="6563.82"/>
    <n v="6546.6980000000003"/>
    <n v="6547.768"/>
    <n v="4541572258.1300001"/>
    <n v="13855"/>
  </r>
  <r>
    <s v="DOLFUT"/>
    <x v="209"/>
    <x v="18"/>
    <n v="6556.3289999999997"/>
    <n v="6561.1450000000004"/>
    <n v="6549.9080000000004"/>
    <n v="6559.0050000000001"/>
    <n v="2680666595.8499999"/>
    <n v="8180"/>
  </r>
  <r>
    <s v="DOLFUT"/>
    <x v="209"/>
    <x v="0"/>
    <n v="6562.75"/>
    <n v="6564.89"/>
    <n v="6554.7240000000002"/>
    <n v="6556.3289999999997"/>
    <n v="2100979918.3900001"/>
    <n v="6405"/>
  </r>
  <r>
    <s v="DOLFUT"/>
    <x v="209"/>
    <x v="1"/>
    <n v="6566.4960000000001"/>
    <n v="6571.3109999999997"/>
    <n v="6557.9340000000002"/>
    <n v="6563.2849999999999"/>
    <n v="2616023373.0900002"/>
    <n v="7970"/>
  </r>
  <r>
    <s v="DOLFUT"/>
    <x v="209"/>
    <x v="2"/>
    <n v="6572.9170000000004"/>
    <n v="6572.9170000000004"/>
    <n v="6556.8639999999996"/>
    <n v="6566.4960000000001"/>
    <n v="1948138069.04"/>
    <n v="5935"/>
  </r>
  <r>
    <s v="DOLFUT"/>
    <x v="209"/>
    <x v="3"/>
    <n v="6565.4260000000004"/>
    <n v="6575.5919999999996"/>
    <n v="6564.3549999999996"/>
    <n v="6569.7060000000001"/>
    <n v="2423920064.9299998"/>
    <n v="7380"/>
  </r>
  <r>
    <s v="DOLFUT"/>
    <x v="209"/>
    <x v="4"/>
    <n v="6555.259"/>
    <n v="6568.6360000000004"/>
    <n v="6553.6540000000005"/>
    <n v="6565.4260000000004"/>
    <n v="2088356456.4300001"/>
    <n v="6365"/>
  </r>
  <r>
    <s v="DOLFUT"/>
    <x v="209"/>
    <x v="5"/>
    <n v="6554.7240000000002"/>
    <n v="6567.5659999999998"/>
    <n v="6548.3029999999999"/>
    <n v="6553.6540000000005"/>
    <n v="4065763642.04"/>
    <n v="12400"/>
  </r>
  <r>
    <s v="DOLFUT"/>
    <x v="209"/>
    <x v="6"/>
    <n v="6558.47"/>
    <n v="6560.61"/>
    <n v="6542.9520000000002"/>
    <n v="6554.7240000000002"/>
    <n v="2832160446.1399999"/>
    <n v="8645"/>
  </r>
  <r>
    <s v="DOLFUT"/>
    <x v="209"/>
    <x v="7"/>
    <n v="6557.9340000000002"/>
    <n v="6565.9610000000002"/>
    <n v="6549.9080000000004"/>
    <n v="6558.47"/>
    <n v="7263752596.21"/>
    <n v="22150"/>
  </r>
  <r>
    <s v="DOLFUT"/>
    <x v="209"/>
    <x v="8"/>
    <n v="6546.1629999999996"/>
    <n v="6579.8729999999996"/>
    <n v="6546.1629999999996"/>
    <n v="6557.9340000000002"/>
    <n v="10923616963.65"/>
    <n v="33305"/>
  </r>
  <r>
    <s v="DOLFUT"/>
    <x v="209"/>
    <x v="9"/>
    <n v="6502.8209999999999"/>
    <n v="6554.1890000000003"/>
    <n v="6498.5410000000002"/>
    <n v="6541.3469999999998"/>
    <n v="10048340996.17"/>
    <n v="30780"/>
  </r>
  <r>
    <s v="DOLFUT"/>
    <x v="209"/>
    <x v="10"/>
    <n v="6510.3119999999999"/>
    <n v="6513.5230000000001"/>
    <n v="6500.1459999999997"/>
    <n v="6503.3559999999998"/>
    <n v="7544451158.6300001"/>
    <n v="23195"/>
  </r>
  <r>
    <s v="DOLFUT"/>
    <x v="209"/>
    <x v="11"/>
    <n v="6493.7250000000004"/>
    <n v="6511.3829999999998"/>
    <n v="6480.348"/>
    <n v="6510.3119999999999"/>
    <n v="4186932797.6700001"/>
    <n v="12890"/>
  </r>
  <r>
    <s v="DOLFUT"/>
    <x v="210"/>
    <x v="12"/>
    <n v="6487.3040000000001"/>
    <n v="6489.9790000000003"/>
    <n v="6481.9530000000004"/>
    <n v="6482.4880000000003"/>
    <n v="813987024.37"/>
    <n v="2510"/>
  </r>
  <r>
    <s v="DOLFUT"/>
    <x v="210"/>
    <x v="13"/>
    <n v="6491.585"/>
    <n v="6493.7250000000004"/>
    <n v="6486.2340000000004"/>
    <n v="6486.2340000000004"/>
    <n v="1046561071.03"/>
    <n v="3225"/>
  </r>
  <r>
    <s v="DOLFUT"/>
    <x v="210"/>
    <x v="14"/>
    <n v="6493.7250000000004"/>
    <n v="6494.26"/>
    <n v="6485.6989999999996"/>
    <n v="6490.5140000000001"/>
    <n v="2166034483.52"/>
    <n v="6675"/>
  </r>
  <r>
    <s v="DOLFUT"/>
    <x v="210"/>
    <x v="15"/>
    <n v="6504.4260000000004"/>
    <n v="6505.4970000000003"/>
    <n v="6485.6989999999996"/>
    <n v="6494.26"/>
    <n v="3486164985.1599998"/>
    <n v="10730"/>
  </r>
  <r>
    <s v="DOLFUT"/>
    <x v="210"/>
    <x v="16"/>
    <n v="6506.567"/>
    <n v="6509.777"/>
    <n v="6502.8209999999999"/>
    <n v="6503.8909999999996"/>
    <n v="928782446.69000006"/>
    <n v="2855"/>
  </r>
  <r>
    <s v="DOLFUT"/>
    <x v="210"/>
    <x v="17"/>
    <n v="6510.8469999999998"/>
    <n v="6515.6629999999996"/>
    <n v="6499.076"/>
    <n v="6506.567"/>
    <n v="3579739956.8499999"/>
    <n v="11000"/>
  </r>
  <r>
    <s v="DOLFUT"/>
    <x v="210"/>
    <x v="18"/>
    <n v="6524.2240000000002"/>
    <n v="6524.76"/>
    <n v="6508.1719999999996"/>
    <n v="6510.3119999999999"/>
    <n v="4099798845.54"/>
    <n v="12590"/>
  </r>
  <r>
    <s v="DOLFUT"/>
    <x v="210"/>
    <x v="0"/>
    <n v="6523.1540000000005"/>
    <n v="6534.9260000000004"/>
    <n v="6522.6189999999997"/>
    <n v="6524.2240000000002"/>
    <n v="3211429482.5300002"/>
    <n v="9840"/>
  </r>
  <r>
    <s v="DOLFUT"/>
    <x v="210"/>
    <x v="1"/>
    <n v="6521.549"/>
    <n v="6524.76"/>
    <n v="6516.7330000000002"/>
    <n v="6522.6189999999997"/>
    <n v="1281110898.76"/>
    <n v="3930"/>
  </r>
  <r>
    <s v="DOLFUT"/>
    <x v="210"/>
    <x v="2"/>
    <n v="6522.0839999999998"/>
    <n v="6525.83"/>
    <n v="6516.1980000000003"/>
    <n v="6523.1540000000005"/>
    <n v="3272522452.7600002"/>
    <n v="10035"/>
  </r>
  <r>
    <s v="DOLFUT"/>
    <x v="210"/>
    <x v="3"/>
    <n v="6523.1540000000005"/>
    <n v="6530.6450000000004"/>
    <n v="6521.0140000000001"/>
    <n v="6521.549"/>
    <n v="4358598744.0600004"/>
    <n v="13360"/>
  </r>
  <r>
    <s v="DOLFUT"/>
    <x v="210"/>
    <x v="4"/>
    <n v="6519.4089999999997"/>
    <n v="6524.76"/>
    <n v="6506.567"/>
    <n v="6523.1540000000005"/>
    <n v="4520029020.8000002"/>
    <n v="13870"/>
  </r>
  <r>
    <s v="DOLFUT"/>
    <x v="210"/>
    <x v="5"/>
    <n v="6530.11"/>
    <n v="6540.8119999999999"/>
    <n v="6515.6629999999996"/>
    <n v="6518.8739999999998"/>
    <n v="4599281519.3299999"/>
    <n v="14090"/>
  </r>
  <r>
    <s v="DOLFUT"/>
    <x v="210"/>
    <x v="6"/>
    <n v="6556.8639999999996"/>
    <n v="6556.8639999999996"/>
    <n v="6526.9"/>
    <n v="6529.5749999999998"/>
    <n v="3459982876.04"/>
    <n v="10580"/>
  </r>
  <r>
    <s v="DOLFUT"/>
    <x v="210"/>
    <x v="7"/>
    <n v="6561.1450000000004"/>
    <n v="6570.7759999999998"/>
    <n v="6550.4430000000002"/>
    <n v="6557.9340000000002"/>
    <n v="3144253059.6100001"/>
    <n v="9585"/>
  </r>
  <r>
    <s v="DOLFUT"/>
    <x v="210"/>
    <x v="8"/>
    <n v="6569.7060000000001"/>
    <n v="6575.5919999999996"/>
    <n v="6552.049"/>
    <n v="6560.0749999999998"/>
    <n v="3230471892.02"/>
    <n v="9845"/>
  </r>
  <r>
    <s v="DOLFUT"/>
    <x v="210"/>
    <x v="9"/>
    <n v="6565.9610000000002"/>
    <n v="6572.3819999999996"/>
    <n v="6560.61"/>
    <n v="6569.7060000000001"/>
    <n v="4546650028.8800001"/>
    <n v="13845"/>
  </r>
  <r>
    <s v="DOLFUT"/>
    <x v="210"/>
    <x v="10"/>
    <n v="6575.0569999999998"/>
    <n v="6578.2669999999998"/>
    <n v="6561.1450000000004"/>
    <n v="6566.4960000000001"/>
    <n v="4145481659.7399998"/>
    <n v="12615"/>
  </r>
  <r>
    <s v="DOLFUT"/>
    <x v="210"/>
    <x v="11"/>
    <n v="6561.1450000000004"/>
    <n v="6575.5919999999996"/>
    <n v="6550.9780000000001"/>
    <n v="6573.9870000000001"/>
    <n v="4142274393.1799998"/>
    <n v="12620"/>
  </r>
  <r>
    <s v="DOLFUT"/>
    <x v="211"/>
    <x v="12"/>
    <n v="6566.4960000000001"/>
    <n v="6567.0309999999999"/>
    <n v="6557.3990000000003"/>
    <n v="6561.1450000000004"/>
    <n v="905673432.95000005"/>
    <n v="2760"/>
  </r>
  <r>
    <s v="DOLFUT"/>
    <x v="211"/>
    <x v="13"/>
    <n v="6565.9610000000002"/>
    <n v="6568.1009999999997"/>
    <n v="6560.61"/>
    <n v="6566.4960000000001"/>
    <n v="889482595.91999996"/>
    <n v="2710"/>
  </r>
  <r>
    <s v="DOLFUT"/>
    <x v="211"/>
    <x v="14"/>
    <n v="6566.4960000000001"/>
    <n v="6568.6360000000004"/>
    <n v="6563.2849999999999"/>
    <n v="6565.9610000000002"/>
    <n v="3969502704.9899998"/>
    <n v="12090"/>
  </r>
  <r>
    <s v="DOLFUT"/>
    <x v="211"/>
    <x v="15"/>
    <n v="6562.2150000000001"/>
    <n v="6568.1009999999997"/>
    <n v="6562.2150000000001"/>
    <n v="6566.4960000000001"/>
    <n v="884666880.36000001"/>
    <n v="2695"/>
  </r>
  <r>
    <s v="DOLFUT"/>
    <x v="211"/>
    <x v="16"/>
    <n v="6577.1970000000001"/>
    <n v="6578.8029999999999"/>
    <n v="6558.47"/>
    <n v="6561.68"/>
    <n v="2870299977"/>
    <n v="8740"/>
  </r>
  <r>
    <s v="DOLFUT"/>
    <x v="211"/>
    <x v="17"/>
    <n v="6578.8029999999999"/>
    <n v="6582.0129999999999"/>
    <n v="6569.1710000000003"/>
    <n v="6577.1970000000001"/>
    <n v="2837209055.0599999"/>
    <n v="8630"/>
  </r>
  <r>
    <s v="DOLFUT"/>
    <x v="211"/>
    <x v="18"/>
    <n v="6578.2669999999998"/>
    <n v="6584.6880000000001"/>
    <n v="6570.7759999999998"/>
    <n v="6577.732"/>
    <n v="2170681113.9499998"/>
    <n v="6600"/>
  </r>
  <r>
    <s v="DOLFUT"/>
    <x v="211"/>
    <x v="0"/>
    <n v="6587.8990000000003"/>
    <n v="6588.9690000000001"/>
    <n v="6574.5219999999999"/>
    <n v="6578.2669999999998"/>
    <n v="2835624015.79"/>
    <n v="8620"/>
  </r>
  <r>
    <s v="DOLFUT"/>
    <x v="211"/>
    <x v="1"/>
    <n v="6586.2939999999999"/>
    <n v="6592.18"/>
    <n v="6584.6880000000001"/>
    <n v="6587.8990000000003"/>
    <n v="1592898784.46"/>
    <n v="4835"/>
  </r>
  <r>
    <s v="DOLFUT"/>
    <x v="211"/>
    <x v="2"/>
    <n v="6590.0389999999998"/>
    <n v="6591.6440000000002"/>
    <n v="6581.4780000000001"/>
    <n v="6585.223"/>
    <n v="1901990003.21"/>
    <n v="5775"/>
  </r>
  <r>
    <s v="DOLFUT"/>
    <x v="211"/>
    <x v="3"/>
    <n v="6577.1970000000001"/>
    <n v="6593.25"/>
    <n v="6576.1270000000004"/>
    <n v="6590.5739999999996"/>
    <n v="7029098829.2799997"/>
    <n v="21350"/>
  </r>
  <r>
    <s v="DOLFUT"/>
    <x v="211"/>
    <x v="4"/>
    <n v="6579.3379999999997"/>
    <n v="6594.8549999999996"/>
    <n v="6569.7060000000001"/>
    <n v="6577.1970000000001"/>
    <n v="5380273534.7700005"/>
    <n v="16355"/>
  </r>
  <r>
    <s v="DOLFUT"/>
    <x v="211"/>
    <x v="5"/>
    <n v="6590.5739999999996"/>
    <n v="6593.7849999999999"/>
    <n v="6577.1970000000001"/>
    <n v="6578.8029999999999"/>
    <n v="4940781299.8800001"/>
    <n v="15005"/>
  </r>
  <r>
    <s v="DOLFUT"/>
    <x v="211"/>
    <x v="6"/>
    <n v="6591.1090000000004"/>
    <n v="6601.8109999999997"/>
    <n v="6577.1970000000001"/>
    <n v="6591.1090000000004"/>
    <n v="3861444067.4299998"/>
    <n v="11720"/>
  </r>
  <r>
    <s v="DOLFUT"/>
    <x v="211"/>
    <x v="7"/>
    <n v="6606.6270000000004"/>
    <n v="6608.232"/>
    <n v="6585.223"/>
    <n v="6591.6440000000002"/>
    <n v="8914405053.4599991"/>
    <n v="27025"/>
  </r>
  <r>
    <s v="DOLFUT"/>
    <x v="211"/>
    <x v="8"/>
    <n v="6594.8549999999996"/>
    <n v="6615.1880000000001"/>
    <n v="6592.7150000000001"/>
    <n v="6606.6270000000004"/>
    <n v="5954357127.1700001"/>
    <n v="18025"/>
  </r>
  <r>
    <s v="DOLFUT"/>
    <x v="211"/>
    <x v="9"/>
    <n v="6586.8289999999997"/>
    <n v="6601.8109999999997"/>
    <n v="6581.4780000000001"/>
    <n v="6595.39"/>
    <n v="5348972721.3199997"/>
    <n v="16230"/>
  </r>
  <r>
    <s v="DOLFUT"/>
    <x v="211"/>
    <x v="10"/>
    <n v="6599.6710000000003"/>
    <n v="6604.4859999999999"/>
    <n v="6580.4080000000004"/>
    <n v="6586.2939999999999"/>
    <n v="4674324279.8500004"/>
    <n v="14180"/>
  </r>
  <r>
    <s v="DOLFUT"/>
    <x v="211"/>
    <x v="11"/>
    <n v="6584.6880000000001"/>
    <n v="6606.0919999999996"/>
    <n v="6581.4780000000001"/>
    <n v="6600.2060000000001"/>
    <n v="4639888301.8000002"/>
    <n v="14070"/>
  </r>
  <r>
    <s v="DOLFUT"/>
    <x v="212"/>
    <x v="12"/>
    <n v="6558.47"/>
    <n v="6569.1710000000003"/>
    <n v="6557.9340000000002"/>
    <n v="6560.0749999999998"/>
    <n v="968071997.17999995"/>
    <n v="2950"/>
  </r>
  <r>
    <s v="DOLFUT"/>
    <x v="212"/>
    <x v="13"/>
    <n v="6568.6360000000004"/>
    <n v="6569.1710000000003"/>
    <n v="6555.259"/>
    <n v="6559.0050000000001"/>
    <n v="1525405059.3900001"/>
    <n v="4650"/>
  </r>
  <r>
    <s v="DOLFUT"/>
    <x v="212"/>
    <x v="14"/>
    <n v="6561.68"/>
    <n v="6569.1710000000003"/>
    <n v="6560.61"/>
    <n v="6568.6360000000004"/>
    <n v="2166904790.3299999"/>
    <n v="6600"/>
  </r>
  <r>
    <s v="DOLFUT"/>
    <x v="212"/>
    <x v="15"/>
    <n v="6572.9170000000004"/>
    <n v="6572.9170000000004"/>
    <n v="6561.1450000000004"/>
    <n v="6562.2150000000001"/>
    <n v="2508157899.23"/>
    <n v="7640"/>
  </r>
  <r>
    <s v="DOLFUT"/>
    <x v="212"/>
    <x v="16"/>
    <n v="6562.75"/>
    <n v="6576.1270000000004"/>
    <n v="6560.61"/>
    <n v="6572.9170000000004"/>
    <n v="4331567865.0799999"/>
    <n v="13190"/>
  </r>
  <r>
    <s v="DOLFUT"/>
    <x v="212"/>
    <x v="17"/>
    <n v="6544.0219999999999"/>
    <n v="6565.4260000000004"/>
    <n v="6544.0219999999999"/>
    <n v="6563.2849999999999"/>
    <n v="4123916751.6900001"/>
    <n v="12580"/>
  </r>
  <r>
    <s v="DOLFUT"/>
    <x v="212"/>
    <x v="18"/>
    <n v="6530.6450000000004"/>
    <n v="6544.5569999999998"/>
    <n v="6530.11"/>
    <n v="6544.5569999999998"/>
    <n v="3666872972.5900002"/>
    <n v="11215"/>
  </r>
  <r>
    <s v="DOLFUT"/>
    <x v="212"/>
    <x v="0"/>
    <n v="6529.04"/>
    <n v="6538.1360000000004"/>
    <n v="6525.83"/>
    <n v="6530.11"/>
    <n v="3562013976.7199998"/>
    <n v="10905"/>
  </r>
  <r>
    <s v="DOLFUT"/>
    <x v="212"/>
    <x v="1"/>
    <n v="6519.9440000000004"/>
    <n v="6531.18"/>
    <n v="6511.9179999999997"/>
    <n v="6528.5050000000001"/>
    <n v="3049989039.2800002"/>
    <n v="9355"/>
  </r>
  <r>
    <s v="DOLFUT"/>
    <x v="212"/>
    <x v="2"/>
    <n v="6526.3649999999998"/>
    <n v="6530.6450000000004"/>
    <n v="6513.5230000000001"/>
    <n v="6518.8739999999998"/>
    <n v="3082755167.9699998"/>
    <n v="9455"/>
  </r>
  <r>
    <s v="DOLFUT"/>
    <x v="212"/>
    <x v="3"/>
    <n v="6518.3389999999999"/>
    <n v="6530.6450000000004"/>
    <n v="6507.6369999999997"/>
    <n v="6526.9"/>
    <n v="2325872497.4099998"/>
    <n v="7135"/>
  </r>
  <r>
    <s v="DOLFUT"/>
    <x v="212"/>
    <x v="4"/>
    <n v="6510.8469999999998"/>
    <n v="6522.6189999999997"/>
    <n v="6509.777"/>
    <n v="6518.3389999999999"/>
    <n v="4143814485.77"/>
    <n v="12720"/>
  </r>
  <r>
    <s v="DOLFUT"/>
    <x v="212"/>
    <x v="5"/>
    <n v="6525.83"/>
    <n v="6541.3469999999998"/>
    <n v="6510.3119999999999"/>
    <n v="6511.3829999999998"/>
    <n v="6475438954.1099997"/>
    <n v="19840"/>
  </r>
  <r>
    <s v="DOLFUT"/>
    <x v="212"/>
    <x v="6"/>
    <n v="6531.18"/>
    <n v="6545.6279999999997"/>
    <n v="6523.1540000000005"/>
    <n v="6525.2950000000001"/>
    <n v="4156160375.23"/>
    <n v="12725"/>
  </r>
  <r>
    <s v="DOLFUT"/>
    <x v="212"/>
    <x v="7"/>
    <n v="6517.8029999999999"/>
    <n v="6534.9260000000004"/>
    <n v="6517.268"/>
    <n v="6530.6450000000004"/>
    <n v="3696327895.52"/>
    <n v="11330"/>
  </r>
  <r>
    <s v="DOLFUT"/>
    <x v="212"/>
    <x v="8"/>
    <n v="6527.97"/>
    <n v="6535.9960000000001"/>
    <n v="6516.7330000000002"/>
    <n v="6518.3389999999999"/>
    <n v="4355837466.2700005"/>
    <n v="13345"/>
  </r>
  <r>
    <s v="DOLFUT"/>
    <x v="212"/>
    <x v="9"/>
    <n v="6556.8639999999996"/>
    <n v="6556.8639999999996"/>
    <n v="6521.549"/>
    <n v="6529.04"/>
    <n v="5885525970.8800001"/>
    <n v="18015"/>
  </r>
  <r>
    <s v="DOLFUT"/>
    <x v="212"/>
    <x v="10"/>
    <n v="6546.1629999999996"/>
    <n v="6557.3990000000003"/>
    <n v="6537.6009999999997"/>
    <n v="6556.3289999999997"/>
    <n v="3708559010.4200001"/>
    <n v="11325"/>
  </r>
  <r>
    <s v="DOLFUT"/>
    <x v="212"/>
    <x v="11"/>
    <n v="6571.3109999999997"/>
    <n v="6577.1970000000001"/>
    <n v="6535.9960000000001"/>
    <n v="6546.1629999999996"/>
    <n v="6811692948.9499998"/>
    <n v="20800"/>
  </r>
  <r>
    <s v="DOLFUT"/>
    <x v="213"/>
    <x v="12"/>
    <n v="6576.1270000000004"/>
    <n v="6577.732"/>
    <n v="6568.1009999999997"/>
    <n v="6572.3819999999996"/>
    <n v="847702384.10000002"/>
    <n v="2580"/>
  </r>
  <r>
    <s v="DOLFUT"/>
    <x v="213"/>
    <x v="13"/>
    <n v="6572.3819999999996"/>
    <n v="6577.732"/>
    <n v="6567.5659999999998"/>
    <n v="6576.1270000000004"/>
    <n v="806934408.92999995"/>
    <n v="2455"/>
  </r>
  <r>
    <s v="DOLFUT"/>
    <x v="213"/>
    <x v="14"/>
    <n v="6573.9870000000001"/>
    <n v="6575.0569999999998"/>
    <n v="6565.9610000000002"/>
    <n v="6572.3819999999996"/>
    <n v="5790799775.6300001"/>
    <n v="17630"/>
  </r>
  <r>
    <s v="DOLFUT"/>
    <x v="213"/>
    <x v="15"/>
    <n v="6571.8469999999998"/>
    <n v="6574.5219999999999"/>
    <n v="6569.1710000000003"/>
    <n v="6573.4520000000002"/>
    <n v="854402649.67999995"/>
    <n v="2600"/>
  </r>
  <r>
    <s v="DOLFUT"/>
    <x v="213"/>
    <x v="16"/>
    <n v="6571.3109999999997"/>
    <n v="6575.5919999999996"/>
    <n v="6568.1009999999997"/>
    <n v="6571.3109999999997"/>
    <n v="4856454909.9200001"/>
    <n v="14780"/>
  </r>
  <r>
    <s v="DOLFUT"/>
    <x v="213"/>
    <x v="17"/>
    <n v="6583.6180000000004"/>
    <n v="6585.759"/>
    <n v="6569.7060000000001"/>
    <n v="6571.3109999999997"/>
    <n v="2155688721.25"/>
    <n v="6555"/>
  </r>
  <r>
    <s v="DOLFUT"/>
    <x v="213"/>
    <x v="18"/>
    <n v="6580.4080000000004"/>
    <n v="6586.8289999999997"/>
    <n v="6577.732"/>
    <n v="6584.1530000000002"/>
    <n v="3459223196.9099998"/>
    <n v="10510"/>
  </r>
  <r>
    <s v="DOLFUT"/>
    <x v="213"/>
    <x v="0"/>
    <n v="6577.732"/>
    <n v="6588.9690000000001"/>
    <n v="6576.6620000000003"/>
    <n v="6579.3379999999997"/>
    <n v="2526057780.21"/>
    <n v="7675"/>
  </r>
  <r>
    <s v="DOLFUT"/>
    <x v="213"/>
    <x v="1"/>
    <n v="6569.7060000000001"/>
    <n v="6578.8029999999999"/>
    <n v="6561.1450000000004"/>
    <n v="6576.6620000000003"/>
    <n v="2181916178.3600001"/>
    <n v="6640"/>
  </r>
  <r>
    <s v="DOLFUT"/>
    <x v="213"/>
    <x v="2"/>
    <n v="6567.0309999999999"/>
    <n v="6570.7759999999998"/>
    <n v="6559.0050000000001"/>
    <n v="6569.7060000000001"/>
    <n v="2237236175.79"/>
    <n v="6815"/>
  </r>
  <r>
    <s v="DOLFUT"/>
    <x v="213"/>
    <x v="3"/>
    <n v="6573.9870000000001"/>
    <n v="6578.2669999999998"/>
    <n v="6564.3549999999996"/>
    <n v="6567.0309999999999"/>
    <n v="2714558799.3499999"/>
    <n v="8260"/>
  </r>
  <r>
    <s v="DOLFUT"/>
    <x v="213"/>
    <x v="4"/>
    <n v="6563.82"/>
    <n v="6575.5919999999996"/>
    <n v="6562.2150000000001"/>
    <n v="6574.5219999999999"/>
    <n v="5850204837.5600004"/>
    <n v="17805"/>
  </r>
  <r>
    <s v="DOLFUT"/>
    <x v="213"/>
    <x v="5"/>
    <n v="6575.5919999999996"/>
    <n v="6579.8729999999996"/>
    <n v="6557.3990000000003"/>
    <n v="6564.3549999999996"/>
    <n v="4160817038.4099998"/>
    <n v="12670"/>
  </r>
  <r>
    <s v="DOLFUT"/>
    <x v="213"/>
    <x v="6"/>
    <n v="6601.2759999999998"/>
    <n v="6610.9070000000002"/>
    <n v="6575.0569999999998"/>
    <n v="6576.1270000000004"/>
    <n v="4009792185.3099999"/>
    <n v="12165"/>
  </r>
  <r>
    <s v="DOLFUT"/>
    <x v="213"/>
    <x v="7"/>
    <n v="6566.4960000000001"/>
    <n v="6616.7929999999997"/>
    <n v="6563.2849999999999"/>
    <n v="6600.2060000000001"/>
    <n v="6547932729.6199999"/>
    <n v="19870"/>
  </r>
  <r>
    <s v="DOLFUT"/>
    <x v="213"/>
    <x v="8"/>
    <n v="6557.9340000000002"/>
    <n v="6571.8469999999998"/>
    <n v="6550.9780000000001"/>
    <n v="6566.4960000000001"/>
    <n v="6082333965.6000004"/>
    <n v="18540"/>
  </r>
  <r>
    <s v="DOLFUT"/>
    <x v="213"/>
    <x v="9"/>
    <n v="6583.6180000000004"/>
    <n v="6584.1530000000002"/>
    <n v="6553.6540000000005"/>
    <n v="6557.9340000000002"/>
    <n v="8248076697.0200005"/>
    <n v="25125"/>
  </r>
  <r>
    <s v="DOLFUT"/>
    <x v="213"/>
    <x v="10"/>
    <n v="6601.2759999999998"/>
    <n v="6612.5129999999999"/>
    <n v="6582.0129999999999"/>
    <n v="6583.6180000000004"/>
    <n v="5244900158.5500002"/>
    <n v="15910"/>
  </r>
  <r>
    <s v="DOLFUT"/>
    <x v="213"/>
    <x v="11"/>
    <n v="6605.5569999999998"/>
    <n v="6611.442"/>
    <n v="6584.1530000000002"/>
    <n v="6601.8109999999997"/>
    <n v="6483092463.8400002"/>
    <n v="19660"/>
  </r>
  <r>
    <s v="DOLFUT"/>
    <x v="214"/>
    <x v="12"/>
    <n v="6652.6440000000002"/>
    <n v="6654.2489999999998"/>
    <n v="6633.3810000000003"/>
    <n v="6651.0379999999996"/>
    <n v="1204794247.71"/>
    <n v="3625"/>
  </r>
  <r>
    <s v="DOLFUT"/>
    <x v="214"/>
    <x v="13"/>
    <n v="6646.7579999999998"/>
    <n v="6653.1790000000001"/>
    <n v="6644.0820000000003"/>
    <n v="6652.1080000000002"/>
    <n v="952303471.64999998"/>
    <n v="2865"/>
  </r>
  <r>
    <s v="DOLFUT"/>
    <x v="214"/>
    <x v="14"/>
    <n v="6649.433"/>
    <n v="6649.9679999999998"/>
    <n v="6644.6170000000002"/>
    <n v="6647.2929999999997"/>
    <n v="2745071440.6900001"/>
    <n v="8260"/>
  </r>
  <r>
    <s v="DOLFUT"/>
    <x v="214"/>
    <x v="15"/>
    <n v="6648.8980000000001"/>
    <n v="6649.9679999999998"/>
    <n v="6640.8720000000003"/>
    <n v="6649.433"/>
    <n v="1583358584.3900001"/>
    <n v="4765"/>
  </r>
  <r>
    <s v="DOLFUT"/>
    <x v="214"/>
    <x v="16"/>
    <n v="6653.1790000000001"/>
    <n v="6653.1790000000001"/>
    <n v="6641.942"/>
    <n v="6648.8980000000001"/>
    <n v="2725307610.25"/>
    <n v="8200"/>
  </r>
  <r>
    <s v="DOLFUT"/>
    <x v="214"/>
    <x v="17"/>
    <n v="6646.223"/>
    <n v="6653.7139999999999"/>
    <n v="6645.152"/>
    <n v="6653.1790000000001"/>
    <n v="4187094391.6799998"/>
    <n v="12595"/>
  </r>
  <r>
    <s v="DOLFUT"/>
    <x v="214"/>
    <x v="18"/>
    <n v="6653.7139999999999"/>
    <n v="6657.4589999999998"/>
    <n v="6645.6869999999999"/>
    <n v="6647.8280000000004"/>
    <n v="4436758610.2399998"/>
    <n v="13340"/>
  </r>
  <r>
    <s v="DOLFUT"/>
    <x v="214"/>
    <x v="0"/>
    <n v="6643.0119999999997"/>
    <n v="6656.3890000000001"/>
    <n v="6641.4070000000002"/>
    <n v="6653.7139999999999"/>
    <n v="3930077378.0799999"/>
    <n v="11820"/>
  </r>
  <r>
    <s v="DOLFUT"/>
    <x v="214"/>
    <x v="1"/>
    <n v="6643.5469999999996"/>
    <n v="6648.3630000000003"/>
    <n v="6631.7749999999996"/>
    <n v="6643.0119999999997"/>
    <n v="4274715266.1599998"/>
    <n v="12875"/>
  </r>
  <r>
    <s v="DOLFUT"/>
    <x v="214"/>
    <x v="2"/>
    <n v="6629.6350000000002"/>
    <n v="6645.6869999999999"/>
    <n v="6629.1"/>
    <n v="6642.4769999999999"/>
    <n v="2694435395.4899998"/>
    <n v="8120"/>
  </r>
  <r>
    <s v="DOLFUT"/>
    <x v="214"/>
    <x v="3"/>
    <n v="6623.2139999999999"/>
    <n v="6631.24"/>
    <n v="6617.3280000000004"/>
    <n v="6629.1"/>
    <n v="3090636621.5599999"/>
    <n v="9330"/>
  </r>
  <r>
    <s v="DOLFUT"/>
    <x v="214"/>
    <x v="4"/>
    <n v="6630.17"/>
    <n v="6631.7749999999996"/>
    <n v="6620.5389999999998"/>
    <n v="6623.2139999999999"/>
    <n v="3123303626.7600002"/>
    <n v="9425"/>
  </r>
  <r>
    <s v="DOLFUT"/>
    <x v="214"/>
    <x v="5"/>
    <n v="6621.6090000000004"/>
    <n v="6642.4769999999999"/>
    <n v="6620.5389999999998"/>
    <n v="6630.7049999999999"/>
    <n v="4525923590.4099998"/>
    <n v="13650"/>
  </r>
  <r>
    <s v="DOLFUT"/>
    <x v="214"/>
    <x v="6"/>
    <n v="6610.3720000000003"/>
    <n v="6624.2839999999997"/>
    <n v="6608.7669999999998"/>
    <n v="6620.5389999999998"/>
    <n v="2781644526.29"/>
    <n v="8410"/>
  </r>
  <r>
    <s v="DOLFUT"/>
    <x v="214"/>
    <x v="7"/>
    <n v="6608.232"/>
    <n v="6621.0739999999996"/>
    <n v="6601.2759999999998"/>
    <n v="6610.3720000000003"/>
    <n v="3964894600.2800002"/>
    <n v="11995"/>
  </r>
  <r>
    <s v="DOLFUT"/>
    <x v="214"/>
    <x v="8"/>
    <n v="6600.741"/>
    <n v="6626.4250000000002"/>
    <n v="6599.6710000000003"/>
    <n v="6608.232"/>
    <n v="7288471396.6400003"/>
    <n v="22035"/>
  </r>
  <r>
    <s v="DOLFUT"/>
    <x v="214"/>
    <x v="9"/>
    <n v="6654.7839999999997"/>
    <n v="6657.9939999999997"/>
    <n v="6600.741"/>
    <n v="6600.741"/>
    <n v="7146605900.7700005"/>
    <n v="21560"/>
  </r>
  <r>
    <s v="DOLFUT"/>
    <x v="214"/>
    <x v="10"/>
    <n v="6654.2489999999998"/>
    <n v="6669.2309999999998"/>
    <n v="6653.7139999999999"/>
    <n v="6654.2489999999998"/>
    <n v="7335797440.0200005"/>
    <n v="22025"/>
  </r>
  <r>
    <s v="DOLFUT"/>
    <x v="214"/>
    <x v="11"/>
    <n v="6613.5829999999996"/>
    <n v="6663.3450000000003"/>
    <n v="6613.0479999999998"/>
    <n v="6654.2489999999998"/>
    <n v="7302982752.8699999"/>
    <n v="21980"/>
  </r>
  <r>
    <s v="DOLFUT"/>
    <x v="215"/>
    <x v="12"/>
    <n v="6618.3980000000001"/>
    <n v="6624.8190000000004"/>
    <n v="6615.723"/>
    <n v="6623.2139999999999"/>
    <n v="666930454.65999997"/>
    <n v="2015"/>
  </r>
  <r>
    <s v="DOLFUT"/>
    <x v="215"/>
    <x v="13"/>
    <n v="6615.723"/>
    <n v="6618.933"/>
    <n v="6614.1180000000004"/>
    <n v="6618.3980000000001"/>
    <n v="3419767504.23"/>
    <n v="10335"/>
  </r>
  <r>
    <s v="DOLFUT"/>
    <x v="215"/>
    <x v="14"/>
    <n v="6631.24"/>
    <n v="6634.9859999999999"/>
    <n v="6611.9769999999999"/>
    <n v="6615.1880000000001"/>
    <n v="1937019785.74"/>
    <n v="5850"/>
  </r>
  <r>
    <s v="DOLFUT"/>
    <x v="215"/>
    <x v="15"/>
    <n v="6632.8459999999995"/>
    <n v="6635.5209999999997"/>
    <n v="6628.03"/>
    <n v="6631.24"/>
    <n v="7663801177.6999998"/>
    <n v="23120"/>
  </r>
  <r>
    <s v="DOLFUT"/>
    <x v="215"/>
    <x v="16"/>
    <n v="6624.8190000000004"/>
    <n v="6641.4070000000002"/>
    <n v="6622.1440000000002"/>
    <n v="6631.24"/>
    <n v="1954103135.3900001"/>
    <n v="5890"/>
  </r>
  <r>
    <s v="DOLFUT"/>
    <x v="215"/>
    <x v="17"/>
    <n v="6640.8720000000003"/>
    <n v="6645.6869999999999"/>
    <n v="6623.7489999999998"/>
    <n v="6624.2839999999997"/>
    <n v="3474489684.0900002"/>
    <n v="10475"/>
  </r>
  <r>
    <s v="DOLFUT"/>
    <x v="215"/>
    <x v="18"/>
    <n v="6633.9160000000002"/>
    <n v="6644.0820000000003"/>
    <n v="6633.3810000000003"/>
    <n v="6640.3370000000004"/>
    <n v="3026179338.9299998"/>
    <n v="9115"/>
  </r>
  <r>
    <s v="DOLFUT"/>
    <x v="215"/>
    <x v="0"/>
    <n v="6638.7309999999998"/>
    <n v="6647.2929999999997"/>
    <n v="6629.6350000000002"/>
    <n v="6632.8459999999995"/>
    <n v="5517375886.6400003"/>
    <n v="16620"/>
  </r>
  <r>
    <s v="DOLFUT"/>
    <x v="215"/>
    <x v="1"/>
    <n v="6621.6090000000004"/>
    <n v="6639.8019999999997"/>
    <n v="6620.5389999999998"/>
    <n v="6638.7309999999998"/>
    <n v="3558001147.96"/>
    <n v="10735"/>
  </r>
  <r>
    <s v="DOLFUT"/>
    <x v="215"/>
    <x v="2"/>
    <n v="6623.7489999999998"/>
    <n v="6631.24"/>
    <n v="6617.8630000000003"/>
    <n v="6622.1440000000002"/>
    <n v="5178937964.8000002"/>
    <n v="15630"/>
  </r>
  <r>
    <s v="DOLFUT"/>
    <x v="215"/>
    <x v="3"/>
    <n v="6656.3890000000001"/>
    <n v="6663.3450000000003"/>
    <n v="6618.933"/>
    <n v="6622.6790000000001"/>
    <n v="8649737071.7600002"/>
    <n v="26070"/>
  </r>
  <r>
    <s v="DOLFUT"/>
    <x v="215"/>
    <x v="4"/>
    <n v="6670.8360000000002"/>
    <n v="6674.0469999999996"/>
    <n v="6653.1790000000001"/>
    <n v="6655.8540000000003"/>
    <n v="3762002484.0300002"/>
    <n v="11290"/>
  </r>
  <r>
    <s v="DOLFUT"/>
    <x v="215"/>
    <x v="5"/>
    <n v="6674.5820000000003"/>
    <n v="6682.0730000000003"/>
    <n v="6668.1610000000001"/>
    <n v="6670.8360000000002"/>
    <n v="5069029958.6999998"/>
    <n v="15190"/>
  </r>
  <r>
    <s v="DOLFUT"/>
    <x v="215"/>
    <x v="6"/>
    <n v="6687.9589999999998"/>
    <n v="6688.4939999999997"/>
    <n v="6666.02"/>
    <n v="6674.5820000000003"/>
    <n v="3375507600.1999998"/>
    <n v="10115"/>
  </r>
  <r>
    <s v="DOLFUT"/>
    <x v="215"/>
    <x v="7"/>
    <n v="6679.933"/>
    <n v="6691.1689999999999"/>
    <n v="6674.0469999999996"/>
    <n v="6687.9589999999998"/>
    <n v="4153373279.8499999"/>
    <n v="12430"/>
  </r>
  <r>
    <s v="DOLFUT"/>
    <x v="215"/>
    <x v="8"/>
    <n v="6689.0290000000005"/>
    <n v="6690.634"/>
    <n v="6674.5820000000003"/>
    <n v="6679.933"/>
    <n v="3816404418.79"/>
    <n v="11425"/>
  </r>
  <r>
    <s v="DOLFUT"/>
    <x v="215"/>
    <x v="9"/>
    <n v="6686.8890000000001"/>
    <n v="6698.66"/>
    <n v="6680.4679999999998"/>
    <n v="6687.9589999999998"/>
    <n v="4917372106.54"/>
    <n v="14700"/>
  </r>
  <r>
    <s v="DOLFUT"/>
    <x v="215"/>
    <x v="10"/>
    <n v="6686.3540000000003"/>
    <n v="6699.7309999999998"/>
    <n v="6682.6080000000002"/>
    <n v="6686.8890000000001"/>
    <n v="6097200347.0799999"/>
    <n v="18220"/>
  </r>
  <r>
    <s v="DOLFUT"/>
    <x v="215"/>
    <x v="11"/>
    <n v="6647.8280000000004"/>
    <n v="6686.3540000000003"/>
    <n v="6637.6610000000001"/>
    <n v="6686.3540000000003"/>
    <n v="6571932516.9700003"/>
    <n v="19720"/>
  </r>
  <r>
    <m/>
    <x v="216"/>
    <x v="1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6442A-687E-4A60-9433-AC24390D7339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Horário">
  <location ref="E1:G21" firstHeaderRow="0" firstDataRow="1" firstDataCol="1"/>
  <pivotFields count="12">
    <pivotField showAll="0"/>
    <pivotField showAll="0">
      <items count="218"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2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axis="axisRow" showAll="0">
      <items count="21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8"/>
        <item x="17"/>
        <item x="16"/>
        <item x="15"/>
        <item x="14"/>
        <item x="13"/>
        <item x="12"/>
        <item h="1"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Vol DOLFUT" fld="7" subtotal="average" baseField="2" baseItem="0" numFmtId="44"/>
    <dataField name="DesvPad de Vol DOLFUT" fld="7" subtotal="stdDev" baseField="2" baseItem="3" numFmtId="44"/>
  </dataFields>
  <conditionalFormats count="1">
    <conditionalFormat priority="3">
      <pivotAreas count="1">
        <pivotArea type="data" collapsedLevelsAreSubtotals="1" fieldPosition="0">
          <references count="1">
            <reference field="2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884A6-1EAC-48F0-ADAC-C4F089CD3B58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Horário">
  <location ref="L1:N8" firstHeaderRow="0" firstDataRow="1" firstDataCol="1"/>
  <pivotFields count="12">
    <pivotField showAll="0"/>
    <pivotField showAll="0">
      <items count="218"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2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axis="axisRow" showAll="0">
      <items count="21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8"/>
        <item x="17"/>
        <item x="16"/>
        <item x="15"/>
        <item x="14"/>
        <item x="13"/>
        <item x="12"/>
        <item h="1"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1"/>
    <field x="10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Vol DOLFUT" fld="7" subtotal="average" baseField="2" baseItem="0" numFmtId="44"/>
    <dataField name="DesvPad de Vol DOLFUT" fld="7" subtotal="stdDev" baseField="2" baseItem="3" numFmtId="44"/>
  </dataFields>
  <conditionalFormats count="1">
    <conditionalFormat priority="1">
      <pivotAreas count="1">
        <pivotArea type="data" collapsedLevelsAreSubtotals="1" fieldPosition="0">
          <references count="1">
            <reference field="2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1" xr16:uid="{C53F7635-1E05-4450-BF68-C8E9B45F41F7}" autoFormatId="16" applyNumberFormats="0" applyBorderFormats="0" applyFontFormats="0" applyPatternFormats="0" applyAlignmentFormats="0" applyWidthHeightFormats="0">
  <queryTableRefresh nextId="4">
    <queryTableFields count="2">
      <queryTableField id="2" name="Column1.cotacaoVenda" tableColumnId="2"/>
      <queryTableField id="3" name="Column1.dataHoraCotacao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EB97F7-4C4B-4196-9F76-35E8CFB633A1}" name="Tabela4" displayName="Tabela4" ref="I1:M2" totalsRowShown="0" headerRowDxfId="7">
  <autoFilter ref="I1:M2" xr:uid="{50EB97F7-4C4B-4196-9F76-35E8CFB633A1}"/>
  <tableColumns count="5">
    <tableColumn id="1" xr3:uid="{684ABA88-9922-4F5F-AEC7-51484E7DFEE4}" name="Contrato Atual" dataDxfId="6"/>
    <tableColumn id="2" xr3:uid="{94CA4CC8-7CF7-480A-8826-FD6D4F75E642}" name="Vencimento" dataDxfId="5"/>
    <tableColumn id="3" xr3:uid="{10713907-FB47-4C92-9582-239047304CA4}" name="Dias úteis" dataDxfId="4">
      <calculatedColumnFormula>NETWORKDAYS(TODAY(), J2)-1</calculatedColumnFormula>
    </tableColumn>
    <tableColumn id="4" xr3:uid="{9984E5C5-11AF-4283-9CF6-44670AC26DB5}" name="Dia" dataDxfId="3"/>
    <tableColumn id="7" xr3:uid="{BC87F481-D369-4B0A-8958-C47BE09CBE6D}" name="Vencimento2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5D5B4-095D-4CA3-9B3B-D1E0D3FCF426}" name="Tabela2" displayName="Tabela2" ref="A1:C349" totalsRowShown="0">
  <autoFilter ref="A1:C349" xr:uid="{FE65D5B4-095D-4CA3-9B3B-D1E0D3FCF426}"/>
  <tableColumns count="3">
    <tableColumn id="1" xr3:uid="{ADC9C640-56EF-4E8E-AA56-13AD7DB4B509}" name="DIA" dataDxfId="12"/>
    <tableColumn id="2" xr3:uid="{55094C66-AC6C-4E97-9753-EA987B376FD5}" name="DX" dataDxfId="11" dataCellStyle="Porcentagem"/>
    <tableColumn id="3" xr3:uid="{4CF19A6A-38FF-4A27-B379-416AC20893A0}" name="D1FUT_D-1" dataDxfId="10" dataCellStyle="Vírgul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034A1B-B00B-4CFC-9497-8D6A93A0C748}" name="Tabela3" displayName="Tabela3" ref="I1:I20" totalsRowShown="0" dataDxfId="9" dataCellStyle="Moeda">
  <autoFilter ref="I1:I20" xr:uid="{F8034A1B-B00B-4CFC-9497-8D6A93A0C748}"/>
  <tableColumns count="1">
    <tableColumn id="1" xr3:uid="{8F11FECC-9964-4FCB-B510-9AE46AD5BD2B}" name="Volume Acumulado" dataDxfId="8" dataCellStyle="Moeda">
      <calculatedColumnFormula>I1+GETPIVOTDATA("Média Vol DOLFUT",$E$1,"Hora",E2)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7D8B0B-5FAD-4DEC-9F95-EF751EC3DB6C}" name="Tabela1" displayName="Tabela1" ref="A1:B2059" tableType="queryTable" totalsRowShown="0">
  <autoFilter ref="A1:B2059" xr:uid="{657D8B0B-5FAD-4DEC-9F95-EF751EC3DB6C}"/>
  <sortState xmlns:xlrd2="http://schemas.microsoft.com/office/spreadsheetml/2017/richdata2" ref="A2:B2059">
    <sortCondition descending="1" ref="B1:B2059"/>
  </sortState>
  <tableColumns count="2">
    <tableColumn id="2" xr3:uid="{A8BB01A7-984C-4251-8E0A-382E56D7B3F8}" uniqueName="2" name="Column1.cotacaoVenda" queryTableFieldId="2" dataDxfId="1" dataCellStyle="Vírgula"/>
    <tableColumn id="3" xr3:uid="{BD55E041-AFE8-47FC-A35B-575E44A49B8E}" uniqueName="3" name="Column1.dataHoraCotaca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A0A4-EA55-4DF5-A342-409345EE4DCD}">
  <sheetPr codeName="Planilha2">
    <tabColor rgb="FF00B0F0"/>
  </sheetPr>
  <dimension ref="A1:N38"/>
  <sheetViews>
    <sheetView zoomScaleNormal="100" workbookViewId="0">
      <selection activeCell="C36" sqref="C36:C37"/>
    </sheetView>
  </sheetViews>
  <sheetFormatPr defaultRowHeight="15" x14ac:dyDescent="0.25"/>
  <cols>
    <col min="1" max="5" width="16.28515625" style="1" customWidth="1"/>
    <col min="6" max="6" width="21.5703125" style="1" customWidth="1"/>
    <col min="7" max="7" width="16.28515625" style="1" customWidth="1"/>
    <col min="8" max="8" width="7.28515625" style="1" customWidth="1"/>
    <col min="9" max="9" width="18.140625" style="1" customWidth="1"/>
    <col min="10" max="11" width="16.28515625" style="1" customWidth="1"/>
    <col min="12" max="13" width="9.140625" style="1"/>
    <col min="14" max="14" width="9.57031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I1" s="1" t="s">
        <v>35</v>
      </c>
      <c r="J1" s="1" t="s">
        <v>36</v>
      </c>
      <c r="K1" s="1" t="s">
        <v>37</v>
      </c>
      <c r="L1" s="1" t="s">
        <v>51</v>
      </c>
      <c r="M1" s="1" t="s">
        <v>52</v>
      </c>
      <c r="N1" s="52" t="s">
        <v>37</v>
      </c>
    </row>
    <row r="2" spans="1:14" x14ac:dyDescent="0.25">
      <c r="A2" s="1" t="s">
        <v>34</v>
      </c>
      <c r="B2" s="55">
        <f>RTD("rtdtrading.rtdserver",, "DI1FUT_F_0", "ULT")</f>
        <v>0</v>
      </c>
      <c r="C2" s="48">
        <f>RTD("rtdtrading.rtdserver",, "DI1FUT_F_0", "ABE")</f>
        <v>0</v>
      </c>
      <c r="D2" s="48">
        <f>RTD("rtdtrading.rtdserver",, "DI1FUT_F_0", "MAX")</f>
        <v>0</v>
      </c>
      <c r="E2" s="48">
        <f>RTD("rtdtrading.rtdserver",, "DI1FUT_F_0", "MIN")</f>
        <v>0</v>
      </c>
      <c r="F2" s="55">
        <f>RTD("rtdtrading.rtdserver",, "DI1FUT_F_0", "FEC")</f>
        <v>0</v>
      </c>
      <c r="G2" s="49">
        <f>RTD("rtdtrading.rtdserver",, "DI1FUT_F_0", "VAR")</f>
        <v>0</v>
      </c>
      <c r="I2" s="1" t="s">
        <v>53</v>
      </c>
      <c r="J2" s="36">
        <v>46023</v>
      </c>
      <c r="K2" s="1">
        <f ca="1">NETWORKDAYS(TODAY(), J2)-1</f>
        <v>-175</v>
      </c>
      <c r="L2" s="53">
        <v>45944</v>
      </c>
      <c r="M2" s="53">
        <v>45962</v>
      </c>
      <c r="N2" s="54">
        <f>NETWORKDAYS(L2,Tabela4[[#This Row],[Vencimento2]])-1</f>
        <v>13</v>
      </c>
    </row>
    <row r="3" spans="1:14" x14ac:dyDescent="0.25">
      <c r="A3" s="1" t="s">
        <v>9</v>
      </c>
      <c r="B3" s="50">
        <f>RTD("rtdtrading.rtdserver",, "DOLFUT_F_0", "ULT")</f>
        <v>0</v>
      </c>
      <c r="C3" s="50">
        <f>RTD("rtdtrading.rtdserver",, "DOLFUT_F_0", "ABE")</f>
        <v>0</v>
      </c>
      <c r="D3" s="50">
        <f>RTD("rtdtrading.rtdserver",, "DOLFUT_F_0", "MAX")</f>
        <v>0</v>
      </c>
      <c r="E3" s="50">
        <f>RTD("rtdtrading.rtdserver",, "DOLFUT_F_0", "MIN")</f>
        <v>0</v>
      </c>
      <c r="F3" s="50">
        <f>RTD("rtdtrading.rtdserver",, "DOLFUT_F_0", "FEC")</f>
        <v>0</v>
      </c>
      <c r="G3" s="50">
        <f>RTD("rtdtrading.rtdserver",, "DOLFUT_F_0", "VAR")</f>
        <v>0</v>
      </c>
      <c r="H3" s="30"/>
    </row>
    <row r="4" spans="1:14" x14ac:dyDescent="0.25">
      <c r="A4" s="1" t="s">
        <v>7</v>
      </c>
      <c r="B4" s="50">
        <f>RTD("rtdtrading.rtdserver",, "WDOFUT_F_0", "ULT")</f>
        <v>0</v>
      </c>
      <c r="C4" s="50">
        <f>RTD("rtdtrading.rtdserver",, "WDOFUT_F_0", "ABE")</f>
        <v>0</v>
      </c>
      <c r="D4" s="50">
        <f>RTD("rtdtrading.rtdserver",, "WDOFUT_F_0", "MAX")</f>
        <v>0</v>
      </c>
      <c r="E4" s="50">
        <f>RTD("rtdtrading.rtdserver",, "WDOFUT_F_0", "MIN")</f>
        <v>0</v>
      </c>
      <c r="F4" s="50">
        <f>RTD("rtdtrading.rtdserver",, "WDOFUT_F_0", "FEC")</f>
        <v>0</v>
      </c>
      <c r="G4" s="50">
        <f>RTD("rtdtrading.rtdserver",, "WDOFUT_F_0", "VAR")</f>
        <v>0</v>
      </c>
      <c r="H4" s="30"/>
      <c r="J4" s="31"/>
    </row>
    <row r="5" spans="1:14" x14ac:dyDescent="0.25">
      <c r="A5" s="1" t="s">
        <v>8</v>
      </c>
      <c r="B5" s="50">
        <f>RTD("rtdtrading.rtdserver",, "FRP0_F_0", "ULT")</f>
        <v>0</v>
      </c>
      <c r="C5" s="51">
        <f>RTD("rtdtrading.rtdserver",, "FRP0_F_0", "ABE")</f>
        <v>0</v>
      </c>
      <c r="D5" s="50">
        <f>RTD("rtdtrading.rtdserver",, "FRP0_F_0", "MAX")</f>
        <v>0</v>
      </c>
      <c r="E5" s="50">
        <f>RTD("rtdtrading.rtdserver",, "FRP0_F_0", "MIN")</f>
        <v>0</v>
      </c>
      <c r="F5" s="50">
        <f>RTD("rtdtrading.rtdserver",, "FRP0_F_0", "FEC")</f>
        <v>0</v>
      </c>
      <c r="G5" s="50">
        <f>RTD("rtdtrading.rtdserver",, "FRP0_F_0", "VAR")</f>
        <v>0</v>
      </c>
      <c r="H5" s="30"/>
    </row>
    <row r="6" spans="1:14" x14ac:dyDescent="0.25">
      <c r="A6" s="1" t="s">
        <v>31</v>
      </c>
      <c r="B6" s="32">
        <f>C5</f>
        <v>0</v>
      </c>
    </row>
    <row r="7" spans="1:14" ht="15.75" thickBot="1" x14ac:dyDescent="0.3">
      <c r="A7" s="5"/>
      <c r="E7" s="5" t="s">
        <v>32</v>
      </c>
      <c r="F7" s="33">
        <f>IF(E9=0,0,(1-$F$4/G12))</f>
        <v>1</v>
      </c>
      <c r="I7" s="5" t="s">
        <v>32</v>
      </c>
      <c r="J7" s="33">
        <f>IF(I9=0,0,(1-$F$4/K12))</f>
        <v>1</v>
      </c>
    </row>
    <row r="8" spans="1:14" x14ac:dyDescent="0.25">
      <c r="A8" s="12" t="s">
        <v>10</v>
      </c>
      <c r="B8" s="2" t="s">
        <v>6</v>
      </c>
      <c r="C8" s="17">
        <v>27</v>
      </c>
      <c r="E8" s="12" t="s">
        <v>16</v>
      </c>
      <c r="F8" s="2" t="s">
        <v>6</v>
      </c>
      <c r="G8" s="17">
        <v>27</v>
      </c>
      <c r="I8" s="12" t="s">
        <v>17</v>
      </c>
      <c r="J8" s="2" t="s">
        <v>6</v>
      </c>
      <c r="K8" s="17">
        <v>27</v>
      </c>
    </row>
    <row r="9" spans="1:14" ht="15.75" thickBot="1" x14ac:dyDescent="0.3">
      <c r="A9" s="18">
        <v>-1.6000000000000001E-3</v>
      </c>
      <c r="B9" s="16" t="s">
        <v>22</v>
      </c>
      <c r="C9" s="8">
        <f>C10+24</f>
        <v>74.998400000000004</v>
      </c>
      <c r="E9" s="6">
        <f>'SV com Ptax'!B31</f>
        <v>5181.3999999999996</v>
      </c>
      <c r="F9" s="16" t="s">
        <v>22</v>
      </c>
      <c r="G9" s="8">
        <f>G10+24</f>
        <v>5256.4</v>
      </c>
      <c r="I9" s="6">
        <f>('SV com Ptax'!B32)</f>
        <v>5181</v>
      </c>
      <c r="J9" s="16" t="s">
        <v>22</v>
      </c>
      <c r="K9" s="8">
        <f>K10+24</f>
        <v>5256.2</v>
      </c>
    </row>
    <row r="10" spans="1:14" ht="15.75" thickBot="1" x14ac:dyDescent="0.3">
      <c r="A10" s="13"/>
      <c r="B10" s="16" t="s">
        <v>21</v>
      </c>
      <c r="C10" s="8">
        <f>C11+24</f>
        <v>50.998400000000004</v>
      </c>
      <c r="E10" s="12" t="s">
        <v>14</v>
      </c>
      <c r="F10" s="16" t="s">
        <v>21</v>
      </c>
      <c r="G10" s="8">
        <f>G11+24</f>
        <v>5232.3999999999996</v>
      </c>
      <c r="I10" s="12" t="s">
        <v>14</v>
      </c>
      <c r="J10" s="16" t="s">
        <v>21</v>
      </c>
      <c r="K10" s="8">
        <f>K11+24</f>
        <v>5232.2</v>
      </c>
    </row>
    <row r="11" spans="1:14" x14ac:dyDescent="0.25">
      <c r="A11" s="13"/>
      <c r="B11" s="16" t="s">
        <v>11</v>
      </c>
      <c r="C11" s="8">
        <f>C12+C8</f>
        <v>26.9984</v>
      </c>
      <c r="E11" s="12" t="s">
        <v>8</v>
      </c>
      <c r="F11" s="16" t="s">
        <v>11</v>
      </c>
      <c r="G11" s="8">
        <f>G12+G8</f>
        <v>5208.3999999999996</v>
      </c>
      <c r="I11" s="12" t="s">
        <v>8</v>
      </c>
      <c r="J11" s="16" t="s">
        <v>11</v>
      </c>
      <c r="K11" s="8">
        <f>K12+K8</f>
        <v>5208.2</v>
      </c>
    </row>
    <row r="12" spans="1:14" ht="15.75" thickBot="1" x14ac:dyDescent="0.3">
      <c r="A12" s="13"/>
      <c r="B12" s="3" t="s">
        <v>12</v>
      </c>
      <c r="C12" s="11">
        <f>F4+(A9)</f>
        <v>-1.6000000000000001E-3</v>
      </c>
      <c r="E12" s="34">
        <f>B6</f>
        <v>0</v>
      </c>
      <c r="F12" s="3" t="s">
        <v>12</v>
      </c>
      <c r="G12" s="11">
        <f>E15</f>
        <v>5181.3999999999996</v>
      </c>
      <c r="I12" s="35">
        <f>E12</f>
        <v>0</v>
      </c>
      <c r="J12" s="3" t="s">
        <v>12</v>
      </c>
      <c r="K12" s="11">
        <f>(I15+E15)/2</f>
        <v>5181.2</v>
      </c>
    </row>
    <row r="13" spans="1:14" ht="15.75" thickBot="1" x14ac:dyDescent="0.3">
      <c r="A13" s="13"/>
      <c r="B13" s="15" t="s">
        <v>11</v>
      </c>
      <c r="C13" s="9">
        <v>5572.77</v>
      </c>
      <c r="E13" s="12" t="s">
        <v>15</v>
      </c>
      <c r="F13" s="15" t="s">
        <v>11</v>
      </c>
      <c r="G13" s="9">
        <f>G12-G8</f>
        <v>5154.3999999999996</v>
      </c>
      <c r="I13" s="12" t="s">
        <v>15</v>
      </c>
      <c r="J13" s="15" t="s">
        <v>11</v>
      </c>
      <c r="K13" s="9">
        <f>K12-K8</f>
        <v>5154.2</v>
      </c>
    </row>
    <row r="14" spans="1:14" x14ac:dyDescent="0.25">
      <c r="A14" s="13"/>
      <c r="B14" s="15" t="s">
        <v>21</v>
      </c>
      <c r="C14" s="9">
        <f>C13-24</f>
        <v>5548.77</v>
      </c>
      <c r="E14" s="12" t="s">
        <v>13</v>
      </c>
      <c r="F14" s="15" t="s">
        <v>21</v>
      </c>
      <c r="G14" s="9">
        <f>G13-24</f>
        <v>5130.3999999999996</v>
      </c>
      <c r="I14" s="12" t="s">
        <v>13</v>
      </c>
      <c r="J14" s="15" t="s">
        <v>21</v>
      </c>
      <c r="K14" s="9">
        <f>K13-24</f>
        <v>5130.2</v>
      </c>
    </row>
    <row r="15" spans="1:14" ht="15.75" thickBot="1" x14ac:dyDescent="0.3">
      <c r="A15" s="14"/>
      <c r="B15" s="4" t="s">
        <v>22</v>
      </c>
      <c r="C15" s="10">
        <f>C14-24</f>
        <v>5524.77</v>
      </c>
      <c r="E15" s="20">
        <f>E9+E12</f>
        <v>5181.3999999999996</v>
      </c>
      <c r="F15" s="4" t="s">
        <v>22</v>
      </c>
      <c r="G15" s="10">
        <f>G14-24</f>
        <v>5106.3999999999996</v>
      </c>
      <c r="I15" s="20">
        <f>I9+I12</f>
        <v>5181</v>
      </c>
      <c r="J15" s="4" t="s">
        <v>22</v>
      </c>
      <c r="K15" s="10">
        <f>K14-24</f>
        <v>5106.2</v>
      </c>
    </row>
    <row r="17" spans="1:11" ht="15.75" thickBot="1" x14ac:dyDescent="0.3">
      <c r="A17" s="5" t="s">
        <v>32</v>
      </c>
      <c r="B17" s="33">
        <f>IF(A19=0,0,(1-$F$4/C22))</f>
        <v>1</v>
      </c>
      <c r="E17" s="5" t="s">
        <v>32</v>
      </c>
      <c r="F17" s="33">
        <f>IF(E19=0,0,(1-$F$4/G22))</f>
        <v>1</v>
      </c>
      <c r="I17" s="5" t="s">
        <v>32</v>
      </c>
      <c r="J17" s="33">
        <f>IF(I19=0,0,(1-$F$4/K22))</f>
        <v>1</v>
      </c>
    </row>
    <row r="18" spans="1:11" x14ac:dyDescent="0.25">
      <c r="A18" s="12" t="s">
        <v>18</v>
      </c>
      <c r="B18" s="2" t="s">
        <v>6</v>
      </c>
      <c r="C18" s="17">
        <v>27</v>
      </c>
      <c r="E18" s="12" t="s">
        <v>19</v>
      </c>
      <c r="F18" s="2" t="s">
        <v>6</v>
      </c>
      <c r="G18" s="17">
        <v>27</v>
      </c>
      <c r="I18" s="12" t="s">
        <v>20</v>
      </c>
      <c r="J18" s="2" t="s">
        <v>6</v>
      </c>
      <c r="K18" s="17">
        <v>27</v>
      </c>
    </row>
    <row r="19" spans="1:11" ht="15.75" thickBot="1" x14ac:dyDescent="0.3">
      <c r="A19" s="6">
        <f>('SV com Ptax'!B33+'SV com Ptax'!B32)/2</f>
        <v>5182</v>
      </c>
      <c r="B19" s="16" t="s">
        <v>22</v>
      </c>
      <c r="C19" s="8">
        <f>C20+24</f>
        <v>5256.4666666666662</v>
      </c>
      <c r="E19" s="6">
        <f>('SV com Ptax'!B34+'SV com Ptax'!B33)/2</f>
        <v>5182.0499999999993</v>
      </c>
      <c r="F19" s="16" t="s">
        <v>22</v>
      </c>
      <c r="G19" s="8">
        <f>G20+24</f>
        <v>5256.6124999999993</v>
      </c>
      <c r="I19" s="6">
        <f>'SV com Ptax'!B35</f>
        <v>5181.6200000000008</v>
      </c>
      <c r="J19" s="16" t="s">
        <v>22</v>
      </c>
      <c r="K19" s="8">
        <f>K20+24</f>
        <v>5256.6139999999996</v>
      </c>
    </row>
    <row r="20" spans="1:11" ht="15.75" thickBot="1" x14ac:dyDescent="0.3">
      <c r="A20" s="12" t="s">
        <v>14</v>
      </c>
      <c r="B20" s="16" t="s">
        <v>21</v>
      </c>
      <c r="C20" s="8">
        <f>C21+24</f>
        <v>5232.4666666666662</v>
      </c>
      <c r="E20" s="12" t="s">
        <v>14</v>
      </c>
      <c r="F20" s="16" t="s">
        <v>21</v>
      </c>
      <c r="G20" s="8">
        <f>G21+24</f>
        <v>5232.6124999999993</v>
      </c>
      <c r="I20" s="12" t="s">
        <v>14</v>
      </c>
      <c r="J20" s="16" t="s">
        <v>21</v>
      </c>
      <c r="K20" s="8">
        <f>K21+24</f>
        <v>5232.6139999999996</v>
      </c>
    </row>
    <row r="21" spans="1:11" x14ac:dyDescent="0.25">
      <c r="A21" s="12" t="s">
        <v>8</v>
      </c>
      <c r="B21" s="16" t="s">
        <v>11</v>
      </c>
      <c r="C21" s="8">
        <f>C22+C18</f>
        <v>5208.4666666666662</v>
      </c>
      <c r="E21" s="12" t="s">
        <v>8</v>
      </c>
      <c r="F21" s="16" t="s">
        <v>11</v>
      </c>
      <c r="G21" s="8">
        <f>G22+G18</f>
        <v>5208.6124999999993</v>
      </c>
      <c r="I21" s="12" t="s">
        <v>8</v>
      </c>
      <c r="J21" s="16" t="s">
        <v>11</v>
      </c>
      <c r="K21" s="8">
        <f>K22+K18</f>
        <v>5208.6139999999996</v>
      </c>
    </row>
    <row r="22" spans="1:11" ht="15.75" thickBot="1" x14ac:dyDescent="0.3">
      <c r="A22" s="35">
        <f>E12</f>
        <v>0</v>
      </c>
      <c r="B22" s="3" t="s">
        <v>12</v>
      </c>
      <c r="C22" s="11">
        <f>(A25+I15+E15)/3</f>
        <v>5181.4666666666662</v>
      </c>
      <c r="E22" s="35">
        <f>E12</f>
        <v>0</v>
      </c>
      <c r="F22" s="3" t="s">
        <v>12</v>
      </c>
      <c r="G22" s="11">
        <f>(E25+A25+I15+E15)/4</f>
        <v>5181.6124999999993</v>
      </c>
      <c r="I22" s="35">
        <f>I12</f>
        <v>0</v>
      </c>
      <c r="J22" s="3" t="s">
        <v>12</v>
      </c>
      <c r="K22" s="11">
        <f>(I25+E25+A25+I15+E15)/5</f>
        <v>5181.6139999999996</v>
      </c>
    </row>
    <row r="23" spans="1:11" ht="15.75" thickBot="1" x14ac:dyDescent="0.3">
      <c r="A23" s="12" t="s">
        <v>15</v>
      </c>
      <c r="B23" s="15" t="s">
        <v>11</v>
      </c>
      <c r="C23" s="9">
        <f>C22-C18</f>
        <v>5154.4666666666662</v>
      </c>
      <c r="E23" s="12" t="s">
        <v>15</v>
      </c>
      <c r="F23" s="15" t="s">
        <v>11</v>
      </c>
      <c r="G23" s="9">
        <f>G22-G18</f>
        <v>5154.6124999999993</v>
      </c>
      <c r="I23" s="12" t="s">
        <v>15</v>
      </c>
      <c r="J23" s="15" t="s">
        <v>11</v>
      </c>
      <c r="K23" s="9">
        <f>K22-K18</f>
        <v>5154.6139999999996</v>
      </c>
    </row>
    <row r="24" spans="1:11" x14ac:dyDescent="0.25">
      <c r="A24" s="12" t="s">
        <v>13</v>
      </c>
      <c r="B24" s="15" t="s">
        <v>21</v>
      </c>
      <c r="C24" s="9">
        <f>C23-24</f>
        <v>5130.4666666666662</v>
      </c>
      <c r="E24" s="12" t="s">
        <v>13</v>
      </c>
      <c r="F24" s="15" t="s">
        <v>21</v>
      </c>
      <c r="G24" s="9">
        <f>G23-24</f>
        <v>5130.6124999999993</v>
      </c>
      <c r="I24" s="12" t="s">
        <v>13</v>
      </c>
      <c r="J24" s="15" t="s">
        <v>21</v>
      </c>
      <c r="K24" s="9">
        <f>K23-24</f>
        <v>5130.6139999999996</v>
      </c>
    </row>
    <row r="25" spans="1:11" ht="15.75" thickBot="1" x14ac:dyDescent="0.3">
      <c r="A25" s="20">
        <f>A19+A22</f>
        <v>5182</v>
      </c>
      <c r="B25" s="4" t="s">
        <v>22</v>
      </c>
      <c r="C25" s="10">
        <f>C24-24</f>
        <v>5106.4666666666662</v>
      </c>
      <c r="E25" s="20">
        <f>E19+E22</f>
        <v>5182.0499999999993</v>
      </c>
      <c r="F25" s="4" t="s">
        <v>22</v>
      </c>
      <c r="G25" s="10">
        <f>G24-24</f>
        <v>5106.6124999999993</v>
      </c>
      <c r="I25" s="20">
        <f>I19+I22</f>
        <v>5181.6200000000008</v>
      </c>
      <c r="J25" s="4" t="s">
        <v>22</v>
      </c>
      <c r="K25" s="10">
        <f>K24-24</f>
        <v>5106.6139999999996</v>
      </c>
    </row>
    <row r="28" spans="1:11" x14ac:dyDescent="0.25">
      <c r="A28" s="19"/>
      <c r="B28" s="58" t="s">
        <v>47</v>
      </c>
      <c r="C28" s="58"/>
      <c r="D28" s="58"/>
      <c r="E28" s="58"/>
    </row>
    <row r="29" spans="1:11" ht="15.75" thickBot="1" x14ac:dyDescent="0.3"/>
    <row r="30" spans="1:11" ht="15.75" thickBot="1" x14ac:dyDescent="0.3">
      <c r="A30" s="22" t="s">
        <v>25</v>
      </c>
      <c r="B30" s="23">
        <v>46265</v>
      </c>
    </row>
    <row r="31" spans="1:11" x14ac:dyDescent="0.25">
      <c r="A31" s="27" t="s">
        <v>26</v>
      </c>
      <c r="B31" s="24" cm="1">
        <f t="array" ref="B31">IFERROR(_xlfn.LET(_xlpm.d,$B$30,
     _xlpm.linhas, _xlfn._xlws.FILTER(VALUE(Tabela1[Column1.dataHoraCotacao]), INT(VALUE(Tabela1[Column1.dataHoraCotacao]))=_xlpm.d),
     _xlpm.valores, _xlfn._xlws.FILTER(Tabela1[Column1.cotacaoVenda],          INT(VALUE(Tabela1[Column1.dataHoraCotacao]))=_xlpm.d),
     IFERROR( INDEX(_xlpm.valores, MATCH(SMALL(_xlpm.linhas,1), _xlpm.linhas,0)), "—"))*1000,0)</f>
        <v>5181.3999999999996</v>
      </c>
    </row>
    <row r="32" spans="1:11" x14ac:dyDescent="0.25">
      <c r="A32" s="28" t="s">
        <v>27</v>
      </c>
      <c r="B32" s="25" cm="1">
        <f t="array" ref="B32">IFERROR(_xlfn.LET(_xlpm.d,$B$30,
     _xlpm.linhas, _xlfn._xlws.FILTER(VALUE(Tabela1[Column1.dataHoraCotacao]), INT(VALUE(Tabela1[Column1.dataHoraCotacao]))=_xlpm.d),
     _xlpm.valores, _xlfn._xlws.FILTER(Tabela1[Column1.cotacaoVenda],          INT(VALUE(Tabela1[Column1.dataHoraCotacao]))=_xlpm.d),
     IFERROR( INDEX(_xlpm.valores, MATCH(SMALL(_xlpm.linhas,2), _xlpm.linhas,0)), "—"))*1000,0)</f>
        <v>5181</v>
      </c>
    </row>
    <row r="33" spans="1:4" x14ac:dyDescent="0.25">
      <c r="A33" s="28" t="s">
        <v>28</v>
      </c>
      <c r="B33" s="25" cm="1">
        <f t="array" ref="B33">IFERROR(_xlfn.LET(_xlpm.d,$B$30,
     _xlpm.linhas, _xlfn._xlws.FILTER(VALUE(Tabela1[Column1.dataHoraCotacao]), INT(VALUE(Tabela1[Column1.dataHoraCotacao]))=_xlpm.d),
     _xlpm.valores, _xlfn._xlws.FILTER(Tabela1[Column1.cotacaoVenda],          INT(VALUE(Tabela1[Column1.dataHoraCotacao]))=_xlpm.d),
     IFERROR( INDEX(_xlpm.valores, MATCH(SMALL(_xlpm.linhas,3), _xlpm.linhas,0)), "—"))*1000,0)</f>
        <v>5183</v>
      </c>
    </row>
    <row r="34" spans="1:4" x14ac:dyDescent="0.25">
      <c r="A34" s="28" t="s">
        <v>29</v>
      </c>
      <c r="B34" s="25" cm="1">
        <f t="array" ref="B34">IFERROR(_xlfn.LET(_xlpm.d,$B$30,
     _xlpm.linhas, _xlfn._xlws.FILTER(VALUE(Tabela1[Column1.dataHoraCotacao]), INT(VALUE(Tabela1[Column1.dataHoraCotacao]))=_xlpm.d),
     _xlpm.valores, _xlfn._xlws.FILTER(Tabela1[Column1.cotacaoVenda],          INT(VALUE(Tabela1[Column1.dataHoraCotacao]))=_xlpm.d),
     IFERROR( INDEX(_xlpm.valores, MATCH(SMALL(_xlpm.linhas,4), _xlpm.linhas,0)), "—"))*1000,0)</f>
        <v>5181.0999999999995</v>
      </c>
    </row>
    <row r="35" spans="1:4" ht="15.75" thickBot="1" x14ac:dyDescent="0.3">
      <c r="A35" s="29" t="s">
        <v>30</v>
      </c>
      <c r="B35" s="26" cm="1">
        <f t="array" ref="B35">IFERROR(_xlfn.LET(_xlpm.d,$B$30,
     _xlpm.valores, _xlfn._xlws.FILTER(Tabela1[Column1.cotacaoVenda], INT(VALUE(Tabela1[Column1.dataHoraCotacao]))=_xlpm.d),
     IFERROR(AVERAGE(_xlpm.valores), "—"))*1000,0)</f>
        <v>5181.6200000000008</v>
      </c>
    </row>
    <row r="36" spans="1:4" x14ac:dyDescent="0.25">
      <c r="A36" s="7"/>
    </row>
    <row r="38" spans="1:4" x14ac:dyDescent="0.25">
      <c r="D38" s="5"/>
    </row>
  </sheetData>
  <mergeCells count="1">
    <mergeCell ref="B28:E2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6684-2329-4C9D-99E5-016AE7988AA8}">
  <sheetPr codeName="Planilha3">
    <tabColor rgb="FF00B050"/>
  </sheetPr>
  <dimension ref="A1:N349"/>
  <sheetViews>
    <sheetView workbookViewId="0">
      <selection activeCell="F37" sqref="F37"/>
    </sheetView>
  </sheetViews>
  <sheetFormatPr defaultRowHeight="15" x14ac:dyDescent="0.25"/>
  <cols>
    <col min="1" max="1" width="10.7109375" style="36" bestFit="1" customWidth="1"/>
    <col min="2" max="2" width="9.140625" style="37"/>
    <col min="3" max="3" width="14.42578125" style="56" bestFit="1" customWidth="1"/>
    <col min="5" max="5" width="10.7109375" bestFit="1" customWidth="1"/>
    <col min="6" max="6" width="19.5703125" bestFit="1" customWidth="1"/>
    <col min="7" max="7" width="22.5703125" bestFit="1" customWidth="1"/>
    <col min="9" max="9" width="21.7109375" bestFit="1" customWidth="1"/>
    <col min="12" max="12" width="10.7109375" bestFit="1" customWidth="1"/>
    <col min="13" max="13" width="19.5703125" bestFit="1" customWidth="1"/>
    <col min="14" max="14" width="22.5703125" bestFit="1" customWidth="1"/>
  </cols>
  <sheetData>
    <row r="1" spans="1:14" x14ac:dyDescent="0.25">
      <c r="A1" s="36" t="s">
        <v>33</v>
      </c>
      <c r="B1" s="37" t="s">
        <v>10</v>
      </c>
      <c r="C1" s="56" t="s">
        <v>54</v>
      </c>
      <c r="E1" s="43" t="s">
        <v>38</v>
      </c>
      <c r="F1" t="s">
        <v>48</v>
      </c>
      <c r="G1" t="s">
        <v>49</v>
      </c>
      <c r="I1" t="s">
        <v>50</v>
      </c>
      <c r="L1" s="43" t="s">
        <v>38</v>
      </c>
      <c r="M1" t="s">
        <v>48</v>
      </c>
      <c r="N1" t="s">
        <v>49</v>
      </c>
    </row>
    <row r="2" spans="1:14" x14ac:dyDescent="0.25">
      <c r="A2" s="36">
        <v>45902</v>
      </c>
      <c r="C2" s="57">
        <v>13.223000000000001</v>
      </c>
      <c r="E2" s="44">
        <v>0.375</v>
      </c>
      <c r="F2" s="46">
        <v>4351926126.7505608</v>
      </c>
      <c r="G2" s="46">
        <v>2120829439.0440514</v>
      </c>
      <c r="H2" s="47"/>
      <c r="I2" s="47">
        <f>GETPIVOTDATA("Média Vol DOLFUT",$E$1,"Hora",E2)</f>
        <v>4351926126.7505608</v>
      </c>
      <c r="L2" s="45" t="s">
        <v>55</v>
      </c>
      <c r="M2" s="46">
        <v>3516459736.4178619</v>
      </c>
      <c r="N2" s="46">
        <v>2114139599.3554385</v>
      </c>
    </row>
    <row r="3" spans="1:14" x14ac:dyDescent="0.25">
      <c r="A3" s="36">
        <v>45903</v>
      </c>
      <c r="C3" s="57">
        <v>13.284000000000001</v>
      </c>
      <c r="E3" s="44">
        <v>0.39583333333333331</v>
      </c>
      <c r="F3" s="46">
        <v>4662109552.1351423</v>
      </c>
      <c r="G3" s="46">
        <v>2084278050.5210307</v>
      </c>
      <c r="H3" s="47"/>
      <c r="I3" s="47">
        <f t="shared" ref="I3:I20" si="0">I2+GETPIVOTDATA("Média Vol DOLFUT",$E$1,"Hora",E3)</f>
        <v>9014035678.885704</v>
      </c>
      <c r="L3" s="45" t="s">
        <v>56</v>
      </c>
      <c r="M3" s="46">
        <v>3720470742.645575</v>
      </c>
      <c r="N3" s="46">
        <v>2082999606.9374795</v>
      </c>
    </row>
    <row r="4" spans="1:14" x14ac:dyDescent="0.25">
      <c r="A4" s="36">
        <v>45904</v>
      </c>
      <c r="C4" s="57">
        <v>13.294</v>
      </c>
      <c r="E4" s="44">
        <v>0.41666666666666669</v>
      </c>
      <c r="F4" s="46">
        <v>5374533255.73528</v>
      </c>
      <c r="G4" s="46">
        <v>2162657694.1021476</v>
      </c>
      <c r="H4" s="47"/>
      <c r="I4" s="47">
        <f t="shared" si="0"/>
        <v>14388568934.620983</v>
      </c>
      <c r="L4" s="45" t="s">
        <v>57</v>
      </c>
      <c r="M4" s="46">
        <v>4175093604.2613311</v>
      </c>
      <c r="N4" s="46">
        <v>2399248951.5232687</v>
      </c>
    </row>
    <row r="5" spans="1:14" x14ac:dyDescent="0.25">
      <c r="A5" s="36">
        <v>45905</v>
      </c>
      <c r="C5" s="57">
        <v>13.28</v>
      </c>
      <c r="E5" s="44">
        <v>0.4375</v>
      </c>
      <c r="F5" s="46">
        <v>5291317070.1696253</v>
      </c>
      <c r="G5" s="46">
        <v>2233076654.7655964</v>
      </c>
      <c r="H5" s="47"/>
      <c r="I5" s="47">
        <f t="shared" si="0"/>
        <v>19679886004.790607</v>
      </c>
      <c r="L5" s="45" t="s">
        <v>58</v>
      </c>
      <c r="M5" s="46">
        <v>3900284291.6108689</v>
      </c>
      <c r="N5" s="46">
        <v>2649776428.3292379</v>
      </c>
    </row>
    <row r="6" spans="1:14" x14ac:dyDescent="0.25">
      <c r="A6" s="36">
        <v>45908</v>
      </c>
      <c r="C6" s="57">
        <v>13.223000000000001</v>
      </c>
      <c r="E6" s="44">
        <v>0.45833333333333331</v>
      </c>
      <c r="F6" s="46">
        <v>5499173138.1601849</v>
      </c>
      <c r="G6" s="46">
        <v>2360464365.2278452</v>
      </c>
      <c r="H6" s="47"/>
      <c r="I6" s="47">
        <f t="shared" si="0"/>
        <v>25179059142.95079</v>
      </c>
      <c r="L6" s="45" t="s">
        <v>59</v>
      </c>
      <c r="M6" s="46">
        <v>3225745522.2028255</v>
      </c>
      <c r="N6" s="46">
        <v>2025224033.4685869</v>
      </c>
    </row>
    <row r="7" spans="1:14" x14ac:dyDescent="0.25">
      <c r="A7" s="36">
        <v>45909</v>
      </c>
      <c r="C7" s="57">
        <v>13.246</v>
      </c>
      <c r="E7" s="44">
        <v>0.47916666666666669</v>
      </c>
      <c r="F7" s="46">
        <v>4821580955.4479465</v>
      </c>
      <c r="G7" s="46">
        <v>2087925364.0310569</v>
      </c>
      <c r="H7" s="47"/>
      <c r="I7" s="47">
        <f t="shared" si="0"/>
        <v>30000640098.398735</v>
      </c>
      <c r="L7" s="45" t="s">
        <v>60</v>
      </c>
      <c r="M7" s="46">
        <v>3460508794.6852102</v>
      </c>
      <c r="N7" s="46">
        <v>2051863968.2641175</v>
      </c>
    </row>
    <row r="8" spans="1:14" x14ac:dyDescent="0.25">
      <c r="A8" s="36">
        <v>45910</v>
      </c>
      <c r="B8" s="37">
        <v>2.9999999999999997E-4</v>
      </c>
      <c r="C8" s="57">
        <v>13.27</v>
      </c>
      <c r="E8" s="44">
        <v>0.5</v>
      </c>
      <c r="F8" s="46">
        <v>4739996655.3216829</v>
      </c>
      <c r="G8" s="46">
        <v>2344532742.489748</v>
      </c>
      <c r="H8" s="47"/>
      <c r="I8" s="47">
        <f t="shared" si="0"/>
        <v>34740636753.720421</v>
      </c>
      <c r="L8" s="45" t="s">
        <v>45</v>
      </c>
      <c r="M8" s="46">
        <v>3689505220.1996059</v>
      </c>
      <c r="N8" s="46">
        <v>2275408236.2390723</v>
      </c>
    </row>
    <row r="9" spans="1:14" x14ac:dyDescent="0.25">
      <c r="A9" s="36">
        <v>45911</v>
      </c>
      <c r="B9" s="37">
        <v>-1.6999999999999999E-3</v>
      </c>
      <c r="C9" s="57">
        <v>13.303000000000001</v>
      </c>
      <c r="E9" s="44">
        <v>0.52083333333333337</v>
      </c>
      <c r="F9" s="46">
        <v>3587327850.6573834</v>
      </c>
      <c r="G9" s="46">
        <v>2044017211.3571088</v>
      </c>
      <c r="H9" s="47"/>
      <c r="I9" s="47">
        <f t="shared" si="0"/>
        <v>38327964604.377808</v>
      </c>
    </row>
    <row r="10" spans="1:14" x14ac:dyDescent="0.25">
      <c r="A10" s="36">
        <v>45912</v>
      </c>
      <c r="B10" s="37">
        <v>1.9E-3</v>
      </c>
      <c r="C10" s="57">
        <v>13.327</v>
      </c>
      <c r="E10" s="44">
        <v>0.54166666666666663</v>
      </c>
      <c r="F10" s="46">
        <v>3681682860.516345</v>
      </c>
      <c r="G10" s="46">
        <v>1982516997.0241461</v>
      </c>
      <c r="H10" s="47"/>
      <c r="I10" s="47">
        <f t="shared" si="0"/>
        <v>42009647464.89415</v>
      </c>
    </row>
    <row r="11" spans="1:14" x14ac:dyDescent="0.25">
      <c r="A11" s="36">
        <v>45915</v>
      </c>
      <c r="B11" s="37">
        <v>-1.8E-3</v>
      </c>
      <c r="C11" s="57">
        <v>13.321999999999999</v>
      </c>
      <c r="E11" s="44">
        <v>0.5625</v>
      </c>
      <c r="F11" s="46">
        <v>3001188422.2362509</v>
      </c>
      <c r="G11" s="46">
        <v>1728522426.5442705</v>
      </c>
      <c r="H11" s="47"/>
      <c r="I11" s="47">
        <f t="shared" si="0"/>
        <v>45010835887.130402</v>
      </c>
    </row>
    <row r="12" spans="1:14" x14ac:dyDescent="0.25">
      <c r="A12" s="36">
        <v>45916</v>
      </c>
      <c r="B12" s="37">
        <v>-3.5000000000000001E-3</v>
      </c>
      <c r="C12" s="57">
        <v>13.294</v>
      </c>
      <c r="E12" s="44">
        <v>0.58333333333333337</v>
      </c>
      <c r="F12" s="46">
        <v>3134804230.6235652</v>
      </c>
      <c r="G12" s="46">
        <v>1874346586.6340623</v>
      </c>
      <c r="H12" s="47"/>
      <c r="I12" s="47">
        <f t="shared" si="0"/>
        <v>48145640117.753967</v>
      </c>
    </row>
    <row r="13" spans="1:14" x14ac:dyDescent="0.25">
      <c r="A13" s="36">
        <v>45917</v>
      </c>
      <c r="B13" s="37">
        <v>1.6999999999999999E-3</v>
      </c>
      <c r="C13" s="57">
        <v>13.250999999999999</v>
      </c>
      <c r="E13" s="44">
        <v>0.60416666666666663</v>
      </c>
      <c r="F13" s="46">
        <v>3431292534.1891699</v>
      </c>
      <c r="G13" s="46">
        <v>1909999298.1380479</v>
      </c>
      <c r="H13" s="47"/>
      <c r="I13" s="47">
        <f t="shared" si="0"/>
        <v>51576932651.943138</v>
      </c>
    </row>
    <row r="14" spans="1:14" x14ac:dyDescent="0.25">
      <c r="A14" s="36">
        <v>45918</v>
      </c>
      <c r="B14" s="37">
        <v>2E-3</v>
      </c>
      <c r="C14" s="57">
        <v>13.242000000000001</v>
      </c>
      <c r="E14" s="44">
        <v>0.625</v>
      </c>
      <c r="F14" s="46">
        <v>3852388264.4400463</v>
      </c>
      <c r="G14" s="46">
        <v>1961177435.4549661</v>
      </c>
      <c r="H14" s="47"/>
      <c r="I14" s="47">
        <f t="shared" si="0"/>
        <v>55429320916.383186</v>
      </c>
    </row>
    <row r="15" spans="1:14" x14ac:dyDescent="0.25">
      <c r="A15" s="36">
        <v>45919</v>
      </c>
      <c r="B15" s="37">
        <v>4.0000000000000001E-3</v>
      </c>
      <c r="C15" s="57">
        <v>13.294</v>
      </c>
      <c r="E15" s="44">
        <v>0.64583333333333337</v>
      </c>
      <c r="F15" s="46">
        <v>3790870435.8870702</v>
      </c>
      <c r="G15" s="46">
        <v>1954737607.2378299</v>
      </c>
      <c r="H15" s="47"/>
      <c r="I15" s="47">
        <f t="shared" si="0"/>
        <v>59220191352.270256</v>
      </c>
    </row>
    <row r="16" spans="1:14" x14ac:dyDescent="0.25">
      <c r="A16" s="36">
        <v>45922</v>
      </c>
      <c r="B16" s="37">
        <v>-1.6999999999999999E-3</v>
      </c>
      <c r="C16" s="57">
        <v>13.298999999999999</v>
      </c>
      <c r="E16" s="44">
        <v>0.66666666666666663</v>
      </c>
      <c r="F16" s="46">
        <v>3099359993.2710686</v>
      </c>
      <c r="G16" s="46">
        <v>1501362195.892493</v>
      </c>
      <c r="H16" s="47"/>
      <c r="I16" s="47">
        <f t="shared" si="0"/>
        <v>62319551345.541321</v>
      </c>
    </row>
    <row r="17" spans="1:9" x14ac:dyDescent="0.25">
      <c r="A17" s="36">
        <v>45923</v>
      </c>
      <c r="B17" s="37">
        <v>-2.0000000000000001E-4</v>
      </c>
      <c r="C17" s="57">
        <v>14.05</v>
      </c>
      <c r="E17" s="44">
        <v>0.6875</v>
      </c>
      <c r="F17" s="46">
        <v>2687475367.777523</v>
      </c>
      <c r="G17" s="46">
        <v>1878408648.3768294</v>
      </c>
      <c r="H17" s="47"/>
      <c r="I17" s="47">
        <f t="shared" si="0"/>
        <v>65007026713.318848</v>
      </c>
    </row>
    <row r="18" spans="1:9" x14ac:dyDescent="0.25">
      <c r="A18" s="36">
        <v>45924</v>
      </c>
      <c r="B18" s="37">
        <v>4.7999999999999996E-3</v>
      </c>
      <c r="C18" s="57">
        <v>13.99</v>
      </c>
      <c r="E18" s="44">
        <v>0.70833333333333337</v>
      </c>
      <c r="F18" s="46">
        <v>2453879377.1911216</v>
      </c>
      <c r="G18" s="46">
        <v>1830400229.7234457</v>
      </c>
      <c r="H18" s="47"/>
      <c r="I18" s="47">
        <f t="shared" si="0"/>
        <v>67460906090.509972</v>
      </c>
    </row>
    <row r="19" spans="1:9" x14ac:dyDescent="0.25">
      <c r="A19" s="36">
        <v>45925</v>
      </c>
      <c r="B19" s="37">
        <v>1E-4</v>
      </c>
      <c r="C19" s="57">
        <v>14.01</v>
      </c>
      <c r="E19" s="44">
        <v>0.72916666666666663</v>
      </c>
      <c r="F19" s="46">
        <v>1674064274.0701876</v>
      </c>
      <c r="G19" s="46">
        <v>1229138877.6330988</v>
      </c>
      <c r="H19" s="47"/>
      <c r="I19" s="47">
        <f t="shared" si="0"/>
        <v>69134970364.580154</v>
      </c>
    </row>
    <row r="20" spans="1:9" x14ac:dyDescent="0.25">
      <c r="A20" s="36">
        <v>45926</v>
      </c>
      <c r="B20" s="37">
        <v>-1.1000000000000001E-3</v>
      </c>
      <c r="C20" s="57">
        <v>13.365</v>
      </c>
      <c r="E20" s="44">
        <v>0.75</v>
      </c>
      <c r="F20" s="46">
        <v>981254999.74256968</v>
      </c>
      <c r="G20" s="46">
        <v>797210265.55112231</v>
      </c>
      <c r="H20" s="47"/>
      <c r="I20" s="47">
        <f t="shared" si="0"/>
        <v>70116225364.322723</v>
      </c>
    </row>
    <row r="21" spans="1:9" x14ac:dyDescent="0.25">
      <c r="A21" s="36">
        <v>45929</v>
      </c>
      <c r="B21" s="37">
        <v>-2.2000000000000001E-3</v>
      </c>
      <c r="C21" s="57">
        <v>13.315</v>
      </c>
      <c r="E21" s="45" t="s">
        <v>45</v>
      </c>
      <c r="F21" s="46">
        <v>3689505220.1996059</v>
      </c>
      <c r="G21" s="46">
        <v>2275408236.2390771</v>
      </c>
    </row>
    <row r="22" spans="1:9" x14ac:dyDescent="0.25">
      <c r="A22" s="36">
        <v>45930</v>
      </c>
      <c r="B22" s="37">
        <v>-8.0000000000000004E-4</v>
      </c>
      <c r="C22" s="57">
        <v>13.385</v>
      </c>
    </row>
    <row r="23" spans="1:9" x14ac:dyDescent="0.25">
      <c r="A23" s="36">
        <v>45931</v>
      </c>
      <c r="B23" s="37">
        <v>-5.9999999999999995E-4</v>
      </c>
      <c r="C23" s="57">
        <v>13.38</v>
      </c>
    </row>
    <row r="24" spans="1:9" x14ac:dyDescent="0.25">
      <c r="A24" s="36">
        <v>45932</v>
      </c>
      <c r="B24" s="37">
        <v>-6.9999999999999999E-4</v>
      </c>
      <c r="C24" s="57">
        <v>13.375</v>
      </c>
    </row>
    <row r="25" spans="1:9" x14ac:dyDescent="0.25">
      <c r="A25" s="36">
        <v>45933</v>
      </c>
      <c r="C25" s="57">
        <v>13.465</v>
      </c>
    </row>
    <row r="26" spans="1:9" x14ac:dyDescent="0.25">
      <c r="A26" s="36">
        <v>45936</v>
      </c>
      <c r="B26" s="37">
        <v>5.7999999999999996E-3</v>
      </c>
      <c r="C26" s="57">
        <v>13.525</v>
      </c>
    </row>
    <row r="27" spans="1:9" x14ac:dyDescent="0.25">
      <c r="A27" s="36">
        <v>45937</v>
      </c>
      <c r="B27" s="37">
        <v>4.0000000000000001E-3</v>
      </c>
      <c r="C27" s="57">
        <v>13.48</v>
      </c>
    </row>
    <row r="28" spans="1:9" x14ac:dyDescent="0.25">
      <c r="A28" s="36">
        <v>45938</v>
      </c>
      <c r="B28" s="37">
        <v>2.5000000000000001E-3</v>
      </c>
      <c r="C28" s="57">
        <v>13.535</v>
      </c>
    </row>
    <row r="29" spans="1:9" x14ac:dyDescent="0.25">
      <c r="A29" s="36">
        <v>45939</v>
      </c>
      <c r="B29" s="37">
        <v>6.9999999999999999E-4</v>
      </c>
      <c r="C29" s="57">
        <v>13.475</v>
      </c>
    </row>
    <row r="30" spans="1:9" x14ac:dyDescent="0.25">
      <c r="A30" s="36">
        <v>45940</v>
      </c>
      <c r="B30" s="37">
        <v>-1.5E-3</v>
      </c>
      <c r="C30" s="57">
        <v>13.395</v>
      </c>
    </row>
    <row r="31" spans="1:9" x14ac:dyDescent="0.25">
      <c r="A31" s="36">
        <v>45943</v>
      </c>
      <c r="B31" s="37">
        <v>2.5999999999999999E-3</v>
      </c>
      <c r="C31" s="57">
        <v>13.43</v>
      </c>
    </row>
    <row r="32" spans="1:9" x14ac:dyDescent="0.25">
      <c r="A32" s="36">
        <v>45944</v>
      </c>
      <c r="B32" s="37">
        <v>1.5E-3</v>
      </c>
      <c r="C32" s="57">
        <v>13.43</v>
      </c>
    </row>
    <row r="33" spans="1:3" x14ac:dyDescent="0.25">
      <c r="A33" s="36">
        <v>45945</v>
      </c>
      <c r="B33" s="37">
        <v>-1.6999999999999999E-3</v>
      </c>
      <c r="C33" s="57">
        <v>13.385</v>
      </c>
    </row>
    <row r="34" spans="1:3" x14ac:dyDescent="0.25">
      <c r="A34" s="36">
        <v>45946</v>
      </c>
      <c r="B34" s="37">
        <v>-1.6000000000000001E-3</v>
      </c>
      <c r="C34" s="57">
        <v>13.375</v>
      </c>
    </row>
    <row r="35" spans="1:3" x14ac:dyDescent="0.25">
      <c r="A35" s="36">
        <v>45947</v>
      </c>
      <c r="C35" s="57"/>
    </row>
    <row r="36" spans="1:3" x14ac:dyDescent="0.25">
      <c r="A36" s="36">
        <v>45950</v>
      </c>
      <c r="B36" s="37">
        <v>1.1999999999999999E-3</v>
      </c>
      <c r="C36" s="57">
        <v>13.36</v>
      </c>
    </row>
    <row r="37" spans="1:3" x14ac:dyDescent="0.25">
      <c r="A37" s="36">
        <v>45951</v>
      </c>
      <c r="B37" s="37">
        <v>2.5999999999999999E-3</v>
      </c>
      <c r="C37" s="57">
        <v>13.265000000000001</v>
      </c>
    </row>
    <row r="38" spans="1:3" x14ac:dyDescent="0.25">
      <c r="A38" s="36">
        <v>45952</v>
      </c>
      <c r="B38" s="37">
        <v>1.5E-3</v>
      </c>
      <c r="C38" s="57">
        <v>13.23</v>
      </c>
    </row>
    <row r="39" spans="1:3" x14ac:dyDescent="0.25">
      <c r="A39" s="36">
        <v>45953</v>
      </c>
      <c r="B39" s="37">
        <v>2.5000000000000001E-3</v>
      </c>
      <c r="C39" s="57">
        <v>13.145</v>
      </c>
    </row>
    <row r="40" spans="1:3" x14ac:dyDescent="0.25">
      <c r="A40" s="36">
        <v>45954</v>
      </c>
      <c r="B40" s="37">
        <v>1.1999999999999999E-3</v>
      </c>
      <c r="C40" s="57">
        <v>13.12</v>
      </c>
    </row>
    <row r="41" spans="1:3" x14ac:dyDescent="0.25">
      <c r="A41" s="36">
        <v>45957</v>
      </c>
      <c r="B41" s="37">
        <v>-2E-3</v>
      </c>
      <c r="C41" s="57">
        <v>13.03</v>
      </c>
    </row>
    <row r="42" spans="1:3" x14ac:dyDescent="0.25">
      <c r="A42" s="36">
        <v>45958</v>
      </c>
      <c r="B42" s="37">
        <v>-6.9999999999999999E-4</v>
      </c>
      <c r="C42" s="57">
        <v>13.045</v>
      </c>
    </row>
    <row r="43" spans="1:3" x14ac:dyDescent="0.25">
      <c r="A43" s="36">
        <v>45959</v>
      </c>
      <c r="B43" s="37">
        <v>2.0999999999999999E-3</v>
      </c>
      <c r="C43" s="57">
        <v>13.08</v>
      </c>
    </row>
    <row r="44" spans="1:3" x14ac:dyDescent="0.25">
      <c r="A44" s="36">
        <v>45960</v>
      </c>
      <c r="B44" s="37">
        <v>1E-3</v>
      </c>
      <c r="C44" s="57">
        <v>13.16</v>
      </c>
    </row>
    <row r="45" spans="1:3" x14ac:dyDescent="0.25">
      <c r="A45" s="36">
        <v>45961</v>
      </c>
      <c r="B45" s="37">
        <v>5.0000000000000001E-4</v>
      </c>
      <c r="C45" s="57">
        <v>13.195</v>
      </c>
    </row>
    <row r="46" spans="1:3" x14ac:dyDescent="0.25">
      <c r="A46" s="36">
        <v>45964</v>
      </c>
      <c r="B46" s="37">
        <v>5.0000000000000001E-4</v>
      </c>
      <c r="C46" s="57">
        <v>13.074999999999999</v>
      </c>
    </row>
    <row r="47" spans="1:3" x14ac:dyDescent="0.25">
      <c r="A47" s="36">
        <v>45965</v>
      </c>
      <c r="B47" s="37">
        <v>2.3E-3</v>
      </c>
      <c r="C47" s="57">
        <v>13.08</v>
      </c>
    </row>
    <row r="48" spans="1:3" x14ac:dyDescent="0.25">
      <c r="A48" s="36">
        <v>45966</v>
      </c>
      <c r="B48" s="37">
        <v>-4.0000000000000002E-4</v>
      </c>
      <c r="C48" s="57">
        <v>13.12</v>
      </c>
    </row>
    <row r="49" spans="1:3" x14ac:dyDescent="0.25">
      <c r="A49" s="36">
        <v>45967</v>
      </c>
      <c r="B49" s="37">
        <v>-2.8E-3</v>
      </c>
      <c r="C49" s="57">
        <v>13.055</v>
      </c>
    </row>
    <row r="50" spans="1:3" x14ac:dyDescent="0.25">
      <c r="A50" s="36">
        <v>45968</v>
      </c>
      <c r="B50" s="37">
        <v>-5.0000000000000001E-4</v>
      </c>
      <c r="C50" s="57">
        <v>13.08</v>
      </c>
    </row>
    <row r="51" spans="1:3" x14ac:dyDescent="0.25">
      <c r="A51" s="36">
        <v>45971</v>
      </c>
      <c r="C51" s="57">
        <v>13.055</v>
      </c>
    </row>
    <row r="52" spans="1:3" x14ac:dyDescent="0.25">
      <c r="A52" s="36">
        <v>45972</v>
      </c>
      <c r="B52" s="37">
        <v>-2.9999999999999997E-4</v>
      </c>
      <c r="C52" s="57">
        <v>12.955</v>
      </c>
    </row>
    <row r="53" spans="1:3" x14ac:dyDescent="0.25">
      <c r="A53" s="36">
        <v>45973</v>
      </c>
      <c r="B53" s="37">
        <v>1.1999999999999999E-3</v>
      </c>
      <c r="C53" s="57">
        <v>12.86</v>
      </c>
    </row>
    <row r="54" spans="1:3" x14ac:dyDescent="0.25">
      <c r="A54" s="36">
        <v>45974</v>
      </c>
      <c r="B54" s="37">
        <v>-1.2999999999999999E-3</v>
      </c>
      <c r="C54" s="57"/>
    </row>
    <row r="55" spans="1:3" x14ac:dyDescent="0.25">
      <c r="A55" s="36">
        <v>45975</v>
      </c>
      <c r="B55" s="37">
        <v>1.6999999999999999E-3</v>
      </c>
      <c r="C55" s="57">
        <v>12.84</v>
      </c>
    </row>
    <row r="56" spans="1:3" x14ac:dyDescent="0.25">
      <c r="A56" s="36">
        <v>45978</v>
      </c>
      <c r="C56" s="57"/>
    </row>
    <row r="57" spans="1:3" x14ac:dyDescent="0.25">
      <c r="A57" s="36">
        <v>45979</v>
      </c>
      <c r="C57" s="57">
        <v>12.92</v>
      </c>
    </row>
    <row r="58" spans="1:3" x14ac:dyDescent="0.25">
      <c r="A58" s="36">
        <v>45980</v>
      </c>
      <c r="C58" s="57">
        <v>12.925000000000001</v>
      </c>
    </row>
    <row r="59" spans="1:3" x14ac:dyDescent="0.25">
      <c r="A59" s="36">
        <v>45981</v>
      </c>
      <c r="C59" s="57"/>
    </row>
    <row r="60" spans="1:3" x14ac:dyDescent="0.25">
      <c r="A60" s="36">
        <v>45982</v>
      </c>
      <c r="B60" s="37">
        <v>8.0000000000000004E-4</v>
      </c>
      <c r="C60" s="57">
        <v>12.86</v>
      </c>
    </row>
    <row r="61" spans="1:3" x14ac:dyDescent="0.25">
      <c r="A61" s="36">
        <v>45985</v>
      </c>
      <c r="C61" s="57"/>
    </row>
    <row r="62" spans="1:3" x14ac:dyDescent="0.25">
      <c r="A62" s="36">
        <v>45986</v>
      </c>
      <c r="C62" s="57"/>
    </row>
    <row r="63" spans="1:3" x14ac:dyDescent="0.25">
      <c r="A63" s="36">
        <v>45987</v>
      </c>
      <c r="C63" s="57"/>
    </row>
    <row r="64" spans="1:3" x14ac:dyDescent="0.25">
      <c r="A64" s="36">
        <v>45988</v>
      </c>
      <c r="C64" s="57"/>
    </row>
    <row r="65" spans="1:3" x14ac:dyDescent="0.25">
      <c r="A65" s="36">
        <v>45989</v>
      </c>
      <c r="C65" s="57"/>
    </row>
    <row r="66" spans="1:3" x14ac:dyDescent="0.25">
      <c r="A66" s="36">
        <v>45992</v>
      </c>
      <c r="C66" s="57"/>
    </row>
    <row r="67" spans="1:3" x14ac:dyDescent="0.25">
      <c r="A67" s="36">
        <v>45993</v>
      </c>
      <c r="C67" s="57"/>
    </row>
    <row r="68" spans="1:3" x14ac:dyDescent="0.25">
      <c r="A68" s="36">
        <v>45994</v>
      </c>
      <c r="C68" s="57"/>
    </row>
    <row r="69" spans="1:3" x14ac:dyDescent="0.25">
      <c r="A69" s="36">
        <v>45995</v>
      </c>
      <c r="C69" s="57"/>
    </row>
    <row r="70" spans="1:3" x14ac:dyDescent="0.25">
      <c r="A70" s="36">
        <v>45996</v>
      </c>
      <c r="C70" s="57"/>
    </row>
    <row r="71" spans="1:3" x14ac:dyDescent="0.25">
      <c r="A71" s="36">
        <v>45999</v>
      </c>
      <c r="C71" s="57"/>
    </row>
    <row r="72" spans="1:3" x14ac:dyDescent="0.25">
      <c r="A72" s="36">
        <v>46000</v>
      </c>
      <c r="C72" s="57"/>
    </row>
    <row r="73" spans="1:3" x14ac:dyDescent="0.25">
      <c r="A73" s="36">
        <v>46001</v>
      </c>
      <c r="C73" s="57"/>
    </row>
    <row r="74" spans="1:3" x14ac:dyDescent="0.25">
      <c r="A74" s="36">
        <v>46002</v>
      </c>
      <c r="C74" s="57"/>
    </row>
    <row r="75" spans="1:3" x14ac:dyDescent="0.25">
      <c r="A75" s="36">
        <v>46003</v>
      </c>
      <c r="C75" s="57"/>
    </row>
    <row r="76" spans="1:3" x14ac:dyDescent="0.25">
      <c r="A76" s="36">
        <v>46006</v>
      </c>
      <c r="C76" s="57"/>
    </row>
    <row r="77" spans="1:3" x14ac:dyDescent="0.25">
      <c r="A77" s="36">
        <v>46007</v>
      </c>
      <c r="C77" s="57"/>
    </row>
    <row r="78" spans="1:3" x14ac:dyDescent="0.25">
      <c r="A78" s="36">
        <v>46008</v>
      </c>
      <c r="C78" s="57"/>
    </row>
    <row r="79" spans="1:3" x14ac:dyDescent="0.25">
      <c r="A79" s="36">
        <v>46009</v>
      </c>
      <c r="C79" s="57"/>
    </row>
    <row r="80" spans="1:3" x14ac:dyDescent="0.25">
      <c r="A80" s="36">
        <v>46010</v>
      </c>
      <c r="C80" s="57"/>
    </row>
    <row r="81" spans="1:3" x14ac:dyDescent="0.25">
      <c r="A81" s="36">
        <v>46013</v>
      </c>
      <c r="C81" s="57"/>
    </row>
    <row r="82" spans="1:3" x14ac:dyDescent="0.25">
      <c r="A82" s="36">
        <v>46002</v>
      </c>
      <c r="C82" s="57"/>
    </row>
    <row r="83" spans="1:3" x14ac:dyDescent="0.25">
      <c r="A83" s="36">
        <v>46003</v>
      </c>
      <c r="C83" s="57"/>
    </row>
    <row r="84" spans="1:3" x14ac:dyDescent="0.25">
      <c r="A84" s="36">
        <v>46006</v>
      </c>
      <c r="C84" s="57"/>
    </row>
    <row r="85" spans="1:3" x14ac:dyDescent="0.25">
      <c r="A85" s="36">
        <v>46007</v>
      </c>
      <c r="C85" s="57"/>
    </row>
    <row r="86" spans="1:3" x14ac:dyDescent="0.25">
      <c r="A86" s="36">
        <v>46008</v>
      </c>
      <c r="C86" s="57"/>
    </row>
    <row r="87" spans="1:3" x14ac:dyDescent="0.25">
      <c r="A87" s="36">
        <v>46009</v>
      </c>
      <c r="C87" s="57"/>
    </row>
    <row r="88" spans="1:3" x14ac:dyDescent="0.25">
      <c r="A88" s="36">
        <v>46010</v>
      </c>
      <c r="C88" s="57"/>
    </row>
    <row r="89" spans="1:3" x14ac:dyDescent="0.25">
      <c r="A89" s="36">
        <v>46013</v>
      </c>
      <c r="C89" s="57"/>
    </row>
    <row r="90" spans="1:3" x14ac:dyDescent="0.25">
      <c r="A90" s="36">
        <v>46002</v>
      </c>
      <c r="C90" s="57"/>
    </row>
    <row r="91" spans="1:3" x14ac:dyDescent="0.25">
      <c r="A91" s="36">
        <v>46003</v>
      </c>
      <c r="C91" s="57"/>
    </row>
    <row r="92" spans="1:3" x14ac:dyDescent="0.25">
      <c r="A92" s="36">
        <v>46006</v>
      </c>
      <c r="C92" s="57"/>
    </row>
    <row r="93" spans="1:3" x14ac:dyDescent="0.25">
      <c r="A93" s="36">
        <v>46007</v>
      </c>
      <c r="C93" s="57"/>
    </row>
    <row r="94" spans="1:3" x14ac:dyDescent="0.25">
      <c r="A94" s="36">
        <v>46008</v>
      </c>
      <c r="C94" s="57"/>
    </row>
    <row r="95" spans="1:3" x14ac:dyDescent="0.25">
      <c r="A95" s="36">
        <v>46009</v>
      </c>
      <c r="C95" s="57"/>
    </row>
    <row r="96" spans="1:3" x14ac:dyDescent="0.25">
      <c r="A96" s="36">
        <v>46010</v>
      </c>
      <c r="C96" s="57"/>
    </row>
    <row r="97" spans="1:3" x14ac:dyDescent="0.25">
      <c r="A97" s="36">
        <v>46013</v>
      </c>
      <c r="C97" s="57"/>
    </row>
    <row r="98" spans="1:3" x14ac:dyDescent="0.25">
      <c r="A98" s="36">
        <v>46002</v>
      </c>
      <c r="C98" s="57"/>
    </row>
    <row r="99" spans="1:3" x14ac:dyDescent="0.25">
      <c r="A99" s="36">
        <v>46003</v>
      </c>
      <c r="C99" s="57"/>
    </row>
    <row r="100" spans="1:3" x14ac:dyDescent="0.25">
      <c r="A100" s="36">
        <v>46006</v>
      </c>
      <c r="C100" s="57"/>
    </row>
    <row r="101" spans="1:3" x14ac:dyDescent="0.25">
      <c r="A101" s="36">
        <v>46007</v>
      </c>
      <c r="C101" s="57"/>
    </row>
    <row r="102" spans="1:3" x14ac:dyDescent="0.25">
      <c r="A102" s="36">
        <v>46008</v>
      </c>
      <c r="C102" s="57"/>
    </row>
    <row r="103" spans="1:3" x14ac:dyDescent="0.25">
      <c r="A103" s="36">
        <v>46008</v>
      </c>
      <c r="C103" s="57"/>
    </row>
    <row r="104" spans="1:3" x14ac:dyDescent="0.25">
      <c r="A104" s="36">
        <v>46009</v>
      </c>
      <c r="C104" s="57"/>
    </row>
    <row r="105" spans="1:3" x14ac:dyDescent="0.25">
      <c r="A105" s="36">
        <v>46015</v>
      </c>
      <c r="C105" s="57"/>
    </row>
    <row r="106" spans="1:3" x14ac:dyDescent="0.25">
      <c r="A106" s="36">
        <v>46015</v>
      </c>
      <c r="C106" s="57"/>
    </row>
    <row r="107" spans="1:3" x14ac:dyDescent="0.25">
      <c r="A107" s="36">
        <v>46015</v>
      </c>
      <c r="C107" s="57"/>
    </row>
    <row r="108" spans="1:3" x14ac:dyDescent="0.25">
      <c r="A108" s="36">
        <v>46015</v>
      </c>
      <c r="C108" s="57"/>
    </row>
    <row r="109" spans="1:3" x14ac:dyDescent="0.25">
      <c r="A109" s="36">
        <v>46015</v>
      </c>
      <c r="C109" s="57"/>
    </row>
    <row r="110" spans="1:3" x14ac:dyDescent="0.25">
      <c r="A110" s="36">
        <v>46015</v>
      </c>
      <c r="C110" s="57"/>
    </row>
    <row r="111" spans="1:3" x14ac:dyDescent="0.25">
      <c r="A111" s="36">
        <v>46015</v>
      </c>
      <c r="C111" s="57"/>
    </row>
    <row r="112" spans="1:3" x14ac:dyDescent="0.25">
      <c r="A112" s="36">
        <v>46015</v>
      </c>
      <c r="C112" s="57"/>
    </row>
    <row r="113" spans="1:3" x14ac:dyDescent="0.25">
      <c r="A113" s="36">
        <v>46015</v>
      </c>
      <c r="C113" s="57"/>
    </row>
    <row r="114" spans="1:3" x14ac:dyDescent="0.25">
      <c r="A114" s="36">
        <v>46015</v>
      </c>
      <c r="C114" s="57"/>
    </row>
    <row r="115" spans="1:3" x14ac:dyDescent="0.25">
      <c r="A115" s="36">
        <v>46015</v>
      </c>
      <c r="C115" s="57"/>
    </row>
    <row r="116" spans="1:3" x14ac:dyDescent="0.25">
      <c r="A116" s="36">
        <v>46015</v>
      </c>
      <c r="C116" s="57"/>
    </row>
    <row r="117" spans="1:3" x14ac:dyDescent="0.25">
      <c r="A117" s="36">
        <v>46015</v>
      </c>
      <c r="C117" s="57"/>
    </row>
    <row r="118" spans="1:3" x14ac:dyDescent="0.25">
      <c r="A118" s="36">
        <v>46015</v>
      </c>
      <c r="C118" s="57"/>
    </row>
    <row r="119" spans="1:3" x14ac:dyDescent="0.25">
      <c r="A119" s="36">
        <v>46015</v>
      </c>
      <c r="C119" s="57"/>
    </row>
    <row r="120" spans="1:3" x14ac:dyDescent="0.25">
      <c r="A120" s="36">
        <v>46015</v>
      </c>
      <c r="C120" s="57"/>
    </row>
    <row r="121" spans="1:3" x14ac:dyDescent="0.25">
      <c r="A121" s="36">
        <v>46015</v>
      </c>
      <c r="C121" s="57"/>
    </row>
    <row r="122" spans="1:3" x14ac:dyDescent="0.25">
      <c r="A122" s="36">
        <v>46015</v>
      </c>
      <c r="C122" s="57"/>
    </row>
    <row r="123" spans="1:3" x14ac:dyDescent="0.25">
      <c r="A123" s="36">
        <v>46015</v>
      </c>
      <c r="C123" s="57"/>
    </row>
    <row r="124" spans="1:3" x14ac:dyDescent="0.25">
      <c r="A124" s="36">
        <v>46015</v>
      </c>
      <c r="C124" s="57"/>
    </row>
    <row r="125" spans="1:3" x14ac:dyDescent="0.25">
      <c r="A125" s="36">
        <v>46015</v>
      </c>
      <c r="C125" s="57"/>
    </row>
    <row r="126" spans="1:3" x14ac:dyDescent="0.25">
      <c r="A126" s="36">
        <v>46015</v>
      </c>
      <c r="C126" s="57"/>
    </row>
    <row r="127" spans="1:3" x14ac:dyDescent="0.25">
      <c r="A127" s="36">
        <v>46015</v>
      </c>
      <c r="C127" s="57"/>
    </row>
    <row r="128" spans="1:3" x14ac:dyDescent="0.25">
      <c r="A128" s="36">
        <v>46015</v>
      </c>
      <c r="C128" s="57"/>
    </row>
    <row r="129" spans="1:3" x14ac:dyDescent="0.25">
      <c r="A129" s="36">
        <v>46015</v>
      </c>
      <c r="C129" s="57"/>
    </row>
    <row r="130" spans="1:3" x14ac:dyDescent="0.25">
      <c r="A130" s="36">
        <v>46015</v>
      </c>
      <c r="C130" s="57"/>
    </row>
    <row r="131" spans="1:3" x14ac:dyDescent="0.25">
      <c r="A131" s="36">
        <v>46015</v>
      </c>
      <c r="C131" s="57"/>
    </row>
    <row r="132" spans="1:3" x14ac:dyDescent="0.25">
      <c r="A132" s="36">
        <v>46015</v>
      </c>
      <c r="C132" s="57"/>
    </row>
    <row r="133" spans="1:3" x14ac:dyDescent="0.25">
      <c r="A133" s="36">
        <v>46015</v>
      </c>
      <c r="C133" s="57"/>
    </row>
    <row r="134" spans="1:3" x14ac:dyDescent="0.25">
      <c r="A134" s="36">
        <v>46015</v>
      </c>
      <c r="C134" s="57"/>
    </row>
    <row r="135" spans="1:3" x14ac:dyDescent="0.25">
      <c r="A135" s="36">
        <v>46015</v>
      </c>
      <c r="C135" s="57"/>
    </row>
    <row r="136" spans="1:3" x14ac:dyDescent="0.25">
      <c r="A136" s="36">
        <v>46015</v>
      </c>
      <c r="C136" s="57"/>
    </row>
    <row r="137" spans="1:3" x14ac:dyDescent="0.25">
      <c r="A137" s="36">
        <v>46015</v>
      </c>
      <c r="C137" s="57"/>
    </row>
    <row r="138" spans="1:3" x14ac:dyDescent="0.25">
      <c r="A138" s="36">
        <v>46015</v>
      </c>
      <c r="C138" s="57"/>
    </row>
    <row r="139" spans="1:3" x14ac:dyDescent="0.25">
      <c r="A139" s="36">
        <v>46015</v>
      </c>
      <c r="C139" s="57"/>
    </row>
    <row r="140" spans="1:3" x14ac:dyDescent="0.25">
      <c r="A140" s="36">
        <v>46015</v>
      </c>
      <c r="C140" s="57"/>
    </row>
    <row r="141" spans="1:3" x14ac:dyDescent="0.25">
      <c r="A141" s="36">
        <v>46015</v>
      </c>
      <c r="C141" s="57"/>
    </row>
    <row r="142" spans="1:3" x14ac:dyDescent="0.25">
      <c r="A142" s="36">
        <v>46015</v>
      </c>
      <c r="C142" s="57"/>
    </row>
    <row r="143" spans="1:3" x14ac:dyDescent="0.25">
      <c r="A143" s="36">
        <v>46015</v>
      </c>
      <c r="C143" s="57"/>
    </row>
    <row r="144" spans="1:3" x14ac:dyDescent="0.25">
      <c r="A144" s="36">
        <v>46015</v>
      </c>
      <c r="C144" s="57"/>
    </row>
    <row r="145" spans="1:3" x14ac:dyDescent="0.25">
      <c r="A145" s="36">
        <v>46015</v>
      </c>
      <c r="C145" s="57"/>
    </row>
    <row r="146" spans="1:3" x14ac:dyDescent="0.25">
      <c r="A146" s="36">
        <v>46015</v>
      </c>
      <c r="C146" s="57"/>
    </row>
    <row r="147" spans="1:3" x14ac:dyDescent="0.25">
      <c r="A147" s="36">
        <v>46015</v>
      </c>
      <c r="C147" s="57"/>
    </row>
    <row r="148" spans="1:3" x14ac:dyDescent="0.25">
      <c r="A148" s="36">
        <v>46015</v>
      </c>
      <c r="C148" s="57"/>
    </row>
    <row r="149" spans="1:3" x14ac:dyDescent="0.25">
      <c r="A149" s="36">
        <v>46015</v>
      </c>
      <c r="C149" s="57"/>
    </row>
    <row r="150" spans="1:3" x14ac:dyDescent="0.25">
      <c r="A150" s="36">
        <v>46015</v>
      </c>
      <c r="C150" s="57"/>
    </row>
    <row r="151" spans="1:3" x14ac:dyDescent="0.25">
      <c r="A151" s="36">
        <v>46015</v>
      </c>
      <c r="C151" s="57"/>
    </row>
    <row r="152" spans="1:3" x14ac:dyDescent="0.25">
      <c r="A152" s="36">
        <v>46015</v>
      </c>
      <c r="C152" s="57"/>
    </row>
    <row r="153" spans="1:3" x14ac:dyDescent="0.25">
      <c r="A153" s="36">
        <v>46015</v>
      </c>
      <c r="C153" s="57"/>
    </row>
    <row r="154" spans="1:3" x14ac:dyDescent="0.25">
      <c r="A154" s="36">
        <v>46015</v>
      </c>
      <c r="C154" s="57"/>
    </row>
    <row r="155" spans="1:3" x14ac:dyDescent="0.25">
      <c r="A155" s="36">
        <v>46015</v>
      </c>
      <c r="C155" s="57"/>
    </row>
    <row r="156" spans="1:3" x14ac:dyDescent="0.25">
      <c r="A156" s="36">
        <v>46015</v>
      </c>
      <c r="C156" s="57"/>
    </row>
    <row r="157" spans="1:3" x14ac:dyDescent="0.25">
      <c r="A157" s="36">
        <v>46015</v>
      </c>
      <c r="C157" s="57"/>
    </row>
    <row r="158" spans="1:3" x14ac:dyDescent="0.25">
      <c r="A158" s="36">
        <v>46015</v>
      </c>
      <c r="C158" s="57"/>
    </row>
    <row r="159" spans="1:3" x14ac:dyDescent="0.25">
      <c r="A159" s="36">
        <v>46015</v>
      </c>
      <c r="C159" s="57"/>
    </row>
    <row r="160" spans="1:3" x14ac:dyDescent="0.25">
      <c r="A160" s="36">
        <v>46015</v>
      </c>
      <c r="C160" s="57"/>
    </row>
    <row r="161" spans="1:3" x14ac:dyDescent="0.25">
      <c r="A161" s="36">
        <v>46015</v>
      </c>
      <c r="C161" s="57"/>
    </row>
    <row r="162" spans="1:3" x14ac:dyDescent="0.25">
      <c r="A162" s="36">
        <v>46015</v>
      </c>
      <c r="C162" s="57"/>
    </row>
    <row r="163" spans="1:3" x14ac:dyDescent="0.25">
      <c r="A163" s="36">
        <v>46015</v>
      </c>
      <c r="C163" s="57"/>
    </row>
    <row r="164" spans="1:3" x14ac:dyDescent="0.25">
      <c r="A164" s="36">
        <v>46015</v>
      </c>
      <c r="C164" s="57"/>
    </row>
    <row r="165" spans="1:3" x14ac:dyDescent="0.25">
      <c r="A165" s="36">
        <v>46015</v>
      </c>
      <c r="C165" s="57"/>
    </row>
    <row r="166" spans="1:3" x14ac:dyDescent="0.25">
      <c r="A166" s="36">
        <v>46015</v>
      </c>
      <c r="C166" s="57"/>
    </row>
    <row r="167" spans="1:3" x14ac:dyDescent="0.25">
      <c r="A167" s="36">
        <v>46015</v>
      </c>
      <c r="C167" s="57"/>
    </row>
    <row r="168" spans="1:3" x14ac:dyDescent="0.25">
      <c r="A168" s="36">
        <v>46015</v>
      </c>
      <c r="C168" s="57"/>
    </row>
    <row r="169" spans="1:3" x14ac:dyDescent="0.25">
      <c r="A169" s="36">
        <v>46015</v>
      </c>
      <c r="C169" s="57"/>
    </row>
    <row r="170" spans="1:3" x14ac:dyDescent="0.25">
      <c r="A170" s="36">
        <v>46015</v>
      </c>
      <c r="C170" s="57"/>
    </row>
    <row r="171" spans="1:3" x14ac:dyDescent="0.25">
      <c r="A171" s="36">
        <v>46015</v>
      </c>
      <c r="C171" s="57"/>
    </row>
    <row r="172" spans="1:3" x14ac:dyDescent="0.25">
      <c r="A172" s="36">
        <v>46015</v>
      </c>
      <c r="C172" s="57"/>
    </row>
    <row r="173" spans="1:3" x14ac:dyDescent="0.25">
      <c r="A173" s="36">
        <v>46015</v>
      </c>
      <c r="C173" s="57"/>
    </row>
    <row r="174" spans="1:3" x14ac:dyDescent="0.25">
      <c r="A174" s="36">
        <v>46015</v>
      </c>
      <c r="C174" s="57"/>
    </row>
    <row r="175" spans="1:3" x14ac:dyDescent="0.25">
      <c r="A175" s="36">
        <v>46015</v>
      </c>
      <c r="C175" s="57"/>
    </row>
    <row r="176" spans="1:3" x14ac:dyDescent="0.25">
      <c r="A176" s="36">
        <v>46015</v>
      </c>
      <c r="C176" s="57"/>
    </row>
    <row r="177" spans="1:3" x14ac:dyDescent="0.25">
      <c r="A177" s="36">
        <v>46015</v>
      </c>
      <c r="C177" s="57"/>
    </row>
    <row r="178" spans="1:3" x14ac:dyDescent="0.25">
      <c r="A178" s="36">
        <v>46015</v>
      </c>
      <c r="C178" s="57"/>
    </row>
    <row r="179" spans="1:3" x14ac:dyDescent="0.25">
      <c r="A179" s="36">
        <v>46015</v>
      </c>
      <c r="C179" s="57"/>
    </row>
    <row r="180" spans="1:3" x14ac:dyDescent="0.25">
      <c r="A180" s="36">
        <v>46015</v>
      </c>
      <c r="C180" s="57"/>
    </row>
    <row r="181" spans="1:3" x14ac:dyDescent="0.25">
      <c r="A181" s="36">
        <v>46015</v>
      </c>
      <c r="C181" s="57"/>
    </row>
    <row r="182" spans="1:3" x14ac:dyDescent="0.25">
      <c r="A182" s="36">
        <v>46015</v>
      </c>
      <c r="C182" s="57"/>
    </row>
    <row r="183" spans="1:3" x14ac:dyDescent="0.25">
      <c r="A183" s="36">
        <v>46015</v>
      </c>
      <c r="C183" s="57"/>
    </row>
    <row r="184" spans="1:3" x14ac:dyDescent="0.25">
      <c r="A184" s="36">
        <v>46015</v>
      </c>
      <c r="C184" s="57"/>
    </row>
    <row r="185" spans="1:3" x14ac:dyDescent="0.25">
      <c r="A185" s="36">
        <v>46015</v>
      </c>
      <c r="C185" s="57"/>
    </row>
    <row r="186" spans="1:3" x14ac:dyDescent="0.25">
      <c r="A186" s="36">
        <v>46015</v>
      </c>
      <c r="C186" s="57"/>
    </row>
    <row r="187" spans="1:3" x14ac:dyDescent="0.25">
      <c r="A187" s="36">
        <v>46015</v>
      </c>
      <c r="C187" s="57"/>
    </row>
    <row r="188" spans="1:3" x14ac:dyDescent="0.25">
      <c r="A188" s="36">
        <v>46015</v>
      </c>
      <c r="C188" s="57"/>
    </row>
    <row r="189" spans="1:3" x14ac:dyDescent="0.25">
      <c r="A189" s="36">
        <v>46015</v>
      </c>
      <c r="C189" s="57"/>
    </row>
    <row r="190" spans="1:3" x14ac:dyDescent="0.25">
      <c r="A190" s="36">
        <v>46015</v>
      </c>
      <c r="C190" s="57"/>
    </row>
    <row r="191" spans="1:3" x14ac:dyDescent="0.25">
      <c r="A191" s="36">
        <v>46015</v>
      </c>
      <c r="C191" s="57"/>
    </row>
    <row r="192" spans="1:3" x14ac:dyDescent="0.25">
      <c r="A192" s="36">
        <v>46015</v>
      </c>
      <c r="C192" s="57"/>
    </row>
    <row r="193" spans="1:3" x14ac:dyDescent="0.25">
      <c r="A193" s="36">
        <v>46015</v>
      </c>
      <c r="C193" s="57"/>
    </row>
    <row r="194" spans="1:3" x14ac:dyDescent="0.25">
      <c r="A194" s="36">
        <v>46015</v>
      </c>
      <c r="C194" s="57"/>
    </row>
    <row r="195" spans="1:3" x14ac:dyDescent="0.25">
      <c r="A195" s="36">
        <v>46015</v>
      </c>
      <c r="C195" s="57"/>
    </row>
    <row r="196" spans="1:3" x14ac:dyDescent="0.25">
      <c r="A196" s="36">
        <v>46015</v>
      </c>
      <c r="C196" s="57"/>
    </row>
    <row r="197" spans="1:3" x14ac:dyDescent="0.25">
      <c r="A197" s="36">
        <v>46015</v>
      </c>
      <c r="C197" s="57"/>
    </row>
    <row r="198" spans="1:3" x14ac:dyDescent="0.25">
      <c r="A198" s="36">
        <v>46015</v>
      </c>
      <c r="C198" s="57"/>
    </row>
    <row r="199" spans="1:3" x14ac:dyDescent="0.25">
      <c r="A199" s="36">
        <v>46015</v>
      </c>
      <c r="C199" s="57"/>
    </row>
    <row r="200" spans="1:3" x14ac:dyDescent="0.25">
      <c r="A200" s="36">
        <v>46015</v>
      </c>
      <c r="C200" s="57"/>
    </row>
    <row r="201" spans="1:3" x14ac:dyDescent="0.25">
      <c r="A201" s="36">
        <v>46015</v>
      </c>
      <c r="C201" s="57"/>
    </row>
    <row r="202" spans="1:3" x14ac:dyDescent="0.25">
      <c r="A202" s="36">
        <v>46015</v>
      </c>
      <c r="C202" s="57"/>
    </row>
    <row r="203" spans="1:3" x14ac:dyDescent="0.25">
      <c r="A203" s="36">
        <v>46015</v>
      </c>
      <c r="C203" s="57"/>
    </row>
    <row r="204" spans="1:3" x14ac:dyDescent="0.25">
      <c r="A204" s="36">
        <v>46015</v>
      </c>
      <c r="C204" s="57"/>
    </row>
    <row r="205" spans="1:3" x14ac:dyDescent="0.25">
      <c r="A205" s="36">
        <v>46015</v>
      </c>
      <c r="C205" s="57"/>
    </row>
    <row r="206" spans="1:3" x14ac:dyDescent="0.25">
      <c r="A206" s="36">
        <v>46015</v>
      </c>
      <c r="C206" s="57"/>
    </row>
    <row r="207" spans="1:3" x14ac:dyDescent="0.25">
      <c r="A207" s="36">
        <v>46015</v>
      </c>
      <c r="C207" s="57"/>
    </row>
    <row r="208" spans="1:3" x14ac:dyDescent="0.25">
      <c r="A208" s="36">
        <v>46015</v>
      </c>
      <c r="C208" s="57"/>
    </row>
    <row r="209" spans="1:3" x14ac:dyDescent="0.25">
      <c r="A209" s="36">
        <v>46015</v>
      </c>
      <c r="C209" s="57"/>
    </row>
    <row r="210" spans="1:3" x14ac:dyDescent="0.25">
      <c r="A210" s="36">
        <v>46015</v>
      </c>
      <c r="C210" s="57"/>
    </row>
    <row r="211" spans="1:3" x14ac:dyDescent="0.25">
      <c r="A211" s="36">
        <v>46015</v>
      </c>
      <c r="C211" s="57"/>
    </row>
    <row r="212" spans="1:3" x14ac:dyDescent="0.25">
      <c r="A212" s="36">
        <v>46015</v>
      </c>
      <c r="C212" s="57"/>
    </row>
    <row r="213" spans="1:3" x14ac:dyDescent="0.25">
      <c r="A213" s="36">
        <v>46015</v>
      </c>
      <c r="C213" s="57"/>
    </row>
    <row r="214" spans="1:3" x14ac:dyDescent="0.25">
      <c r="A214" s="36">
        <v>46015</v>
      </c>
      <c r="C214" s="57"/>
    </row>
    <row r="215" spans="1:3" x14ac:dyDescent="0.25">
      <c r="A215" s="36">
        <v>46015</v>
      </c>
      <c r="C215" s="57"/>
    </row>
    <row r="216" spans="1:3" x14ac:dyDescent="0.25">
      <c r="A216" s="36">
        <v>46015</v>
      </c>
      <c r="C216" s="57"/>
    </row>
    <row r="217" spans="1:3" x14ac:dyDescent="0.25">
      <c r="A217" s="36">
        <v>46015</v>
      </c>
      <c r="C217" s="57"/>
    </row>
    <row r="218" spans="1:3" x14ac:dyDescent="0.25">
      <c r="A218" s="36">
        <v>46015</v>
      </c>
      <c r="C218" s="57"/>
    </row>
    <row r="219" spans="1:3" x14ac:dyDescent="0.25">
      <c r="A219" s="36">
        <v>46015</v>
      </c>
      <c r="C219" s="57"/>
    </row>
    <row r="220" spans="1:3" x14ac:dyDescent="0.25">
      <c r="A220" s="36">
        <v>46015</v>
      </c>
      <c r="C220" s="57"/>
    </row>
    <row r="221" spans="1:3" x14ac:dyDescent="0.25">
      <c r="A221" s="36">
        <v>46015</v>
      </c>
      <c r="C221" s="57"/>
    </row>
    <row r="222" spans="1:3" x14ac:dyDescent="0.25">
      <c r="A222" s="36">
        <v>46015</v>
      </c>
      <c r="C222" s="57"/>
    </row>
    <row r="223" spans="1:3" x14ac:dyDescent="0.25">
      <c r="A223" s="36">
        <v>46015</v>
      </c>
      <c r="C223" s="57"/>
    </row>
    <row r="224" spans="1:3" x14ac:dyDescent="0.25">
      <c r="A224" s="36">
        <v>46015</v>
      </c>
      <c r="C224" s="57"/>
    </row>
    <row r="225" spans="1:3" x14ac:dyDescent="0.25">
      <c r="A225" s="36">
        <v>46015</v>
      </c>
      <c r="C225" s="57"/>
    </row>
    <row r="226" spans="1:3" x14ac:dyDescent="0.25">
      <c r="A226" s="36">
        <v>46015</v>
      </c>
      <c r="C226" s="57"/>
    </row>
    <row r="227" spans="1:3" x14ac:dyDescent="0.25">
      <c r="A227" s="36">
        <v>46015</v>
      </c>
      <c r="C227" s="57"/>
    </row>
    <row r="228" spans="1:3" x14ac:dyDescent="0.25">
      <c r="A228" s="36">
        <v>46015</v>
      </c>
      <c r="C228" s="57"/>
    </row>
    <row r="229" spans="1:3" x14ac:dyDescent="0.25">
      <c r="A229" s="36">
        <v>46015</v>
      </c>
      <c r="C229" s="57"/>
    </row>
    <row r="230" spans="1:3" x14ac:dyDescent="0.25">
      <c r="A230" s="36">
        <v>46015</v>
      </c>
      <c r="C230" s="57"/>
    </row>
    <row r="231" spans="1:3" x14ac:dyDescent="0.25">
      <c r="A231" s="36">
        <v>46015</v>
      </c>
      <c r="C231" s="57"/>
    </row>
    <row r="232" spans="1:3" x14ac:dyDescent="0.25">
      <c r="A232" s="36">
        <v>46015</v>
      </c>
      <c r="C232" s="57"/>
    </row>
    <row r="233" spans="1:3" x14ac:dyDescent="0.25">
      <c r="A233" s="36">
        <v>46015</v>
      </c>
      <c r="C233" s="57"/>
    </row>
    <row r="234" spans="1:3" x14ac:dyDescent="0.25">
      <c r="A234" s="36">
        <v>46015</v>
      </c>
      <c r="C234" s="57"/>
    </row>
    <row r="235" spans="1:3" x14ac:dyDescent="0.25">
      <c r="A235" s="36">
        <v>46015</v>
      </c>
      <c r="C235" s="57"/>
    </row>
    <row r="236" spans="1:3" x14ac:dyDescent="0.25">
      <c r="A236" s="36">
        <v>46015</v>
      </c>
      <c r="C236" s="57"/>
    </row>
    <row r="237" spans="1:3" x14ac:dyDescent="0.25">
      <c r="A237" s="36">
        <v>46015</v>
      </c>
      <c r="C237" s="57"/>
    </row>
    <row r="238" spans="1:3" x14ac:dyDescent="0.25">
      <c r="A238" s="36">
        <v>46015</v>
      </c>
      <c r="C238" s="57"/>
    </row>
    <row r="239" spans="1:3" x14ac:dyDescent="0.25">
      <c r="A239" s="36">
        <v>46015</v>
      </c>
      <c r="C239" s="57"/>
    </row>
    <row r="240" spans="1:3" x14ac:dyDescent="0.25">
      <c r="A240" s="36">
        <v>46015</v>
      </c>
      <c r="C240" s="57"/>
    </row>
    <row r="241" spans="1:3" x14ac:dyDescent="0.25">
      <c r="A241" s="36">
        <v>46015</v>
      </c>
      <c r="C241" s="57"/>
    </row>
    <row r="242" spans="1:3" x14ac:dyDescent="0.25">
      <c r="A242" s="36">
        <v>46015</v>
      </c>
      <c r="C242" s="57"/>
    </row>
    <row r="243" spans="1:3" x14ac:dyDescent="0.25">
      <c r="A243" s="36">
        <v>46015</v>
      </c>
      <c r="C243" s="57"/>
    </row>
    <row r="244" spans="1:3" x14ac:dyDescent="0.25">
      <c r="A244" s="36">
        <v>46015</v>
      </c>
      <c r="C244" s="57"/>
    </row>
    <row r="245" spans="1:3" x14ac:dyDescent="0.25">
      <c r="A245" s="36">
        <v>46015</v>
      </c>
      <c r="C245" s="57"/>
    </row>
    <row r="246" spans="1:3" x14ac:dyDescent="0.25">
      <c r="A246" s="36">
        <v>46015</v>
      </c>
      <c r="C246" s="57"/>
    </row>
    <row r="247" spans="1:3" x14ac:dyDescent="0.25">
      <c r="A247" s="36">
        <v>46015</v>
      </c>
      <c r="C247" s="57"/>
    </row>
    <row r="248" spans="1:3" x14ac:dyDescent="0.25">
      <c r="A248" s="36">
        <v>46015</v>
      </c>
      <c r="C248" s="57"/>
    </row>
    <row r="249" spans="1:3" x14ac:dyDescent="0.25">
      <c r="A249" s="36">
        <v>46015</v>
      </c>
      <c r="C249" s="57"/>
    </row>
    <row r="250" spans="1:3" x14ac:dyDescent="0.25">
      <c r="A250" s="36">
        <v>46015</v>
      </c>
      <c r="C250" s="57"/>
    </row>
    <row r="251" spans="1:3" x14ac:dyDescent="0.25">
      <c r="A251" s="36">
        <v>46015</v>
      </c>
      <c r="C251" s="57"/>
    </row>
    <row r="252" spans="1:3" x14ac:dyDescent="0.25">
      <c r="A252" s="36">
        <v>46015</v>
      </c>
      <c r="C252" s="57"/>
    </row>
    <row r="253" spans="1:3" x14ac:dyDescent="0.25">
      <c r="A253" s="36">
        <v>46015</v>
      </c>
      <c r="C253" s="57"/>
    </row>
    <row r="254" spans="1:3" x14ac:dyDescent="0.25">
      <c r="A254" s="36">
        <v>46015</v>
      </c>
      <c r="C254" s="57"/>
    </row>
    <row r="255" spans="1:3" x14ac:dyDescent="0.25">
      <c r="A255" s="36">
        <v>46015</v>
      </c>
      <c r="C255" s="57"/>
    </row>
    <row r="256" spans="1:3" x14ac:dyDescent="0.25">
      <c r="A256" s="36">
        <v>46015</v>
      </c>
      <c r="C256" s="57"/>
    </row>
    <row r="257" spans="1:3" x14ac:dyDescent="0.25">
      <c r="A257" s="36">
        <v>46015</v>
      </c>
      <c r="C257" s="57"/>
    </row>
    <row r="258" spans="1:3" x14ac:dyDescent="0.25">
      <c r="A258" s="36">
        <v>46015</v>
      </c>
      <c r="C258" s="57"/>
    </row>
    <row r="259" spans="1:3" x14ac:dyDescent="0.25">
      <c r="A259" s="36">
        <v>46015</v>
      </c>
      <c r="C259" s="57"/>
    </row>
    <row r="260" spans="1:3" x14ac:dyDescent="0.25">
      <c r="A260" s="36">
        <v>46015</v>
      </c>
      <c r="C260" s="57"/>
    </row>
    <row r="261" spans="1:3" x14ac:dyDescent="0.25">
      <c r="A261" s="36">
        <v>46015</v>
      </c>
      <c r="C261" s="57"/>
    </row>
    <row r="262" spans="1:3" x14ac:dyDescent="0.25">
      <c r="A262" s="36">
        <v>46015</v>
      </c>
      <c r="C262" s="57"/>
    </row>
    <row r="263" spans="1:3" x14ac:dyDescent="0.25">
      <c r="A263" s="36">
        <v>46015</v>
      </c>
      <c r="C263" s="57"/>
    </row>
    <row r="264" spans="1:3" x14ac:dyDescent="0.25">
      <c r="A264" s="36">
        <v>46015</v>
      </c>
      <c r="C264" s="57"/>
    </row>
    <row r="265" spans="1:3" x14ac:dyDescent="0.25">
      <c r="A265" s="36">
        <v>46015</v>
      </c>
      <c r="C265" s="57"/>
    </row>
    <row r="266" spans="1:3" x14ac:dyDescent="0.25">
      <c r="A266" s="36">
        <v>46015</v>
      </c>
      <c r="C266" s="57"/>
    </row>
    <row r="267" spans="1:3" x14ac:dyDescent="0.25">
      <c r="A267" s="36">
        <v>46015</v>
      </c>
      <c r="C267" s="57"/>
    </row>
    <row r="268" spans="1:3" x14ac:dyDescent="0.25">
      <c r="A268" s="36">
        <v>46015</v>
      </c>
      <c r="C268" s="57"/>
    </row>
    <row r="269" spans="1:3" x14ac:dyDescent="0.25">
      <c r="A269" s="36">
        <v>46015</v>
      </c>
      <c r="C269" s="57"/>
    </row>
    <row r="270" spans="1:3" x14ac:dyDescent="0.25">
      <c r="A270" s="36">
        <v>46015</v>
      </c>
      <c r="C270" s="57"/>
    </row>
    <row r="271" spans="1:3" x14ac:dyDescent="0.25">
      <c r="A271" s="36">
        <v>46015</v>
      </c>
      <c r="C271" s="57"/>
    </row>
    <row r="272" spans="1:3" x14ac:dyDescent="0.25">
      <c r="A272" s="36">
        <v>46015</v>
      </c>
      <c r="C272" s="57"/>
    </row>
    <row r="273" spans="1:3" x14ac:dyDescent="0.25">
      <c r="A273" s="36">
        <v>46015</v>
      </c>
      <c r="C273" s="57"/>
    </row>
    <row r="274" spans="1:3" x14ac:dyDescent="0.25">
      <c r="A274" s="36">
        <v>46015</v>
      </c>
      <c r="C274" s="57"/>
    </row>
    <row r="275" spans="1:3" x14ac:dyDescent="0.25">
      <c r="A275" s="36">
        <v>46015</v>
      </c>
      <c r="C275" s="57"/>
    </row>
    <row r="276" spans="1:3" x14ac:dyDescent="0.25">
      <c r="A276" s="36">
        <v>46015</v>
      </c>
      <c r="C276" s="57"/>
    </row>
    <row r="277" spans="1:3" x14ac:dyDescent="0.25">
      <c r="A277" s="36">
        <v>46015</v>
      </c>
      <c r="C277" s="57"/>
    </row>
    <row r="278" spans="1:3" x14ac:dyDescent="0.25">
      <c r="A278" s="36">
        <v>46015</v>
      </c>
      <c r="C278" s="57"/>
    </row>
    <row r="279" spans="1:3" x14ac:dyDescent="0.25">
      <c r="A279" s="36">
        <v>46015</v>
      </c>
      <c r="C279" s="57"/>
    </row>
    <row r="280" spans="1:3" x14ac:dyDescent="0.25">
      <c r="A280" s="36">
        <v>46015</v>
      </c>
      <c r="C280" s="57"/>
    </row>
    <row r="281" spans="1:3" x14ac:dyDescent="0.25">
      <c r="A281" s="36">
        <v>46015</v>
      </c>
      <c r="C281" s="57"/>
    </row>
    <row r="282" spans="1:3" x14ac:dyDescent="0.25">
      <c r="A282" s="36">
        <v>46015</v>
      </c>
      <c r="C282" s="57"/>
    </row>
    <row r="283" spans="1:3" x14ac:dyDescent="0.25">
      <c r="A283" s="36">
        <v>46015</v>
      </c>
      <c r="C283" s="57"/>
    </row>
    <row r="284" spans="1:3" x14ac:dyDescent="0.25">
      <c r="A284" s="36">
        <v>46015</v>
      </c>
      <c r="C284" s="57"/>
    </row>
    <row r="285" spans="1:3" x14ac:dyDescent="0.25">
      <c r="A285" s="36">
        <v>46015</v>
      </c>
      <c r="C285" s="57"/>
    </row>
    <row r="286" spans="1:3" x14ac:dyDescent="0.25">
      <c r="A286" s="36">
        <v>46015</v>
      </c>
      <c r="C286" s="57"/>
    </row>
    <row r="287" spans="1:3" x14ac:dyDescent="0.25">
      <c r="A287" s="36">
        <v>46015</v>
      </c>
      <c r="C287" s="57"/>
    </row>
    <row r="288" spans="1:3" x14ac:dyDescent="0.25">
      <c r="A288" s="36">
        <v>46015</v>
      </c>
      <c r="C288" s="57"/>
    </row>
    <row r="289" spans="1:3" x14ac:dyDescent="0.25">
      <c r="A289" s="36">
        <v>46015</v>
      </c>
      <c r="C289" s="57"/>
    </row>
    <row r="290" spans="1:3" x14ac:dyDescent="0.25">
      <c r="A290" s="36">
        <v>46015</v>
      </c>
      <c r="C290" s="57"/>
    </row>
    <row r="291" spans="1:3" x14ac:dyDescent="0.25">
      <c r="A291" s="36">
        <v>46015</v>
      </c>
      <c r="C291" s="57"/>
    </row>
    <row r="292" spans="1:3" x14ac:dyDescent="0.25">
      <c r="A292" s="36">
        <v>46015</v>
      </c>
      <c r="C292" s="57"/>
    </row>
    <row r="293" spans="1:3" x14ac:dyDescent="0.25">
      <c r="A293" s="36">
        <v>46015</v>
      </c>
      <c r="C293" s="57"/>
    </row>
    <row r="294" spans="1:3" x14ac:dyDescent="0.25">
      <c r="A294" s="36">
        <v>46015</v>
      </c>
      <c r="C294" s="57"/>
    </row>
    <row r="295" spans="1:3" x14ac:dyDescent="0.25">
      <c r="A295" s="36">
        <v>46015</v>
      </c>
      <c r="C295" s="57"/>
    </row>
    <row r="296" spans="1:3" x14ac:dyDescent="0.25">
      <c r="A296" s="36">
        <v>46015</v>
      </c>
      <c r="C296" s="57"/>
    </row>
    <row r="297" spans="1:3" x14ac:dyDescent="0.25">
      <c r="A297" s="36">
        <v>46015</v>
      </c>
      <c r="C297" s="57"/>
    </row>
    <row r="298" spans="1:3" x14ac:dyDescent="0.25">
      <c r="A298" s="36">
        <v>46015</v>
      </c>
      <c r="C298" s="57"/>
    </row>
    <row r="299" spans="1:3" x14ac:dyDescent="0.25">
      <c r="A299" s="36">
        <v>46015</v>
      </c>
      <c r="C299" s="57"/>
    </row>
    <row r="300" spans="1:3" x14ac:dyDescent="0.25">
      <c r="A300" s="36">
        <v>46015</v>
      </c>
      <c r="C300" s="57"/>
    </row>
    <row r="301" spans="1:3" x14ac:dyDescent="0.25">
      <c r="A301" s="36">
        <v>46015</v>
      </c>
      <c r="C301" s="57"/>
    </row>
    <row r="302" spans="1:3" x14ac:dyDescent="0.25">
      <c r="A302" s="36">
        <v>46015</v>
      </c>
      <c r="C302" s="57"/>
    </row>
    <row r="303" spans="1:3" x14ac:dyDescent="0.25">
      <c r="A303" s="36">
        <v>46015</v>
      </c>
      <c r="C303" s="57"/>
    </row>
    <row r="304" spans="1:3" x14ac:dyDescent="0.25">
      <c r="A304" s="36">
        <v>46015</v>
      </c>
      <c r="C304" s="57"/>
    </row>
    <row r="305" spans="1:3" x14ac:dyDescent="0.25">
      <c r="A305" s="36">
        <v>46015</v>
      </c>
      <c r="C305" s="57"/>
    </row>
    <row r="306" spans="1:3" x14ac:dyDescent="0.25">
      <c r="A306" s="36">
        <v>46015</v>
      </c>
      <c r="C306" s="57"/>
    </row>
    <row r="307" spans="1:3" x14ac:dyDescent="0.25">
      <c r="A307" s="36">
        <v>46015</v>
      </c>
      <c r="C307" s="57"/>
    </row>
    <row r="308" spans="1:3" x14ac:dyDescent="0.25">
      <c r="A308" s="36">
        <v>46015</v>
      </c>
      <c r="C308" s="57"/>
    </row>
    <row r="309" spans="1:3" x14ac:dyDescent="0.25">
      <c r="A309" s="36">
        <v>46015</v>
      </c>
      <c r="C309" s="57"/>
    </row>
    <row r="310" spans="1:3" x14ac:dyDescent="0.25">
      <c r="A310" s="36">
        <v>46015</v>
      </c>
      <c r="C310" s="57"/>
    </row>
    <row r="311" spans="1:3" x14ac:dyDescent="0.25">
      <c r="A311" s="36">
        <v>46015</v>
      </c>
      <c r="C311" s="57"/>
    </row>
    <row r="312" spans="1:3" x14ac:dyDescent="0.25">
      <c r="A312" s="36">
        <v>46015</v>
      </c>
      <c r="C312" s="57"/>
    </row>
    <row r="313" spans="1:3" x14ac:dyDescent="0.25">
      <c r="A313" s="36">
        <v>46015</v>
      </c>
      <c r="C313" s="57"/>
    </row>
    <row r="314" spans="1:3" x14ac:dyDescent="0.25">
      <c r="A314" s="36">
        <v>46015</v>
      </c>
      <c r="C314" s="57"/>
    </row>
    <row r="315" spans="1:3" x14ac:dyDescent="0.25">
      <c r="A315" s="36">
        <v>46015</v>
      </c>
      <c r="C315" s="57"/>
    </row>
    <row r="316" spans="1:3" x14ac:dyDescent="0.25">
      <c r="A316" s="36">
        <v>46015</v>
      </c>
      <c r="C316" s="57"/>
    </row>
    <row r="317" spans="1:3" x14ac:dyDescent="0.25">
      <c r="A317" s="36">
        <v>46015</v>
      </c>
      <c r="C317" s="57"/>
    </row>
    <row r="318" spans="1:3" x14ac:dyDescent="0.25">
      <c r="A318" s="36">
        <v>46015</v>
      </c>
      <c r="C318" s="57"/>
    </row>
    <row r="319" spans="1:3" x14ac:dyDescent="0.25">
      <c r="A319" s="36">
        <v>46015</v>
      </c>
      <c r="C319" s="57"/>
    </row>
    <row r="320" spans="1:3" x14ac:dyDescent="0.25">
      <c r="A320" s="36">
        <v>46015</v>
      </c>
      <c r="C320" s="57"/>
    </row>
    <row r="321" spans="1:3" x14ac:dyDescent="0.25">
      <c r="A321" s="36">
        <v>46015</v>
      </c>
      <c r="C321" s="57"/>
    </row>
    <row r="322" spans="1:3" x14ac:dyDescent="0.25">
      <c r="A322" s="36">
        <v>46015</v>
      </c>
      <c r="C322" s="57"/>
    </row>
    <row r="323" spans="1:3" x14ac:dyDescent="0.25">
      <c r="A323" s="36">
        <v>46015</v>
      </c>
      <c r="C323" s="57"/>
    </row>
    <row r="324" spans="1:3" x14ac:dyDescent="0.25">
      <c r="A324" s="36">
        <v>46015</v>
      </c>
      <c r="C324" s="57"/>
    </row>
    <row r="325" spans="1:3" x14ac:dyDescent="0.25">
      <c r="A325" s="36">
        <v>46015</v>
      </c>
      <c r="C325" s="57"/>
    </row>
    <row r="326" spans="1:3" x14ac:dyDescent="0.25">
      <c r="A326" s="36">
        <v>46015</v>
      </c>
      <c r="C326" s="57"/>
    </row>
    <row r="327" spans="1:3" x14ac:dyDescent="0.25">
      <c r="A327" s="36">
        <v>46015</v>
      </c>
      <c r="C327" s="57"/>
    </row>
    <row r="328" spans="1:3" x14ac:dyDescent="0.25">
      <c r="A328" s="36">
        <v>46015</v>
      </c>
      <c r="C328" s="57"/>
    </row>
    <row r="329" spans="1:3" x14ac:dyDescent="0.25">
      <c r="A329" s="36">
        <v>46015</v>
      </c>
      <c r="C329" s="57"/>
    </row>
    <row r="330" spans="1:3" x14ac:dyDescent="0.25">
      <c r="A330" s="36">
        <v>46015</v>
      </c>
      <c r="C330" s="57"/>
    </row>
    <row r="331" spans="1:3" x14ac:dyDescent="0.25">
      <c r="A331" s="36">
        <v>46015</v>
      </c>
      <c r="C331" s="57"/>
    </row>
    <row r="332" spans="1:3" x14ac:dyDescent="0.25">
      <c r="A332" s="36">
        <v>46015</v>
      </c>
      <c r="C332" s="57"/>
    </row>
    <row r="333" spans="1:3" x14ac:dyDescent="0.25">
      <c r="A333" s="36">
        <v>46015</v>
      </c>
      <c r="C333" s="57"/>
    </row>
    <row r="334" spans="1:3" x14ac:dyDescent="0.25">
      <c r="A334" s="36">
        <v>46015</v>
      </c>
      <c r="C334" s="57"/>
    </row>
    <row r="335" spans="1:3" x14ac:dyDescent="0.25">
      <c r="A335" s="36">
        <v>46015</v>
      </c>
      <c r="C335" s="57"/>
    </row>
    <row r="336" spans="1:3" x14ac:dyDescent="0.25">
      <c r="A336" s="36">
        <v>46015</v>
      </c>
      <c r="C336" s="57"/>
    </row>
    <row r="337" spans="1:3" x14ac:dyDescent="0.25">
      <c r="A337" s="36">
        <v>46015</v>
      </c>
      <c r="C337" s="57"/>
    </row>
    <row r="338" spans="1:3" x14ac:dyDescent="0.25">
      <c r="A338" s="36">
        <v>46015</v>
      </c>
      <c r="C338" s="57"/>
    </row>
    <row r="339" spans="1:3" x14ac:dyDescent="0.25">
      <c r="A339" s="36">
        <v>46015</v>
      </c>
      <c r="C339" s="57"/>
    </row>
    <row r="340" spans="1:3" x14ac:dyDescent="0.25">
      <c r="A340" s="36">
        <v>46015</v>
      </c>
      <c r="C340" s="57"/>
    </row>
    <row r="341" spans="1:3" x14ac:dyDescent="0.25">
      <c r="A341" s="36">
        <v>46015</v>
      </c>
      <c r="C341" s="57"/>
    </row>
    <row r="342" spans="1:3" x14ac:dyDescent="0.25">
      <c r="A342" s="36">
        <v>46015</v>
      </c>
      <c r="C342" s="57"/>
    </row>
    <row r="343" spans="1:3" x14ac:dyDescent="0.25">
      <c r="A343" s="36">
        <v>46015</v>
      </c>
      <c r="C343" s="57"/>
    </row>
    <row r="344" spans="1:3" x14ac:dyDescent="0.25">
      <c r="A344" s="36">
        <v>46015</v>
      </c>
      <c r="C344" s="57"/>
    </row>
    <row r="345" spans="1:3" x14ac:dyDescent="0.25">
      <c r="A345" s="36">
        <v>46015</v>
      </c>
      <c r="C345" s="57"/>
    </row>
    <row r="346" spans="1:3" x14ac:dyDescent="0.25">
      <c r="A346" s="36">
        <v>46015</v>
      </c>
      <c r="C346" s="57"/>
    </row>
    <row r="347" spans="1:3" x14ac:dyDescent="0.25">
      <c r="A347" s="36">
        <v>46015</v>
      </c>
      <c r="C347" s="57"/>
    </row>
    <row r="348" spans="1:3" x14ac:dyDescent="0.25">
      <c r="A348" s="36">
        <v>46015</v>
      </c>
      <c r="C348" s="57"/>
    </row>
    <row r="349" spans="1:3" x14ac:dyDescent="0.25">
      <c r="A349" s="36">
        <v>46015</v>
      </c>
      <c r="C349" s="57"/>
    </row>
  </sheetData>
  <conditionalFormatting pivot="1" sqref="F2:G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{751DF0D8-2659-4369-84E9-B57AE3DD7C2F}</x14:id>
        </ext>
      </extLst>
    </cfRule>
  </conditionalFormatting>
  <conditionalFormatting sqref="I2:I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{F8A464B9-BEEC-4BCB-B3EF-1DDDD7155B36}</x14:id>
        </ext>
      </extLst>
    </cfRule>
  </conditionalFormatting>
  <conditionalFormatting pivot="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{BE47D5CC-F219-4D78-AB67-784880182AD5}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3"/>
  <drawing r:id="rId4"/>
  <tableParts count="2"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51DF0D8-2659-4369-84E9-B57AE3DD7C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F2:G20</xm:sqref>
        </x14:conditionalFormatting>
        <x14:conditionalFormatting xmlns:xm="http://schemas.microsoft.com/office/excel/2006/main">
          <x14:cfRule type="dataBar" id="{F8A464B9-BEEC-4BCB-B3EF-1DDDD7155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I2:I20</xm:sqref>
        </x14:conditionalFormatting>
        <x14:conditionalFormatting xmlns:xm="http://schemas.microsoft.com/office/excel/2006/main" pivot="1">
          <x14:cfRule type="dataBar" id="{BE47D5CC-F219-4D78-AB67-784880182A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6B1E-6D25-4418-869A-4160B7286EA5}">
  <sheetPr codeName="Planilha7">
    <tabColor rgb="FFFFC000"/>
  </sheetPr>
  <dimension ref="A1:I4078"/>
  <sheetViews>
    <sheetView workbookViewId="0">
      <selection activeCell="G12" sqref="G12"/>
    </sheetView>
  </sheetViews>
  <sheetFormatPr defaultRowHeight="15" x14ac:dyDescent="0.25"/>
  <cols>
    <col min="1" max="1" width="7.85546875" bestFit="1" customWidth="1"/>
    <col min="2" max="2" width="10.7109375" bestFit="1" customWidth="1"/>
    <col min="3" max="3" width="8.140625" bestFit="1" customWidth="1"/>
    <col min="4" max="4" width="8.85546875" bestFit="1" customWidth="1"/>
    <col min="5" max="6" width="8.140625" bestFit="1" customWidth="1"/>
    <col min="7" max="7" width="12" bestFit="1" customWidth="1"/>
    <col min="8" max="8" width="16.42578125" bestFit="1" customWidth="1"/>
    <col min="9" max="9" width="11.42578125" bestFit="1" customWidth="1"/>
    <col min="11" max="11" width="18" bestFit="1" customWidth="1"/>
    <col min="12" max="15" width="19.5703125" bestFit="1" customWidth="1"/>
  </cols>
  <sheetData>
    <row r="1" spans="1:9" x14ac:dyDescent="0.25">
      <c r="A1" t="s">
        <v>40</v>
      </c>
      <c r="B1" t="s">
        <v>41</v>
      </c>
      <c r="C1" t="s">
        <v>42</v>
      </c>
      <c r="D1" t="s">
        <v>2</v>
      </c>
      <c r="E1" t="s">
        <v>3</v>
      </c>
      <c r="F1" t="s">
        <v>4</v>
      </c>
      <c r="G1" t="s">
        <v>43</v>
      </c>
      <c r="H1" t="s">
        <v>39</v>
      </c>
      <c r="I1" t="s">
        <v>44</v>
      </c>
    </row>
    <row r="2" spans="1:9" x14ac:dyDescent="0.25">
      <c r="A2" t="s">
        <v>9</v>
      </c>
      <c r="B2" s="39">
        <v>46181</v>
      </c>
      <c r="C2" s="40">
        <v>0.60416666666666663</v>
      </c>
      <c r="D2" s="41">
        <v>5216.5</v>
      </c>
      <c r="E2" s="41">
        <v>5221.5</v>
      </c>
      <c r="F2" s="41">
        <v>5215.5</v>
      </c>
      <c r="G2" s="41">
        <v>5217.5</v>
      </c>
      <c r="H2" s="41">
        <v>2678648000</v>
      </c>
      <c r="I2" s="42">
        <v>10265</v>
      </c>
    </row>
    <row r="3" spans="1:9" x14ac:dyDescent="0.25">
      <c r="A3" t="s">
        <v>9</v>
      </c>
      <c r="B3" s="39">
        <v>46181</v>
      </c>
      <c r="C3" s="40">
        <v>0.58333333333333337</v>
      </c>
      <c r="D3" s="41">
        <v>5205.5</v>
      </c>
      <c r="E3" s="41">
        <v>5219</v>
      </c>
      <c r="F3" s="41">
        <v>5205</v>
      </c>
      <c r="G3" s="41">
        <v>5216</v>
      </c>
      <c r="H3" s="41">
        <v>4183870125</v>
      </c>
      <c r="I3" s="42">
        <v>16055</v>
      </c>
    </row>
    <row r="4" spans="1:9" x14ac:dyDescent="0.25">
      <c r="A4" t="s">
        <v>9</v>
      </c>
      <c r="B4" s="39">
        <v>46181</v>
      </c>
      <c r="C4" s="40">
        <v>0.5625</v>
      </c>
      <c r="D4" s="41">
        <v>5199</v>
      </c>
      <c r="E4" s="41">
        <v>5205.5</v>
      </c>
      <c r="F4" s="41">
        <v>5197</v>
      </c>
      <c r="G4" s="41">
        <v>5205</v>
      </c>
      <c r="H4" s="41">
        <v>2720294750</v>
      </c>
      <c r="I4" s="42">
        <v>10460</v>
      </c>
    </row>
    <row r="5" spans="1:9" x14ac:dyDescent="0.25">
      <c r="A5" t="s">
        <v>9</v>
      </c>
      <c r="B5" s="39">
        <v>46181</v>
      </c>
      <c r="C5" s="40">
        <v>0.54166666666666663</v>
      </c>
      <c r="D5" s="41">
        <v>5199</v>
      </c>
      <c r="E5" s="41">
        <v>5202.5</v>
      </c>
      <c r="F5" s="41">
        <v>5191.5</v>
      </c>
      <c r="G5" s="41">
        <v>5199</v>
      </c>
      <c r="H5" s="41">
        <v>2424041125</v>
      </c>
      <c r="I5" s="42">
        <v>9330</v>
      </c>
    </row>
    <row r="6" spans="1:9" x14ac:dyDescent="0.25">
      <c r="A6" t="s">
        <v>9</v>
      </c>
      <c r="B6" s="39">
        <v>46181</v>
      </c>
      <c r="C6" s="40">
        <v>0.52083333333333337</v>
      </c>
      <c r="D6" s="41">
        <v>5205</v>
      </c>
      <c r="E6" s="41">
        <v>5215</v>
      </c>
      <c r="F6" s="41">
        <v>5198</v>
      </c>
      <c r="G6" s="41">
        <v>5199</v>
      </c>
      <c r="H6" s="41">
        <v>3661912250</v>
      </c>
      <c r="I6" s="42">
        <v>14070</v>
      </c>
    </row>
    <row r="7" spans="1:9" x14ac:dyDescent="0.25">
      <c r="A7" t="s">
        <v>9</v>
      </c>
      <c r="B7" s="39">
        <v>46181</v>
      </c>
      <c r="C7" s="40">
        <v>0.5</v>
      </c>
      <c r="D7" s="41">
        <v>5204</v>
      </c>
      <c r="E7" s="41">
        <v>5211.5</v>
      </c>
      <c r="F7" s="41">
        <v>5196</v>
      </c>
      <c r="G7" s="41">
        <v>5205.5</v>
      </c>
      <c r="H7" s="41">
        <v>3542477125</v>
      </c>
      <c r="I7" s="42">
        <v>13615</v>
      </c>
    </row>
    <row r="8" spans="1:9" x14ac:dyDescent="0.25">
      <c r="A8" t="s">
        <v>9</v>
      </c>
      <c r="B8" s="39">
        <v>46181</v>
      </c>
      <c r="C8" s="40">
        <v>0.47916666666666669</v>
      </c>
      <c r="D8" s="41">
        <v>5215</v>
      </c>
      <c r="E8" s="41">
        <v>5217</v>
      </c>
      <c r="F8" s="41">
        <v>5203</v>
      </c>
      <c r="G8" s="41">
        <v>5204.5</v>
      </c>
      <c r="H8" s="41">
        <v>6015507250</v>
      </c>
      <c r="I8" s="42">
        <v>23095</v>
      </c>
    </row>
    <row r="9" spans="1:9" x14ac:dyDescent="0.25">
      <c r="A9" t="s">
        <v>9</v>
      </c>
      <c r="B9" s="39">
        <v>46181</v>
      </c>
      <c r="C9" s="40">
        <v>0.45833333333333331</v>
      </c>
      <c r="D9" s="41">
        <v>5205</v>
      </c>
      <c r="E9" s="41">
        <v>5224.5</v>
      </c>
      <c r="F9" s="41">
        <v>5199.5</v>
      </c>
      <c r="G9" s="41">
        <v>5215.5</v>
      </c>
      <c r="H9" s="41">
        <v>6039318625</v>
      </c>
      <c r="I9" s="42">
        <v>23160</v>
      </c>
    </row>
    <row r="10" spans="1:9" x14ac:dyDescent="0.25">
      <c r="A10" t="s">
        <v>9</v>
      </c>
      <c r="B10" s="39">
        <v>46181</v>
      </c>
      <c r="C10" s="40">
        <v>0.4375</v>
      </c>
      <c r="D10" s="41">
        <v>5189</v>
      </c>
      <c r="E10" s="41">
        <v>5204.5</v>
      </c>
      <c r="F10" s="41">
        <v>5183.5</v>
      </c>
      <c r="G10" s="41">
        <v>5204.5</v>
      </c>
      <c r="H10" s="41">
        <v>5261431125</v>
      </c>
      <c r="I10" s="42">
        <v>20260</v>
      </c>
    </row>
    <row r="11" spans="1:9" x14ac:dyDescent="0.25">
      <c r="A11" t="s">
        <v>9</v>
      </c>
      <c r="B11" s="39">
        <v>46181</v>
      </c>
      <c r="C11" s="40">
        <v>0.41666666666666669</v>
      </c>
      <c r="D11" s="41">
        <v>5179</v>
      </c>
      <c r="E11" s="41">
        <v>5196.5</v>
      </c>
      <c r="F11" s="41">
        <v>5176</v>
      </c>
      <c r="G11" s="41">
        <v>5188.5</v>
      </c>
      <c r="H11" s="41">
        <v>12031361380</v>
      </c>
      <c r="I11" s="42">
        <v>46405</v>
      </c>
    </row>
    <row r="12" spans="1:9" x14ac:dyDescent="0.25">
      <c r="A12" t="s">
        <v>9</v>
      </c>
      <c r="B12" s="39">
        <v>46181</v>
      </c>
      <c r="C12" s="40">
        <v>0.39583333333333331</v>
      </c>
      <c r="D12" s="41">
        <v>5165</v>
      </c>
      <c r="E12" s="41">
        <v>5195.5</v>
      </c>
      <c r="F12" s="41">
        <v>5163</v>
      </c>
      <c r="G12" s="41">
        <v>5179.5</v>
      </c>
      <c r="H12" s="41">
        <v>7019816750</v>
      </c>
      <c r="I12" s="42">
        <v>27120</v>
      </c>
    </row>
    <row r="13" spans="1:9" x14ac:dyDescent="0.25">
      <c r="A13" t="s">
        <v>9</v>
      </c>
      <c r="B13" s="39">
        <v>46181</v>
      </c>
      <c r="C13" s="40">
        <v>0.375</v>
      </c>
      <c r="D13" s="41">
        <v>5180.5</v>
      </c>
      <c r="E13" s="41">
        <v>5185</v>
      </c>
      <c r="F13" s="41">
        <v>5162.5</v>
      </c>
      <c r="G13" s="41">
        <v>5165</v>
      </c>
      <c r="H13" s="41">
        <v>4157310625</v>
      </c>
      <c r="I13" s="42">
        <v>16070</v>
      </c>
    </row>
    <row r="14" spans="1:9" x14ac:dyDescent="0.25">
      <c r="A14" t="s">
        <v>9</v>
      </c>
      <c r="B14" s="39">
        <v>46178</v>
      </c>
      <c r="C14" s="40">
        <v>0.75</v>
      </c>
      <c r="D14" s="41">
        <v>5199</v>
      </c>
      <c r="E14" s="41">
        <v>5205</v>
      </c>
      <c r="F14" s="41">
        <v>5198</v>
      </c>
      <c r="G14" s="41">
        <v>5200</v>
      </c>
      <c r="H14" s="41">
        <v>566991875</v>
      </c>
      <c r="I14" s="42">
        <v>2180</v>
      </c>
    </row>
    <row r="15" spans="1:9" x14ac:dyDescent="0.25">
      <c r="A15" t="s">
        <v>9</v>
      </c>
      <c r="B15" s="39">
        <v>46178</v>
      </c>
      <c r="C15" s="40">
        <v>0.72916666666666663</v>
      </c>
      <c r="D15" s="41">
        <v>5195</v>
      </c>
      <c r="E15" s="41">
        <v>5207.5</v>
      </c>
      <c r="F15" s="41">
        <v>5193.5</v>
      </c>
      <c r="G15" s="41">
        <v>5199.5</v>
      </c>
      <c r="H15" s="41">
        <v>2477185125</v>
      </c>
      <c r="I15" s="42">
        <v>9525</v>
      </c>
    </row>
    <row r="16" spans="1:9" x14ac:dyDescent="0.25">
      <c r="A16" t="s">
        <v>9</v>
      </c>
      <c r="B16" s="39">
        <v>46178</v>
      </c>
      <c r="C16" s="40">
        <v>0.70833333333333337</v>
      </c>
      <c r="D16" s="41">
        <v>5186.5</v>
      </c>
      <c r="E16" s="41">
        <v>5197</v>
      </c>
      <c r="F16" s="41">
        <v>5186.5</v>
      </c>
      <c r="G16" s="41">
        <v>5195.5</v>
      </c>
      <c r="H16" s="41">
        <v>2599727000</v>
      </c>
      <c r="I16" s="42">
        <v>10015</v>
      </c>
    </row>
    <row r="17" spans="1:9" x14ac:dyDescent="0.25">
      <c r="A17" t="s">
        <v>9</v>
      </c>
      <c r="B17" s="39">
        <v>46178</v>
      </c>
      <c r="C17" s="40">
        <v>0.6875</v>
      </c>
      <c r="D17" s="41">
        <v>5183.5</v>
      </c>
      <c r="E17" s="41">
        <v>5187.5</v>
      </c>
      <c r="F17" s="41">
        <v>5182.5</v>
      </c>
      <c r="G17" s="41">
        <v>5186.5</v>
      </c>
      <c r="H17" s="41">
        <v>3228985125</v>
      </c>
      <c r="I17" s="42">
        <v>12455</v>
      </c>
    </row>
    <row r="18" spans="1:9" x14ac:dyDescent="0.25">
      <c r="A18" t="s">
        <v>9</v>
      </c>
      <c r="B18" s="39">
        <v>46178</v>
      </c>
      <c r="C18" s="40">
        <v>0.66666666666666663</v>
      </c>
      <c r="D18" s="41">
        <v>5184</v>
      </c>
      <c r="E18" s="41">
        <v>5187</v>
      </c>
      <c r="F18" s="41">
        <v>5182</v>
      </c>
      <c r="G18" s="41">
        <v>5183.5</v>
      </c>
      <c r="H18" s="41">
        <v>2848989625</v>
      </c>
      <c r="I18" s="42">
        <v>10990</v>
      </c>
    </row>
    <row r="19" spans="1:9" x14ac:dyDescent="0.25">
      <c r="A19" t="s">
        <v>9</v>
      </c>
      <c r="B19" s="39">
        <v>46178</v>
      </c>
      <c r="C19" s="40">
        <v>0.64583333333333337</v>
      </c>
      <c r="D19" s="41">
        <v>5177</v>
      </c>
      <c r="E19" s="41">
        <v>5184.5</v>
      </c>
      <c r="F19" s="41">
        <v>5175.5</v>
      </c>
      <c r="G19" s="41">
        <v>5184</v>
      </c>
      <c r="H19" s="41">
        <v>3030384750</v>
      </c>
      <c r="I19" s="42">
        <v>11700</v>
      </c>
    </row>
    <row r="20" spans="1:9" x14ac:dyDescent="0.25">
      <c r="A20" t="s">
        <v>9</v>
      </c>
      <c r="B20" s="39">
        <v>46178</v>
      </c>
      <c r="C20" s="40">
        <v>0.625</v>
      </c>
      <c r="D20" s="41">
        <v>5173</v>
      </c>
      <c r="E20" s="41">
        <v>5179</v>
      </c>
      <c r="F20" s="41">
        <v>5172.5</v>
      </c>
      <c r="G20" s="41">
        <v>5176</v>
      </c>
      <c r="H20" s="41">
        <v>2550475375</v>
      </c>
      <c r="I20" s="42">
        <v>9855</v>
      </c>
    </row>
    <row r="21" spans="1:9" x14ac:dyDescent="0.25">
      <c r="A21" t="s">
        <v>9</v>
      </c>
      <c r="B21" s="39">
        <v>46178</v>
      </c>
      <c r="C21" s="40">
        <v>0.60416666666666663</v>
      </c>
      <c r="D21" s="41">
        <v>5169.5</v>
      </c>
      <c r="E21" s="41">
        <v>5176</v>
      </c>
      <c r="F21" s="41">
        <v>5165.5</v>
      </c>
      <c r="G21" s="41">
        <v>5173</v>
      </c>
      <c r="H21" s="41">
        <v>2703436500</v>
      </c>
      <c r="I21" s="42">
        <v>10455</v>
      </c>
    </row>
    <row r="22" spans="1:9" x14ac:dyDescent="0.25">
      <c r="A22" t="s">
        <v>9</v>
      </c>
      <c r="B22" s="39">
        <v>46178</v>
      </c>
      <c r="C22" s="40">
        <v>0.58333333333333337</v>
      </c>
      <c r="D22" s="41">
        <v>5171.5</v>
      </c>
      <c r="E22" s="41">
        <v>5175.5</v>
      </c>
      <c r="F22" s="41">
        <v>5167.5</v>
      </c>
      <c r="G22" s="41">
        <v>5169.5</v>
      </c>
      <c r="H22" s="41">
        <v>2687619500</v>
      </c>
      <c r="I22" s="42">
        <v>10395</v>
      </c>
    </row>
    <row r="23" spans="1:9" x14ac:dyDescent="0.25">
      <c r="A23" t="s">
        <v>9</v>
      </c>
      <c r="B23" s="39">
        <v>46178</v>
      </c>
      <c r="C23" s="40">
        <v>0.5625</v>
      </c>
      <c r="D23" s="41">
        <v>5181.5</v>
      </c>
      <c r="E23" s="41">
        <v>5181.5</v>
      </c>
      <c r="F23" s="41">
        <v>5171</v>
      </c>
      <c r="G23" s="41">
        <v>5171.5</v>
      </c>
      <c r="H23" s="41">
        <v>8797902125</v>
      </c>
      <c r="I23" s="42">
        <v>33975</v>
      </c>
    </row>
    <row r="24" spans="1:9" x14ac:dyDescent="0.25">
      <c r="A24" t="s">
        <v>9</v>
      </c>
      <c r="B24" s="39">
        <v>46178</v>
      </c>
      <c r="C24" s="40">
        <v>0.54166666666666663</v>
      </c>
      <c r="D24" s="41">
        <v>5177</v>
      </c>
      <c r="E24" s="41">
        <v>5185.5</v>
      </c>
      <c r="F24" s="41">
        <v>5173.5</v>
      </c>
      <c r="G24" s="41">
        <v>5180.5</v>
      </c>
      <c r="H24" s="41">
        <v>6054899875</v>
      </c>
      <c r="I24" s="42">
        <v>23375</v>
      </c>
    </row>
    <row r="25" spans="1:9" x14ac:dyDescent="0.25">
      <c r="A25" t="s">
        <v>9</v>
      </c>
      <c r="B25" s="39">
        <v>46178</v>
      </c>
      <c r="C25" s="40">
        <v>0.52083333333333337</v>
      </c>
      <c r="D25" s="41">
        <v>5167</v>
      </c>
      <c r="E25" s="41">
        <v>5179</v>
      </c>
      <c r="F25" s="41">
        <v>5162</v>
      </c>
      <c r="G25" s="41">
        <v>5176.5</v>
      </c>
      <c r="H25" s="41">
        <v>11387160880</v>
      </c>
      <c r="I25" s="42">
        <v>44040</v>
      </c>
    </row>
    <row r="26" spans="1:9" x14ac:dyDescent="0.25">
      <c r="A26" t="s">
        <v>9</v>
      </c>
      <c r="B26" s="39">
        <v>46178</v>
      </c>
      <c r="C26" s="40">
        <v>0.5</v>
      </c>
      <c r="D26" s="41">
        <v>5152.5</v>
      </c>
      <c r="E26" s="41">
        <v>5166.5</v>
      </c>
      <c r="F26" s="41">
        <v>5152</v>
      </c>
      <c r="G26" s="41">
        <v>5166.5</v>
      </c>
      <c r="H26" s="41">
        <v>7032757250</v>
      </c>
      <c r="I26" s="42">
        <v>27260</v>
      </c>
    </row>
    <row r="27" spans="1:9" x14ac:dyDescent="0.25">
      <c r="A27" t="s">
        <v>9</v>
      </c>
      <c r="B27" s="39">
        <v>46178</v>
      </c>
      <c r="C27" s="40">
        <v>0.47916666666666669</v>
      </c>
      <c r="D27" s="41">
        <v>5151.5</v>
      </c>
      <c r="E27" s="41">
        <v>5157</v>
      </c>
      <c r="F27" s="41">
        <v>5145</v>
      </c>
      <c r="G27" s="41">
        <v>5152.5</v>
      </c>
      <c r="H27" s="41">
        <v>5643792625</v>
      </c>
      <c r="I27" s="42">
        <v>21910</v>
      </c>
    </row>
    <row r="28" spans="1:9" x14ac:dyDescent="0.25">
      <c r="A28" t="s">
        <v>9</v>
      </c>
      <c r="B28" s="39">
        <v>46178</v>
      </c>
      <c r="C28" s="40">
        <v>0.45833333333333331</v>
      </c>
      <c r="D28" s="41">
        <v>5153</v>
      </c>
      <c r="E28" s="41">
        <v>5160</v>
      </c>
      <c r="F28" s="41">
        <v>5149</v>
      </c>
      <c r="G28" s="41">
        <v>5152</v>
      </c>
      <c r="H28" s="41">
        <v>9142692500</v>
      </c>
      <c r="I28" s="42">
        <v>35480</v>
      </c>
    </row>
    <row r="29" spans="1:9" x14ac:dyDescent="0.25">
      <c r="A29" t="s">
        <v>9</v>
      </c>
      <c r="B29" s="39">
        <v>46178</v>
      </c>
      <c r="C29" s="40">
        <v>0.4375</v>
      </c>
      <c r="D29" s="41">
        <v>5148.5</v>
      </c>
      <c r="E29" s="41">
        <v>5158</v>
      </c>
      <c r="F29" s="41">
        <v>5142.5</v>
      </c>
      <c r="G29" s="41">
        <v>5153</v>
      </c>
      <c r="H29" s="41">
        <v>5329704250</v>
      </c>
      <c r="I29" s="42">
        <v>20705</v>
      </c>
    </row>
    <row r="30" spans="1:9" x14ac:dyDescent="0.25">
      <c r="A30" t="s">
        <v>9</v>
      </c>
      <c r="B30" s="39">
        <v>46178</v>
      </c>
      <c r="C30" s="40">
        <v>0.41666666666666669</v>
      </c>
      <c r="D30" s="41">
        <v>5129.5</v>
      </c>
      <c r="E30" s="41">
        <v>5150</v>
      </c>
      <c r="F30" s="41">
        <v>5127</v>
      </c>
      <c r="G30" s="41">
        <v>5149</v>
      </c>
      <c r="H30" s="41">
        <v>6702895000</v>
      </c>
      <c r="I30" s="42">
        <v>26090</v>
      </c>
    </row>
    <row r="31" spans="1:9" x14ac:dyDescent="0.25">
      <c r="A31" t="s">
        <v>9</v>
      </c>
      <c r="B31" s="39">
        <v>46178</v>
      </c>
      <c r="C31" s="40">
        <v>0.39583333333333331</v>
      </c>
      <c r="D31" s="41">
        <v>5096.5</v>
      </c>
      <c r="E31" s="41">
        <v>5131</v>
      </c>
      <c r="F31" s="41">
        <v>5096.5</v>
      </c>
      <c r="G31" s="41">
        <v>5129.5</v>
      </c>
      <c r="H31" s="41">
        <v>4947819250</v>
      </c>
      <c r="I31" s="42">
        <v>19360</v>
      </c>
    </row>
    <row r="32" spans="1:9" x14ac:dyDescent="0.25">
      <c r="A32" t="s">
        <v>9</v>
      </c>
      <c r="B32" s="39">
        <v>46178</v>
      </c>
      <c r="C32" s="40">
        <v>0.375</v>
      </c>
      <c r="D32" s="41">
        <v>5085.5</v>
      </c>
      <c r="E32" s="41">
        <v>5096</v>
      </c>
      <c r="F32" s="41">
        <v>5085</v>
      </c>
      <c r="G32" s="41">
        <v>5094.5</v>
      </c>
      <c r="H32" s="41">
        <v>2493218125</v>
      </c>
      <c r="I32" s="42">
        <v>9795</v>
      </c>
    </row>
    <row r="33" spans="1:9" x14ac:dyDescent="0.25">
      <c r="A33" t="s">
        <v>9</v>
      </c>
      <c r="B33" s="39">
        <v>46176</v>
      </c>
      <c r="C33" s="40">
        <v>0.75</v>
      </c>
      <c r="D33" s="41">
        <v>5099</v>
      </c>
      <c r="E33" s="41">
        <v>5104.5</v>
      </c>
      <c r="F33" s="41">
        <v>5091</v>
      </c>
      <c r="G33" s="41">
        <v>5091</v>
      </c>
      <c r="H33" s="41">
        <v>558389750</v>
      </c>
      <c r="I33" s="42">
        <v>2190</v>
      </c>
    </row>
    <row r="34" spans="1:9" x14ac:dyDescent="0.25">
      <c r="A34" t="s">
        <v>9</v>
      </c>
      <c r="B34" s="39">
        <v>46176</v>
      </c>
      <c r="C34" s="40">
        <v>0.72916666666666663</v>
      </c>
      <c r="D34" s="41">
        <v>5096.5</v>
      </c>
      <c r="E34" s="41">
        <v>5100</v>
      </c>
      <c r="F34" s="41">
        <v>5093</v>
      </c>
      <c r="G34" s="41">
        <v>5099</v>
      </c>
      <c r="H34" s="41">
        <v>2896057250</v>
      </c>
      <c r="I34" s="42">
        <v>11370</v>
      </c>
    </row>
    <row r="35" spans="1:9" x14ac:dyDescent="0.25">
      <c r="A35" t="s">
        <v>9</v>
      </c>
      <c r="B35" s="39">
        <v>46176</v>
      </c>
      <c r="C35" s="40">
        <v>0.70833333333333337</v>
      </c>
      <c r="D35" s="41">
        <v>5099.5</v>
      </c>
      <c r="E35" s="41">
        <v>5100.5</v>
      </c>
      <c r="F35" s="41">
        <v>5094.5</v>
      </c>
      <c r="G35" s="41">
        <v>5097</v>
      </c>
      <c r="H35" s="41">
        <v>2743629625</v>
      </c>
      <c r="I35" s="42">
        <v>10765</v>
      </c>
    </row>
    <row r="36" spans="1:9" x14ac:dyDescent="0.25">
      <c r="A36" t="s">
        <v>9</v>
      </c>
      <c r="B36" s="39">
        <v>46176</v>
      </c>
      <c r="C36" s="40">
        <v>0.6875</v>
      </c>
      <c r="D36" s="41">
        <v>5108.5</v>
      </c>
      <c r="E36" s="41">
        <v>5108.5</v>
      </c>
      <c r="F36" s="41">
        <v>5099.5</v>
      </c>
      <c r="G36" s="41">
        <v>5099.5</v>
      </c>
      <c r="H36" s="41">
        <v>2221342875</v>
      </c>
      <c r="I36" s="42">
        <v>8705</v>
      </c>
    </row>
    <row r="37" spans="1:9" x14ac:dyDescent="0.25">
      <c r="A37" t="s">
        <v>9</v>
      </c>
      <c r="B37" s="39">
        <v>46176</v>
      </c>
      <c r="C37" s="40">
        <v>0.66666666666666663</v>
      </c>
      <c r="D37" s="41">
        <v>5108.5</v>
      </c>
      <c r="E37" s="41">
        <v>5111.5</v>
      </c>
      <c r="F37" s="41">
        <v>5104.5</v>
      </c>
      <c r="G37" s="41">
        <v>5109</v>
      </c>
      <c r="H37" s="41">
        <v>3454937500</v>
      </c>
      <c r="I37" s="42">
        <v>13530</v>
      </c>
    </row>
    <row r="38" spans="1:9" x14ac:dyDescent="0.25">
      <c r="A38" t="s">
        <v>9</v>
      </c>
      <c r="B38" s="39">
        <v>46176</v>
      </c>
      <c r="C38" s="40">
        <v>0.64583333333333337</v>
      </c>
      <c r="D38" s="41">
        <v>5109</v>
      </c>
      <c r="E38" s="41">
        <v>5124</v>
      </c>
      <c r="F38" s="41">
        <v>5107</v>
      </c>
      <c r="G38" s="41">
        <v>5109</v>
      </c>
      <c r="H38" s="41">
        <v>4788706000</v>
      </c>
      <c r="I38" s="42">
        <v>18725</v>
      </c>
    </row>
    <row r="39" spans="1:9" x14ac:dyDescent="0.25">
      <c r="A39" t="s">
        <v>9</v>
      </c>
      <c r="B39" s="39">
        <v>46176</v>
      </c>
      <c r="C39" s="40">
        <v>0.625</v>
      </c>
      <c r="D39" s="41">
        <v>5110</v>
      </c>
      <c r="E39" s="41">
        <v>5114.5</v>
      </c>
      <c r="F39" s="41">
        <v>5108.5</v>
      </c>
      <c r="G39" s="41">
        <v>5109</v>
      </c>
      <c r="H39" s="41">
        <v>1969190250</v>
      </c>
      <c r="I39" s="42">
        <v>7705</v>
      </c>
    </row>
    <row r="40" spans="1:9" x14ac:dyDescent="0.25">
      <c r="A40" t="s">
        <v>9</v>
      </c>
      <c r="B40" s="39">
        <v>46176</v>
      </c>
      <c r="C40" s="40">
        <v>0.60416666666666663</v>
      </c>
      <c r="D40" s="41">
        <v>5102.5</v>
      </c>
      <c r="E40" s="41">
        <v>5114</v>
      </c>
      <c r="F40" s="41">
        <v>5100</v>
      </c>
      <c r="G40" s="41">
        <v>5110</v>
      </c>
      <c r="H40" s="41">
        <v>2154927875</v>
      </c>
      <c r="I40" s="42">
        <v>8440</v>
      </c>
    </row>
    <row r="41" spans="1:9" x14ac:dyDescent="0.25">
      <c r="A41" t="s">
        <v>9</v>
      </c>
      <c r="B41" s="39">
        <v>46176</v>
      </c>
      <c r="C41" s="40">
        <v>0.58333333333333337</v>
      </c>
      <c r="D41" s="41">
        <v>5104</v>
      </c>
      <c r="E41" s="41">
        <v>5107</v>
      </c>
      <c r="F41" s="41">
        <v>5100</v>
      </c>
      <c r="G41" s="41">
        <v>5102.5</v>
      </c>
      <c r="H41" s="41">
        <v>2227481375</v>
      </c>
      <c r="I41" s="42">
        <v>8730</v>
      </c>
    </row>
    <row r="42" spans="1:9" x14ac:dyDescent="0.25">
      <c r="A42" t="s">
        <v>9</v>
      </c>
      <c r="B42" s="39">
        <v>46176</v>
      </c>
      <c r="C42" s="40">
        <v>0.5625</v>
      </c>
      <c r="D42" s="41">
        <v>5090.5</v>
      </c>
      <c r="E42" s="41">
        <v>5109.5</v>
      </c>
      <c r="F42" s="41">
        <v>5090.5</v>
      </c>
      <c r="G42" s="41">
        <v>5104</v>
      </c>
      <c r="H42" s="41">
        <v>3324440375</v>
      </c>
      <c r="I42" s="42">
        <v>13030</v>
      </c>
    </row>
    <row r="43" spans="1:9" x14ac:dyDescent="0.25">
      <c r="A43" t="s">
        <v>9</v>
      </c>
      <c r="B43" s="39">
        <v>46176</v>
      </c>
      <c r="C43" s="40">
        <v>0.54166666666666663</v>
      </c>
      <c r="D43" s="41">
        <v>5079.5</v>
      </c>
      <c r="E43" s="41">
        <v>5093</v>
      </c>
      <c r="F43" s="41">
        <v>5079.5</v>
      </c>
      <c r="G43" s="41">
        <v>5091</v>
      </c>
      <c r="H43" s="41">
        <v>3558786250</v>
      </c>
      <c r="I43" s="42">
        <v>13990</v>
      </c>
    </row>
    <row r="44" spans="1:9" x14ac:dyDescent="0.25">
      <c r="A44" t="s">
        <v>9</v>
      </c>
      <c r="B44" s="39">
        <v>46176</v>
      </c>
      <c r="C44" s="40">
        <v>0.52083333333333337</v>
      </c>
      <c r="D44" s="41">
        <v>5078.5</v>
      </c>
      <c r="E44" s="41">
        <v>5083</v>
      </c>
      <c r="F44" s="41">
        <v>5077.5</v>
      </c>
      <c r="G44" s="41">
        <v>5080.5</v>
      </c>
      <c r="H44" s="41">
        <v>1606815250</v>
      </c>
      <c r="I44" s="42">
        <v>6325</v>
      </c>
    </row>
    <row r="45" spans="1:9" x14ac:dyDescent="0.25">
      <c r="A45" t="s">
        <v>9</v>
      </c>
      <c r="B45" s="39">
        <v>46176</v>
      </c>
      <c r="C45" s="40">
        <v>0.5</v>
      </c>
      <c r="D45" s="41">
        <v>5073.5</v>
      </c>
      <c r="E45" s="41">
        <v>5079.5</v>
      </c>
      <c r="F45" s="41">
        <v>5069.5</v>
      </c>
      <c r="G45" s="41">
        <v>5077.5</v>
      </c>
      <c r="H45" s="41">
        <v>1764471500</v>
      </c>
      <c r="I45" s="42">
        <v>6955</v>
      </c>
    </row>
    <row r="46" spans="1:9" x14ac:dyDescent="0.25">
      <c r="A46" t="s">
        <v>9</v>
      </c>
      <c r="B46" s="39">
        <v>46176</v>
      </c>
      <c r="C46" s="40">
        <v>0.47916666666666669</v>
      </c>
      <c r="D46" s="41">
        <v>5073.5</v>
      </c>
      <c r="E46" s="41">
        <v>5078.5</v>
      </c>
      <c r="F46" s="41">
        <v>5071.5</v>
      </c>
      <c r="G46" s="41">
        <v>5074</v>
      </c>
      <c r="H46" s="41">
        <v>2224088500</v>
      </c>
      <c r="I46" s="42">
        <v>8765</v>
      </c>
    </row>
    <row r="47" spans="1:9" x14ac:dyDescent="0.25">
      <c r="A47" t="s">
        <v>9</v>
      </c>
      <c r="B47" s="39">
        <v>46176</v>
      </c>
      <c r="C47" s="40">
        <v>0.45833333333333331</v>
      </c>
      <c r="D47" s="41">
        <v>5083</v>
      </c>
      <c r="E47" s="41">
        <v>5084.5</v>
      </c>
      <c r="F47" s="41">
        <v>5072.5</v>
      </c>
      <c r="G47" s="41">
        <v>5073</v>
      </c>
      <c r="H47" s="41">
        <v>3642140625</v>
      </c>
      <c r="I47" s="42">
        <v>14340</v>
      </c>
    </row>
    <row r="48" spans="1:9" x14ac:dyDescent="0.25">
      <c r="A48" t="s">
        <v>9</v>
      </c>
      <c r="B48" s="39">
        <v>46176</v>
      </c>
      <c r="C48" s="40">
        <v>0.4375</v>
      </c>
      <c r="D48" s="41">
        <v>5081.5</v>
      </c>
      <c r="E48" s="41">
        <v>5087</v>
      </c>
      <c r="F48" s="41">
        <v>5078.5</v>
      </c>
      <c r="G48" s="41">
        <v>5083</v>
      </c>
      <c r="H48" s="41">
        <v>3839948000</v>
      </c>
      <c r="I48" s="42">
        <v>15110</v>
      </c>
    </row>
    <row r="49" spans="1:9" x14ac:dyDescent="0.25">
      <c r="A49" t="s">
        <v>9</v>
      </c>
      <c r="B49" s="39">
        <v>46176</v>
      </c>
      <c r="C49" s="40">
        <v>0.41666666666666669</v>
      </c>
      <c r="D49" s="41">
        <v>5066.5</v>
      </c>
      <c r="E49" s="41">
        <v>5082</v>
      </c>
      <c r="F49" s="41">
        <v>5063</v>
      </c>
      <c r="G49" s="41">
        <v>5081.5</v>
      </c>
      <c r="H49" s="41">
        <v>3872764000</v>
      </c>
      <c r="I49" s="42">
        <v>15265</v>
      </c>
    </row>
    <row r="50" spans="1:9" x14ac:dyDescent="0.25">
      <c r="A50" t="s">
        <v>9</v>
      </c>
      <c r="B50" s="39">
        <v>46176</v>
      </c>
      <c r="C50" s="40">
        <v>0.39583333333333331</v>
      </c>
      <c r="D50" s="41">
        <v>5055</v>
      </c>
      <c r="E50" s="41">
        <v>5074.5</v>
      </c>
      <c r="F50" s="41">
        <v>5055</v>
      </c>
      <c r="G50" s="41">
        <v>5066.5</v>
      </c>
      <c r="H50" s="41">
        <v>3619528875</v>
      </c>
      <c r="I50" s="42">
        <v>14285</v>
      </c>
    </row>
    <row r="51" spans="1:9" x14ac:dyDescent="0.25">
      <c r="A51" t="s">
        <v>9</v>
      </c>
      <c r="B51" s="39">
        <v>46176</v>
      </c>
      <c r="C51" s="40">
        <v>0.375</v>
      </c>
      <c r="D51" s="41">
        <v>5051.5</v>
      </c>
      <c r="E51" s="41">
        <v>5055</v>
      </c>
      <c r="F51" s="41">
        <v>5045</v>
      </c>
      <c r="G51" s="41">
        <v>5055</v>
      </c>
      <c r="H51" s="41">
        <v>1789207500</v>
      </c>
      <c r="I51" s="42">
        <v>7085</v>
      </c>
    </row>
    <row r="52" spans="1:9" x14ac:dyDescent="0.25">
      <c r="A52" t="s">
        <v>9</v>
      </c>
      <c r="B52" s="39">
        <v>46175</v>
      </c>
      <c r="C52" s="40">
        <v>0.75</v>
      </c>
      <c r="D52" s="41">
        <v>5040</v>
      </c>
      <c r="E52" s="41">
        <v>5041</v>
      </c>
      <c r="F52" s="41">
        <v>5038.5</v>
      </c>
      <c r="G52" s="41">
        <v>5041</v>
      </c>
      <c r="H52" s="41">
        <v>2268036750</v>
      </c>
      <c r="I52" s="42">
        <v>9000</v>
      </c>
    </row>
    <row r="53" spans="1:9" x14ac:dyDescent="0.25">
      <c r="A53" t="s">
        <v>9</v>
      </c>
      <c r="B53" s="39">
        <v>46175</v>
      </c>
      <c r="C53" s="40">
        <v>0.72916666666666663</v>
      </c>
      <c r="D53" s="41">
        <v>5037.5</v>
      </c>
      <c r="E53" s="41">
        <v>5039.5</v>
      </c>
      <c r="F53" s="41">
        <v>5037</v>
      </c>
      <c r="G53" s="41">
        <v>5039</v>
      </c>
      <c r="H53" s="41">
        <v>7567127000</v>
      </c>
      <c r="I53" s="42">
        <v>30045</v>
      </c>
    </row>
    <row r="54" spans="1:9" x14ac:dyDescent="0.25">
      <c r="A54" t="s">
        <v>9</v>
      </c>
      <c r="B54" s="39">
        <v>46175</v>
      </c>
      <c r="C54" s="40">
        <v>0.70833333333333337</v>
      </c>
      <c r="D54" s="41">
        <v>5043.5</v>
      </c>
      <c r="E54" s="41">
        <v>5044</v>
      </c>
      <c r="F54" s="41">
        <v>5034.5</v>
      </c>
      <c r="G54" s="41">
        <v>5037.5</v>
      </c>
      <c r="H54" s="41">
        <v>1811452125</v>
      </c>
      <c r="I54" s="42">
        <v>7190</v>
      </c>
    </row>
    <row r="55" spans="1:9" x14ac:dyDescent="0.25">
      <c r="A55" t="s">
        <v>9</v>
      </c>
      <c r="B55" s="39">
        <v>46175</v>
      </c>
      <c r="C55" s="40">
        <v>0.6875</v>
      </c>
      <c r="D55" s="41">
        <v>5046.5</v>
      </c>
      <c r="E55" s="41">
        <v>5047.5</v>
      </c>
      <c r="F55" s="41">
        <v>5043</v>
      </c>
      <c r="G55" s="41">
        <v>5044</v>
      </c>
      <c r="H55" s="41">
        <v>2476406000</v>
      </c>
      <c r="I55" s="42">
        <v>9815</v>
      </c>
    </row>
    <row r="56" spans="1:9" x14ac:dyDescent="0.25">
      <c r="A56" t="s">
        <v>9</v>
      </c>
      <c r="B56" s="39">
        <v>46175</v>
      </c>
      <c r="C56" s="40">
        <v>0.66666666666666663</v>
      </c>
      <c r="D56" s="41">
        <v>5046.5</v>
      </c>
      <c r="E56" s="41">
        <v>5048</v>
      </c>
      <c r="F56" s="41">
        <v>5045.5</v>
      </c>
      <c r="G56" s="41">
        <v>5046.5</v>
      </c>
      <c r="H56" s="41">
        <v>1821841250</v>
      </c>
      <c r="I56" s="42">
        <v>7220</v>
      </c>
    </row>
    <row r="57" spans="1:9" x14ac:dyDescent="0.25">
      <c r="A57" t="s">
        <v>9</v>
      </c>
      <c r="B57" s="39">
        <v>46175</v>
      </c>
      <c r="C57" s="40">
        <v>0.64583333333333337</v>
      </c>
      <c r="D57" s="41">
        <v>5050.5</v>
      </c>
      <c r="E57" s="41">
        <v>5050.5</v>
      </c>
      <c r="F57" s="41">
        <v>5043.5</v>
      </c>
      <c r="G57" s="41">
        <v>5046.5</v>
      </c>
      <c r="H57" s="41">
        <v>2871496000</v>
      </c>
      <c r="I57" s="42">
        <v>11380</v>
      </c>
    </row>
    <row r="58" spans="1:9" x14ac:dyDescent="0.25">
      <c r="A58" t="s">
        <v>9</v>
      </c>
      <c r="B58" s="39">
        <v>46175</v>
      </c>
      <c r="C58" s="40">
        <v>0.625</v>
      </c>
      <c r="D58" s="41">
        <v>5053</v>
      </c>
      <c r="E58" s="41">
        <v>5055.5</v>
      </c>
      <c r="F58" s="41">
        <v>5050</v>
      </c>
      <c r="G58" s="41">
        <v>5050.5</v>
      </c>
      <c r="H58" s="41">
        <v>2318042125</v>
      </c>
      <c r="I58" s="42">
        <v>9175</v>
      </c>
    </row>
    <row r="59" spans="1:9" x14ac:dyDescent="0.25">
      <c r="A59" t="s">
        <v>9</v>
      </c>
      <c r="B59" s="39">
        <v>46175</v>
      </c>
      <c r="C59" s="40">
        <v>0.60416666666666663</v>
      </c>
      <c r="D59" s="41">
        <v>5056</v>
      </c>
      <c r="E59" s="41">
        <v>5056</v>
      </c>
      <c r="F59" s="41">
        <v>5052.5</v>
      </c>
      <c r="G59" s="41">
        <v>5053.5</v>
      </c>
      <c r="H59" s="41">
        <v>4839211625</v>
      </c>
      <c r="I59" s="42">
        <v>19150</v>
      </c>
    </row>
    <row r="60" spans="1:9" x14ac:dyDescent="0.25">
      <c r="A60" t="s">
        <v>9</v>
      </c>
      <c r="B60" s="39">
        <v>46175</v>
      </c>
      <c r="C60" s="40">
        <v>0.58333333333333337</v>
      </c>
      <c r="D60" s="41">
        <v>5051.5</v>
      </c>
      <c r="E60" s="41">
        <v>5057</v>
      </c>
      <c r="F60" s="41">
        <v>5049.5</v>
      </c>
      <c r="G60" s="41">
        <v>5056</v>
      </c>
      <c r="H60" s="41">
        <v>1245473375</v>
      </c>
      <c r="I60" s="42">
        <v>4930</v>
      </c>
    </row>
    <row r="61" spans="1:9" x14ac:dyDescent="0.25">
      <c r="A61" t="s">
        <v>9</v>
      </c>
      <c r="B61" s="39">
        <v>46175</v>
      </c>
      <c r="C61" s="40">
        <v>0.5625</v>
      </c>
      <c r="D61" s="41">
        <v>5053</v>
      </c>
      <c r="E61" s="41">
        <v>5053</v>
      </c>
      <c r="F61" s="41">
        <v>5048.5</v>
      </c>
      <c r="G61" s="41">
        <v>5051</v>
      </c>
      <c r="H61" s="41">
        <v>1183130500</v>
      </c>
      <c r="I61" s="42">
        <v>4685</v>
      </c>
    </row>
    <row r="62" spans="1:9" x14ac:dyDescent="0.25">
      <c r="A62" t="s">
        <v>9</v>
      </c>
      <c r="B62" s="39">
        <v>46175</v>
      </c>
      <c r="C62" s="40">
        <v>0.54166666666666663</v>
      </c>
      <c r="D62" s="41">
        <v>5047</v>
      </c>
      <c r="E62" s="41">
        <v>5054.5</v>
      </c>
      <c r="F62" s="41">
        <v>5047</v>
      </c>
      <c r="G62" s="41">
        <v>5053.5</v>
      </c>
      <c r="H62" s="41">
        <v>2360772375</v>
      </c>
      <c r="I62" s="42">
        <v>9350</v>
      </c>
    </row>
    <row r="63" spans="1:9" x14ac:dyDescent="0.25">
      <c r="A63" t="s">
        <v>9</v>
      </c>
      <c r="B63" s="39">
        <v>46175</v>
      </c>
      <c r="C63" s="40">
        <v>0.52083333333333337</v>
      </c>
      <c r="D63" s="41">
        <v>5049</v>
      </c>
      <c r="E63" s="41">
        <v>5052</v>
      </c>
      <c r="F63" s="41">
        <v>5045.5</v>
      </c>
      <c r="G63" s="41">
        <v>5047.5</v>
      </c>
      <c r="H63" s="41">
        <v>981981000</v>
      </c>
      <c r="I63" s="42">
        <v>3890</v>
      </c>
    </row>
    <row r="64" spans="1:9" x14ac:dyDescent="0.25">
      <c r="A64" t="s">
        <v>9</v>
      </c>
      <c r="B64" s="39">
        <v>46175</v>
      </c>
      <c r="C64" s="40">
        <v>0.5</v>
      </c>
      <c r="D64" s="41">
        <v>5046</v>
      </c>
      <c r="E64" s="41">
        <v>5052</v>
      </c>
      <c r="F64" s="41">
        <v>5045.5</v>
      </c>
      <c r="G64" s="41">
        <v>5049</v>
      </c>
      <c r="H64" s="41">
        <v>3206763375</v>
      </c>
      <c r="I64" s="42">
        <v>12705</v>
      </c>
    </row>
    <row r="65" spans="1:9" x14ac:dyDescent="0.25">
      <c r="A65" t="s">
        <v>9</v>
      </c>
      <c r="B65" s="39">
        <v>46175</v>
      </c>
      <c r="C65" s="40">
        <v>0.47916666666666669</v>
      </c>
      <c r="D65" s="41">
        <v>5046</v>
      </c>
      <c r="E65" s="41">
        <v>5048</v>
      </c>
      <c r="F65" s="41">
        <v>5037.5</v>
      </c>
      <c r="G65" s="41">
        <v>5045.5</v>
      </c>
      <c r="H65" s="41">
        <v>2897617875</v>
      </c>
      <c r="I65" s="42">
        <v>11490</v>
      </c>
    </row>
    <row r="66" spans="1:9" x14ac:dyDescent="0.25">
      <c r="A66" t="s">
        <v>9</v>
      </c>
      <c r="B66" s="39">
        <v>46175</v>
      </c>
      <c r="C66" s="40">
        <v>0.45833333333333331</v>
      </c>
      <c r="D66" s="41">
        <v>5051</v>
      </c>
      <c r="E66" s="41">
        <v>5055.5</v>
      </c>
      <c r="F66" s="41">
        <v>5045.5</v>
      </c>
      <c r="G66" s="41">
        <v>5046</v>
      </c>
      <c r="H66" s="41">
        <v>9438522625</v>
      </c>
      <c r="I66" s="42">
        <v>37375</v>
      </c>
    </row>
    <row r="67" spans="1:9" x14ac:dyDescent="0.25">
      <c r="A67" t="s">
        <v>9</v>
      </c>
      <c r="B67" s="39">
        <v>46175</v>
      </c>
      <c r="C67" s="40">
        <v>0.4375</v>
      </c>
      <c r="D67" s="41">
        <v>5055</v>
      </c>
      <c r="E67" s="41">
        <v>5056</v>
      </c>
      <c r="F67" s="41">
        <v>5045.5</v>
      </c>
      <c r="G67" s="41">
        <v>5050.5</v>
      </c>
      <c r="H67" s="41">
        <v>2443659125</v>
      </c>
      <c r="I67" s="42">
        <v>9680</v>
      </c>
    </row>
    <row r="68" spans="1:9" x14ac:dyDescent="0.25">
      <c r="A68" t="s">
        <v>9</v>
      </c>
      <c r="B68" s="39">
        <v>46175</v>
      </c>
      <c r="C68" s="40">
        <v>0.41666666666666669</v>
      </c>
      <c r="D68" s="41">
        <v>5046.5</v>
      </c>
      <c r="E68" s="41">
        <v>5055</v>
      </c>
      <c r="F68" s="41">
        <v>5046.5</v>
      </c>
      <c r="G68" s="41">
        <v>5054.5</v>
      </c>
      <c r="H68" s="41">
        <v>2860912375</v>
      </c>
      <c r="I68" s="42">
        <v>11330</v>
      </c>
    </row>
    <row r="69" spans="1:9" x14ac:dyDescent="0.25">
      <c r="A69" t="s">
        <v>9</v>
      </c>
      <c r="B69" s="39">
        <v>46175</v>
      </c>
      <c r="C69" s="40">
        <v>0.39583333333333331</v>
      </c>
      <c r="D69" s="41">
        <v>5038.5</v>
      </c>
      <c r="E69" s="41">
        <v>5047</v>
      </c>
      <c r="F69" s="41">
        <v>5034</v>
      </c>
      <c r="G69" s="41">
        <v>5046</v>
      </c>
      <c r="H69" s="41">
        <v>3651083750</v>
      </c>
      <c r="I69" s="42">
        <v>14485</v>
      </c>
    </row>
    <row r="70" spans="1:9" x14ac:dyDescent="0.25">
      <c r="A70" t="s">
        <v>9</v>
      </c>
      <c r="B70" s="39">
        <v>46175</v>
      </c>
      <c r="C70" s="40">
        <v>0.375</v>
      </c>
      <c r="D70" s="41">
        <v>5048.5</v>
      </c>
      <c r="E70" s="41">
        <v>5055.5</v>
      </c>
      <c r="F70" s="41">
        <v>5036.5</v>
      </c>
      <c r="G70" s="41">
        <v>5038.5</v>
      </c>
      <c r="H70" s="41">
        <v>3816343625</v>
      </c>
      <c r="I70" s="42">
        <v>15140</v>
      </c>
    </row>
    <row r="71" spans="1:9" x14ac:dyDescent="0.25">
      <c r="A71" t="s">
        <v>9</v>
      </c>
      <c r="B71" s="39">
        <v>46174</v>
      </c>
      <c r="C71" s="40">
        <v>0.75</v>
      </c>
      <c r="D71" s="41">
        <v>5062.5</v>
      </c>
      <c r="E71" s="41">
        <v>5063</v>
      </c>
      <c r="F71" s="41">
        <v>5060.5</v>
      </c>
      <c r="G71" s="41">
        <v>5063</v>
      </c>
      <c r="H71" s="41">
        <v>484684875</v>
      </c>
      <c r="I71" s="42">
        <v>1915</v>
      </c>
    </row>
    <row r="72" spans="1:9" x14ac:dyDescent="0.25">
      <c r="A72" t="s">
        <v>9</v>
      </c>
      <c r="B72" s="39">
        <v>46174</v>
      </c>
      <c r="C72" s="40">
        <v>0.72916666666666663</v>
      </c>
      <c r="D72" s="41">
        <v>5059</v>
      </c>
      <c r="E72" s="41">
        <v>5063</v>
      </c>
      <c r="F72" s="41">
        <v>5057</v>
      </c>
      <c r="G72" s="41">
        <v>5062.5</v>
      </c>
      <c r="H72" s="41">
        <v>1105502125</v>
      </c>
      <c r="I72" s="42">
        <v>4370</v>
      </c>
    </row>
    <row r="73" spans="1:9" x14ac:dyDescent="0.25">
      <c r="A73" t="s">
        <v>9</v>
      </c>
      <c r="B73" s="39">
        <v>46174</v>
      </c>
      <c r="C73" s="40">
        <v>0.70833333333333337</v>
      </c>
      <c r="D73" s="41">
        <v>5057</v>
      </c>
      <c r="E73" s="41">
        <v>5059.5</v>
      </c>
      <c r="F73" s="41">
        <v>5055</v>
      </c>
      <c r="G73" s="41">
        <v>5059</v>
      </c>
      <c r="H73" s="41">
        <v>4820344250</v>
      </c>
      <c r="I73" s="42">
        <v>19060</v>
      </c>
    </row>
    <row r="74" spans="1:9" x14ac:dyDescent="0.25">
      <c r="A74" t="s">
        <v>9</v>
      </c>
      <c r="B74" s="39">
        <v>46174</v>
      </c>
      <c r="C74" s="40">
        <v>0.6875</v>
      </c>
      <c r="D74" s="41">
        <v>5048.5</v>
      </c>
      <c r="E74" s="41">
        <v>5057.5</v>
      </c>
      <c r="F74" s="41">
        <v>5048.5</v>
      </c>
      <c r="G74" s="41">
        <v>5057</v>
      </c>
      <c r="H74" s="41">
        <v>2852938750</v>
      </c>
      <c r="I74" s="42">
        <v>11295</v>
      </c>
    </row>
    <row r="75" spans="1:9" x14ac:dyDescent="0.25">
      <c r="A75" t="s">
        <v>9</v>
      </c>
      <c r="B75" s="39">
        <v>46174</v>
      </c>
      <c r="C75" s="40">
        <v>0.66666666666666663</v>
      </c>
      <c r="D75" s="41">
        <v>5051.5</v>
      </c>
      <c r="E75" s="41">
        <v>5053</v>
      </c>
      <c r="F75" s="41">
        <v>5047</v>
      </c>
      <c r="G75" s="41">
        <v>5048.5</v>
      </c>
      <c r="H75" s="41">
        <v>2670504500</v>
      </c>
      <c r="I75" s="42">
        <v>10575</v>
      </c>
    </row>
    <row r="76" spans="1:9" x14ac:dyDescent="0.25">
      <c r="A76" t="s">
        <v>9</v>
      </c>
      <c r="B76" s="39">
        <v>46174</v>
      </c>
      <c r="C76" s="40">
        <v>0.64583333333333337</v>
      </c>
      <c r="D76" s="41">
        <v>5054</v>
      </c>
      <c r="E76" s="41">
        <v>5056.5</v>
      </c>
      <c r="F76" s="41">
        <v>5048.5</v>
      </c>
      <c r="G76" s="41">
        <v>5051.5</v>
      </c>
      <c r="H76" s="41">
        <v>2589239500</v>
      </c>
      <c r="I76" s="42">
        <v>10250</v>
      </c>
    </row>
    <row r="77" spans="1:9" x14ac:dyDescent="0.25">
      <c r="A77" t="s">
        <v>9</v>
      </c>
      <c r="B77" s="39">
        <v>46174</v>
      </c>
      <c r="C77" s="40">
        <v>0.625</v>
      </c>
      <c r="D77" s="41">
        <v>5055</v>
      </c>
      <c r="E77" s="41">
        <v>5058</v>
      </c>
      <c r="F77" s="41">
        <v>5051</v>
      </c>
      <c r="G77" s="41">
        <v>5054.5</v>
      </c>
      <c r="H77" s="41">
        <v>4614466625</v>
      </c>
      <c r="I77" s="42">
        <v>18260</v>
      </c>
    </row>
    <row r="78" spans="1:9" x14ac:dyDescent="0.25">
      <c r="A78" t="s">
        <v>9</v>
      </c>
      <c r="B78" s="39">
        <v>46174</v>
      </c>
      <c r="C78" s="40">
        <v>0.60416666666666663</v>
      </c>
      <c r="D78" s="41">
        <v>5061</v>
      </c>
      <c r="E78" s="41">
        <v>5065</v>
      </c>
      <c r="F78" s="41">
        <v>5051.5</v>
      </c>
      <c r="G78" s="41">
        <v>5055.5</v>
      </c>
      <c r="H78" s="41">
        <v>6024047250</v>
      </c>
      <c r="I78">
        <v>23830</v>
      </c>
    </row>
    <row r="79" spans="1:9" x14ac:dyDescent="0.25">
      <c r="A79" t="s">
        <v>9</v>
      </c>
      <c r="B79" s="39">
        <v>46174</v>
      </c>
      <c r="C79" s="40">
        <v>0.58333333333333337</v>
      </c>
      <c r="D79" s="41">
        <v>5062.5</v>
      </c>
      <c r="E79" s="41">
        <v>5068.5</v>
      </c>
      <c r="F79" s="41">
        <v>5061.5</v>
      </c>
      <c r="G79" s="41">
        <v>5061.5</v>
      </c>
      <c r="H79" s="41">
        <v>1939975000</v>
      </c>
      <c r="I79" s="42">
        <v>7660</v>
      </c>
    </row>
    <row r="80" spans="1:9" x14ac:dyDescent="0.25">
      <c r="A80" t="s">
        <v>9</v>
      </c>
      <c r="B80" s="39">
        <v>46174</v>
      </c>
      <c r="C80" s="40">
        <v>0.5625</v>
      </c>
      <c r="D80" s="41">
        <v>5071.5</v>
      </c>
      <c r="E80" s="41">
        <v>5073</v>
      </c>
      <c r="F80" s="41">
        <v>5062</v>
      </c>
      <c r="G80" s="41">
        <v>5062.5</v>
      </c>
      <c r="H80" s="41">
        <v>3745786750</v>
      </c>
      <c r="I80" s="42">
        <v>14785</v>
      </c>
    </row>
    <row r="81" spans="1:9" x14ac:dyDescent="0.25">
      <c r="A81" t="s">
        <v>9</v>
      </c>
      <c r="B81" s="39">
        <v>46174</v>
      </c>
      <c r="C81" s="40">
        <v>0.54166666666666663</v>
      </c>
      <c r="D81" s="41">
        <v>5068</v>
      </c>
      <c r="E81" s="41">
        <v>5076</v>
      </c>
      <c r="F81" s="41">
        <v>5065.5</v>
      </c>
      <c r="G81" s="41">
        <v>5071.5</v>
      </c>
      <c r="H81" s="41">
        <v>1321099000</v>
      </c>
      <c r="I81" s="42">
        <v>5210</v>
      </c>
    </row>
    <row r="82" spans="1:9" x14ac:dyDescent="0.25">
      <c r="A82" t="s">
        <v>9</v>
      </c>
      <c r="B82" s="39">
        <v>46174</v>
      </c>
      <c r="C82" s="40">
        <v>0.52083333333333337</v>
      </c>
      <c r="D82" s="41">
        <v>5065</v>
      </c>
      <c r="E82" s="41">
        <v>5069</v>
      </c>
      <c r="F82" s="41">
        <v>5059</v>
      </c>
      <c r="G82" s="41">
        <v>5068.5</v>
      </c>
      <c r="H82" s="41">
        <v>2424750500</v>
      </c>
      <c r="I82" s="42">
        <v>9575</v>
      </c>
    </row>
    <row r="83" spans="1:9" x14ac:dyDescent="0.25">
      <c r="A83" t="s">
        <v>9</v>
      </c>
      <c r="B83" s="39">
        <v>46174</v>
      </c>
      <c r="C83" s="40">
        <v>0.5</v>
      </c>
      <c r="D83" s="41">
        <v>5060</v>
      </c>
      <c r="E83" s="41">
        <v>5067.5</v>
      </c>
      <c r="F83" s="41">
        <v>5059</v>
      </c>
      <c r="G83" s="41">
        <v>5064.5</v>
      </c>
      <c r="H83" s="41">
        <v>3874526875</v>
      </c>
      <c r="I83" s="42">
        <v>15310</v>
      </c>
    </row>
    <row r="84" spans="1:9" x14ac:dyDescent="0.25">
      <c r="A84" t="s">
        <v>9</v>
      </c>
      <c r="B84" s="39">
        <v>46174</v>
      </c>
      <c r="C84" s="40">
        <v>0.47916666666666669</v>
      </c>
      <c r="D84" s="41">
        <v>5072</v>
      </c>
      <c r="E84" s="41">
        <v>5073.5</v>
      </c>
      <c r="F84" s="41">
        <v>5060.5</v>
      </c>
      <c r="G84" s="41">
        <v>5060.5</v>
      </c>
      <c r="H84" s="41">
        <v>2765872625</v>
      </c>
      <c r="I84" s="42">
        <v>10915</v>
      </c>
    </row>
    <row r="85" spans="1:9" x14ac:dyDescent="0.25">
      <c r="A85" t="s">
        <v>9</v>
      </c>
      <c r="B85" s="39">
        <v>46174</v>
      </c>
      <c r="C85" s="40">
        <v>0.45833333333333331</v>
      </c>
      <c r="D85" s="41">
        <v>5078</v>
      </c>
      <c r="E85" s="41">
        <v>5081.5</v>
      </c>
      <c r="F85" s="41">
        <v>5071.5</v>
      </c>
      <c r="G85" s="41">
        <v>5072.5</v>
      </c>
      <c r="H85" s="41">
        <v>3606264375</v>
      </c>
      <c r="I85" s="42">
        <v>14210</v>
      </c>
    </row>
    <row r="86" spans="1:9" x14ac:dyDescent="0.25">
      <c r="A86" t="s">
        <v>9</v>
      </c>
      <c r="B86" s="39">
        <v>46174</v>
      </c>
      <c r="C86" s="40">
        <v>0.4375</v>
      </c>
      <c r="D86" s="41">
        <v>5073.5</v>
      </c>
      <c r="E86" s="41">
        <v>5080</v>
      </c>
      <c r="F86" s="41">
        <v>5071</v>
      </c>
      <c r="G86" s="41">
        <v>5078</v>
      </c>
      <c r="H86" s="41">
        <v>2472805750</v>
      </c>
      <c r="I86" s="42">
        <v>9745</v>
      </c>
    </row>
    <row r="87" spans="1:9" x14ac:dyDescent="0.25">
      <c r="A87" t="s">
        <v>9</v>
      </c>
      <c r="B87" s="39">
        <v>46174</v>
      </c>
      <c r="C87" s="40">
        <v>0.41666666666666669</v>
      </c>
      <c r="D87" s="41">
        <v>5059.5</v>
      </c>
      <c r="E87" s="41">
        <v>5078</v>
      </c>
      <c r="F87" s="41">
        <v>5055</v>
      </c>
      <c r="G87" s="41">
        <v>5074</v>
      </c>
      <c r="H87" s="41">
        <v>4406509375</v>
      </c>
      <c r="I87" s="42">
        <v>17385</v>
      </c>
    </row>
    <row r="88" spans="1:9" x14ac:dyDescent="0.25">
      <c r="A88" t="s">
        <v>9</v>
      </c>
      <c r="B88" s="39">
        <v>46174</v>
      </c>
      <c r="C88" s="40">
        <v>0.39583333333333331</v>
      </c>
      <c r="D88" s="41">
        <v>5065</v>
      </c>
      <c r="E88" s="41">
        <v>5068</v>
      </c>
      <c r="F88" s="41">
        <v>5053.5</v>
      </c>
      <c r="G88" s="41">
        <v>5059.5</v>
      </c>
      <c r="H88" s="41">
        <v>4247819875</v>
      </c>
      <c r="I88" s="42">
        <v>16790</v>
      </c>
    </row>
    <row r="89" spans="1:9" x14ac:dyDescent="0.25">
      <c r="A89" t="s">
        <v>9</v>
      </c>
      <c r="B89" s="39">
        <v>46174</v>
      </c>
      <c r="C89" s="40">
        <v>0.375</v>
      </c>
      <c r="D89" s="41">
        <v>5068</v>
      </c>
      <c r="E89" s="41">
        <v>5075.5</v>
      </c>
      <c r="F89" s="41">
        <v>5057.5</v>
      </c>
      <c r="G89" s="41">
        <v>5064.5</v>
      </c>
      <c r="H89" s="41">
        <v>2889844625</v>
      </c>
      <c r="I89" s="42">
        <v>11410</v>
      </c>
    </row>
    <row r="90" spans="1:9" x14ac:dyDescent="0.25">
      <c r="A90" t="s">
        <v>9</v>
      </c>
      <c r="B90" s="39">
        <v>46171</v>
      </c>
      <c r="C90" s="40">
        <v>0.75</v>
      </c>
      <c r="D90" s="41">
        <v>5073</v>
      </c>
      <c r="E90" s="41">
        <v>5075.5</v>
      </c>
      <c r="F90" s="41">
        <v>5067</v>
      </c>
      <c r="G90" s="41">
        <v>5075.5</v>
      </c>
      <c r="H90" s="41">
        <v>1407552625</v>
      </c>
      <c r="I90" s="42">
        <v>5550</v>
      </c>
    </row>
    <row r="91" spans="1:9" x14ac:dyDescent="0.25">
      <c r="A91" t="s">
        <v>9</v>
      </c>
      <c r="B91" s="39">
        <v>46171</v>
      </c>
      <c r="C91" s="40">
        <v>0.72916666666666663</v>
      </c>
      <c r="D91" s="41">
        <v>5071.5</v>
      </c>
      <c r="E91" s="41">
        <v>5074</v>
      </c>
      <c r="F91" s="41">
        <v>5066.5</v>
      </c>
      <c r="G91" s="41">
        <v>5073</v>
      </c>
      <c r="H91" s="41">
        <v>2134891750</v>
      </c>
      <c r="I91" s="42">
        <v>8420</v>
      </c>
    </row>
    <row r="92" spans="1:9" x14ac:dyDescent="0.25">
      <c r="A92" t="s">
        <v>9</v>
      </c>
      <c r="B92" s="39">
        <v>46171</v>
      </c>
      <c r="C92" s="40">
        <v>0.70833333333333337</v>
      </c>
      <c r="D92" s="41">
        <v>5081.5</v>
      </c>
      <c r="E92" s="41">
        <v>5082</v>
      </c>
      <c r="F92" s="41">
        <v>5068.5</v>
      </c>
      <c r="G92" s="41">
        <v>5071</v>
      </c>
      <c r="H92" s="41">
        <v>3490478625</v>
      </c>
      <c r="I92" s="42">
        <v>13760</v>
      </c>
    </row>
    <row r="93" spans="1:9" x14ac:dyDescent="0.25">
      <c r="A93" t="s">
        <v>9</v>
      </c>
      <c r="B93" s="39">
        <v>46171</v>
      </c>
      <c r="C93" s="40">
        <v>0.6875</v>
      </c>
      <c r="D93" s="41">
        <v>5081</v>
      </c>
      <c r="E93" s="41">
        <v>5086</v>
      </c>
      <c r="F93" s="41">
        <v>5080.5</v>
      </c>
      <c r="G93" s="41">
        <v>5081.5</v>
      </c>
      <c r="H93" s="41">
        <v>3280966375</v>
      </c>
      <c r="I93" s="42">
        <v>12910</v>
      </c>
    </row>
    <row r="94" spans="1:9" x14ac:dyDescent="0.25">
      <c r="A94" t="s">
        <v>9</v>
      </c>
      <c r="B94" s="39">
        <v>46171</v>
      </c>
      <c r="C94" s="40">
        <v>0.66666666666666663</v>
      </c>
      <c r="D94" s="41">
        <v>5080</v>
      </c>
      <c r="E94" s="41">
        <v>5082.5</v>
      </c>
      <c r="F94" s="41">
        <v>5076.5</v>
      </c>
      <c r="G94" s="41">
        <v>5082</v>
      </c>
      <c r="H94" s="41">
        <v>3890500125</v>
      </c>
      <c r="I94" s="42">
        <v>15315</v>
      </c>
    </row>
    <row r="95" spans="1:9" x14ac:dyDescent="0.25">
      <c r="A95" t="s">
        <v>9</v>
      </c>
      <c r="B95" s="39">
        <v>46171</v>
      </c>
      <c r="C95" s="40">
        <v>0.64583333333333337</v>
      </c>
      <c r="D95" s="41">
        <v>5082.5</v>
      </c>
      <c r="E95" s="41">
        <v>5083</v>
      </c>
      <c r="F95" s="41">
        <v>5076</v>
      </c>
      <c r="G95" s="41">
        <v>5080</v>
      </c>
      <c r="H95" s="41">
        <v>2956840125</v>
      </c>
      <c r="I95" s="42">
        <v>11640</v>
      </c>
    </row>
    <row r="96" spans="1:9" x14ac:dyDescent="0.25">
      <c r="A96" t="s">
        <v>9</v>
      </c>
      <c r="B96" s="39">
        <v>46171</v>
      </c>
      <c r="C96" s="40">
        <v>0.625</v>
      </c>
      <c r="D96" s="41">
        <v>5085</v>
      </c>
      <c r="E96" s="41">
        <v>5086.5</v>
      </c>
      <c r="F96" s="41">
        <v>5079</v>
      </c>
      <c r="G96" s="41">
        <v>5083.5</v>
      </c>
      <c r="H96" s="41">
        <v>4134110375</v>
      </c>
      <c r="I96" s="42">
        <v>16270</v>
      </c>
    </row>
    <row r="97" spans="1:9" x14ac:dyDescent="0.25">
      <c r="A97" t="s">
        <v>9</v>
      </c>
      <c r="B97" s="39">
        <v>46171</v>
      </c>
      <c r="C97" s="40">
        <v>0.60416666666666663</v>
      </c>
      <c r="D97" s="41">
        <v>5080</v>
      </c>
      <c r="E97" s="41">
        <v>5085</v>
      </c>
      <c r="F97" s="41">
        <v>5076</v>
      </c>
      <c r="G97" s="41">
        <v>5085</v>
      </c>
      <c r="H97" s="41">
        <v>1989621125</v>
      </c>
      <c r="I97" s="42">
        <v>7830</v>
      </c>
    </row>
    <row r="98" spans="1:9" x14ac:dyDescent="0.25">
      <c r="A98" t="s">
        <v>9</v>
      </c>
      <c r="B98" s="39">
        <v>46171</v>
      </c>
      <c r="C98" s="40">
        <v>0.58333333333333337</v>
      </c>
      <c r="D98" s="41">
        <v>5087.5</v>
      </c>
      <c r="E98" s="41">
        <v>5088</v>
      </c>
      <c r="F98" s="41">
        <v>5071.5</v>
      </c>
      <c r="G98" s="41">
        <v>5080</v>
      </c>
      <c r="H98" s="41">
        <v>4361144875</v>
      </c>
      <c r="I98" s="42">
        <v>17175</v>
      </c>
    </row>
    <row r="99" spans="1:9" x14ac:dyDescent="0.25">
      <c r="A99" t="s">
        <v>9</v>
      </c>
      <c r="B99" s="39">
        <v>46171</v>
      </c>
      <c r="C99" s="40">
        <v>0.5625</v>
      </c>
      <c r="D99" s="41">
        <v>5094</v>
      </c>
      <c r="E99" s="41">
        <v>5094.5</v>
      </c>
      <c r="F99" s="41">
        <v>5085</v>
      </c>
      <c r="G99" s="41">
        <v>5088</v>
      </c>
      <c r="H99" s="41">
        <v>1302991875</v>
      </c>
      <c r="I99" s="42">
        <v>5120</v>
      </c>
    </row>
    <row r="100" spans="1:9" x14ac:dyDescent="0.25">
      <c r="A100" t="s">
        <v>9</v>
      </c>
      <c r="B100" s="39">
        <v>46171</v>
      </c>
      <c r="C100" s="40">
        <v>0.54166666666666663</v>
      </c>
      <c r="D100" s="41">
        <v>5095</v>
      </c>
      <c r="E100" s="41">
        <v>5097</v>
      </c>
      <c r="F100" s="41">
        <v>5091</v>
      </c>
      <c r="G100" s="41">
        <v>5093.5</v>
      </c>
      <c r="H100" s="41">
        <v>2404921875</v>
      </c>
      <c r="I100" s="42">
        <v>9440</v>
      </c>
    </row>
    <row r="101" spans="1:9" x14ac:dyDescent="0.25">
      <c r="A101" t="s">
        <v>9</v>
      </c>
      <c r="B101" s="39">
        <v>46171</v>
      </c>
      <c r="C101" s="40">
        <v>0.52083333333333337</v>
      </c>
      <c r="D101" s="41">
        <v>5099</v>
      </c>
      <c r="E101" s="41">
        <v>5100</v>
      </c>
      <c r="F101" s="41">
        <v>5093</v>
      </c>
      <c r="G101" s="41">
        <v>5095</v>
      </c>
      <c r="H101" s="41">
        <v>1761985125</v>
      </c>
      <c r="I101" s="42">
        <v>6915</v>
      </c>
    </row>
    <row r="102" spans="1:9" x14ac:dyDescent="0.25">
      <c r="A102" t="s">
        <v>9</v>
      </c>
      <c r="B102" s="39">
        <v>46171</v>
      </c>
      <c r="C102" s="40">
        <v>0.5</v>
      </c>
      <c r="D102" s="41">
        <v>5097</v>
      </c>
      <c r="E102" s="41">
        <v>5099.5</v>
      </c>
      <c r="F102" s="41">
        <v>5089.5</v>
      </c>
      <c r="G102" s="41">
        <v>5099</v>
      </c>
      <c r="H102" s="41">
        <v>3844115375</v>
      </c>
      <c r="I102" s="42">
        <v>15095</v>
      </c>
    </row>
    <row r="103" spans="1:9" x14ac:dyDescent="0.25">
      <c r="A103" t="s">
        <v>9</v>
      </c>
      <c r="B103" s="39">
        <v>46171</v>
      </c>
      <c r="C103" s="40">
        <v>0.47916666666666669</v>
      </c>
      <c r="D103" s="41">
        <v>5100.5</v>
      </c>
      <c r="E103" s="41">
        <v>5107.5</v>
      </c>
      <c r="F103" s="41">
        <v>5089</v>
      </c>
      <c r="G103" s="41">
        <v>5098</v>
      </c>
      <c r="H103" s="41">
        <v>9588258000</v>
      </c>
      <c r="I103" s="42">
        <v>37585</v>
      </c>
    </row>
    <row r="104" spans="1:9" x14ac:dyDescent="0.25">
      <c r="A104" t="s">
        <v>9</v>
      </c>
      <c r="B104" s="39">
        <v>46171</v>
      </c>
      <c r="C104" s="40">
        <v>0.45833333333333331</v>
      </c>
      <c r="D104" s="41">
        <v>5096</v>
      </c>
      <c r="E104" s="41">
        <v>5103.5</v>
      </c>
      <c r="F104" s="41">
        <v>5089</v>
      </c>
      <c r="G104" s="41">
        <v>5100</v>
      </c>
      <c r="H104" s="41">
        <v>7930238375</v>
      </c>
      <c r="I104" s="42">
        <v>31120</v>
      </c>
    </row>
    <row r="105" spans="1:9" x14ac:dyDescent="0.25">
      <c r="A105" t="s">
        <v>9</v>
      </c>
      <c r="B105" s="39">
        <v>46171</v>
      </c>
      <c r="C105" s="40">
        <v>0.4375</v>
      </c>
      <c r="D105" s="41">
        <v>5084.5</v>
      </c>
      <c r="E105" s="41">
        <v>5096.5</v>
      </c>
      <c r="F105" s="41">
        <v>5084.5</v>
      </c>
      <c r="G105" s="41">
        <v>5096</v>
      </c>
      <c r="H105" s="41">
        <v>4442005250</v>
      </c>
      <c r="I105" s="42">
        <v>17455</v>
      </c>
    </row>
    <row r="106" spans="1:9" x14ac:dyDescent="0.25">
      <c r="A106" t="s">
        <v>9</v>
      </c>
      <c r="B106" s="39">
        <v>46171</v>
      </c>
      <c r="C106" s="40">
        <v>0.41666666666666669</v>
      </c>
      <c r="D106" s="41">
        <v>5091.5</v>
      </c>
      <c r="E106" s="41">
        <v>5094.5</v>
      </c>
      <c r="F106" s="41">
        <v>5084</v>
      </c>
      <c r="G106" s="41">
        <v>5084.5</v>
      </c>
      <c r="H106" s="41">
        <v>2763982750</v>
      </c>
      <c r="I106" s="42">
        <v>10860</v>
      </c>
    </row>
    <row r="107" spans="1:9" x14ac:dyDescent="0.25">
      <c r="A107" t="s">
        <v>9</v>
      </c>
      <c r="B107" s="39">
        <v>46171</v>
      </c>
      <c r="C107" s="40">
        <v>0.39583333333333331</v>
      </c>
      <c r="D107" s="41">
        <v>5073.5</v>
      </c>
      <c r="E107" s="41">
        <v>5092</v>
      </c>
      <c r="F107" s="41">
        <v>5073</v>
      </c>
      <c r="G107" s="41">
        <v>5092</v>
      </c>
      <c r="H107" s="41">
        <v>4089628125</v>
      </c>
      <c r="I107" s="42">
        <v>16090</v>
      </c>
    </row>
    <row r="108" spans="1:9" x14ac:dyDescent="0.25">
      <c r="A108" t="s">
        <v>9</v>
      </c>
      <c r="B108" s="39">
        <v>46171</v>
      </c>
      <c r="C108" s="40">
        <v>0.375</v>
      </c>
      <c r="D108" s="41">
        <v>5073.5</v>
      </c>
      <c r="E108" s="41">
        <v>5089</v>
      </c>
      <c r="F108" s="41">
        <v>5072</v>
      </c>
      <c r="G108" s="41">
        <v>5073.5</v>
      </c>
      <c r="H108" s="41">
        <v>3715335750</v>
      </c>
      <c r="I108" s="42">
        <v>14625</v>
      </c>
    </row>
    <row r="109" spans="1:9" x14ac:dyDescent="0.25">
      <c r="A109" t="s">
        <v>9</v>
      </c>
      <c r="B109" s="39">
        <v>46170</v>
      </c>
      <c r="C109" s="40">
        <v>0.75</v>
      </c>
      <c r="D109" s="41">
        <v>5040.5</v>
      </c>
      <c r="E109" s="41">
        <v>5045</v>
      </c>
      <c r="F109" s="41">
        <v>5036</v>
      </c>
      <c r="G109" s="41">
        <v>5044.5</v>
      </c>
      <c r="H109" s="41">
        <v>679152750</v>
      </c>
      <c r="I109" s="42">
        <v>2695</v>
      </c>
    </row>
    <row r="110" spans="1:9" x14ac:dyDescent="0.25">
      <c r="A110" t="s">
        <v>9</v>
      </c>
      <c r="B110" s="39">
        <v>46170</v>
      </c>
      <c r="C110" s="40">
        <v>0.72916666666666663</v>
      </c>
      <c r="D110" s="41">
        <v>5040</v>
      </c>
      <c r="E110" s="41">
        <v>5045</v>
      </c>
      <c r="F110" s="41">
        <v>5039.5</v>
      </c>
      <c r="G110" s="41">
        <v>5041.5</v>
      </c>
      <c r="H110" s="41">
        <v>1833068375</v>
      </c>
      <c r="I110" s="42">
        <v>7270</v>
      </c>
    </row>
    <row r="111" spans="1:9" x14ac:dyDescent="0.25">
      <c r="A111" t="s">
        <v>9</v>
      </c>
      <c r="B111" s="39">
        <v>46170</v>
      </c>
      <c r="C111" s="40">
        <v>0.70833333333333337</v>
      </c>
      <c r="D111" s="41">
        <v>5034</v>
      </c>
      <c r="E111" s="41">
        <v>5041.5</v>
      </c>
      <c r="F111" s="41">
        <v>5033</v>
      </c>
      <c r="G111" s="41">
        <v>5040</v>
      </c>
      <c r="H111" s="41">
        <v>1815949500</v>
      </c>
      <c r="I111" s="42">
        <v>7210</v>
      </c>
    </row>
    <row r="112" spans="1:9" x14ac:dyDescent="0.25">
      <c r="A112" t="s">
        <v>9</v>
      </c>
      <c r="B112" s="39">
        <v>46170</v>
      </c>
      <c r="C112" s="40">
        <v>0.6875</v>
      </c>
      <c r="D112" s="41">
        <v>5032</v>
      </c>
      <c r="E112" s="41">
        <v>5034.5</v>
      </c>
      <c r="F112" s="41">
        <v>5031</v>
      </c>
      <c r="G112" s="41">
        <v>5034</v>
      </c>
      <c r="H112" s="41">
        <v>815196875</v>
      </c>
      <c r="I112" s="42">
        <v>3240</v>
      </c>
    </row>
    <row r="113" spans="1:9" x14ac:dyDescent="0.25">
      <c r="A113" t="s">
        <v>9</v>
      </c>
      <c r="B113" s="39">
        <v>46170</v>
      </c>
      <c r="C113" s="40">
        <v>0.66666666666666663</v>
      </c>
      <c r="D113" s="41">
        <v>5031.5</v>
      </c>
      <c r="E113" s="41">
        <v>5034</v>
      </c>
      <c r="F113" s="41">
        <v>5030</v>
      </c>
      <c r="G113" s="41">
        <v>5032</v>
      </c>
      <c r="H113" s="41">
        <v>3949285625</v>
      </c>
      <c r="I113" s="42">
        <v>15700</v>
      </c>
    </row>
    <row r="114" spans="1:9" x14ac:dyDescent="0.25">
      <c r="A114" t="s">
        <v>9</v>
      </c>
      <c r="B114" s="39">
        <v>46170</v>
      </c>
      <c r="C114" s="40">
        <v>0.64583333333333337</v>
      </c>
      <c r="D114" s="41">
        <v>5030.5</v>
      </c>
      <c r="E114" s="41">
        <v>5036</v>
      </c>
      <c r="F114" s="41">
        <v>5030</v>
      </c>
      <c r="G114" s="41">
        <v>5031.5</v>
      </c>
      <c r="H114" s="41">
        <v>3006271500</v>
      </c>
      <c r="I114" s="42">
        <v>11945</v>
      </c>
    </row>
    <row r="115" spans="1:9" x14ac:dyDescent="0.25">
      <c r="A115" t="s">
        <v>9</v>
      </c>
      <c r="B115" s="39">
        <v>46170</v>
      </c>
      <c r="C115" s="40">
        <v>0.625</v>
      </c>
      <c r="D115" s="41">
        <v>5028</v>
      </c>
      <c r="E115" s="41">
        <v>5031.5</v>
      </c>
      <c r="F115" s="41">
        <v>5025.5</v>
      </c>
      <c r="G115" s="41">
        <v>5030</v>
      </c>
      <c r="H115" s="41">
        <v>1667101875</v>
      </c>
      <c r="I115" s="42">
        <v>6630</v>
      </c>
    </row>
    <row r="116" spans="1:9" x14ac:dyDescent="0.25">
      <c r="A116" t="s">
        <v>9</v>
      </c>
      <c r="B116" s="39">
        <v>46170</v>
      </c>
      <c r="C116" s="40">
        <v>0.60416666666666663</v>
      </c>
      <c r="D116" s="41">
        <v>5031.5</v>
      </c>
      <c r="E116" s="41">
        <v>5032.5</v>
      </c>
      <c r="F116" s="41">
        <v>5026</v>
      </c>
      <c r="G116" s="41">
        <v>5028</v>
      </c>
      <c r="H116" s="41">
        <v>2355848500</v>
      </c>
      <c r="I116">
        <v>9370</v>
      </c>
    </row>
    <row r="117" spans="1:9" x14ac:dyDescent="0.25">
      <c r="A117" t="s">
        <v>9</v>
      </c>
      <c r="B117" s="39">
        <v>46170</v>
      </c>
      <c r="C117" s="40">
        <v>0.58333333333333337</v>
      </c>
      <c r="D117" s="41">
        <v>5036.5</v>
      </c>
      <c r="E117" s="41">
        <v>5036.5</v>
      </c>
      <c r="F117" s="41">
        <v>5030.5</v>
      </c>
      <c r="G117" s="41">
        <v>5031</v>
      </c>
      <c r="H117" s="41">
        <v>4181879875</v>
      </c>
      <c r="I117" s="42">
        <v>16615</v>
      </c>
    </row>
    <row r="118" spans="1:9" x14ac:dyDescent="0.25">
      <c r="A118" t="s">
        <v>9</v>
      </c>
      <c r="B118" s="39">
        <v>46170</v>
      </c>
      <c r="C118" s="40">
        <v>0.5625</v>
      </c>
      <c r="D118" s="41">
        <v>5042.5</v>
      </c>
      <c r="E118" s="41">
        <v>5044.5</v>
      </c>
      <c r="F118" s="41">
        <v>5036</v>
      </c>
      <c r="G118" s="41">
        <v>5037</v>
      </c>
      <c r="H118" s="41">
        <v>1121612000</v>
      </c>
      <c r="I118" s="42">
        <v>4450</v>
      </c>
    </row>
    <row r="119" spans="1:9" x14ac:dyDescent="0.25">
      <c r="A119" t="s">
        <v>9</v>
      </c>
      <c r="B119" s="39">
        <v>46170</v>
      </c>
      <c r="C119" s="40">
        <v>0.54166666666666663</v>
      </c>
      <c r="D119" s="41">
        <v>5050</v>
      </c>
      <c r="E119" s="41">
        <v>5051</v>
      </c>
      <c r="F119" s="41">
        <v>5040.5</v>
      </c>
      <c r="G119" s="41">
        <v>5042.5</v>
      </c>
      <c r="H119" s="41">
        <v>1252613375</v>
      </c>
      <c r="I119" s="42">
        <v>4965</v>
      </c>
    </row>
    <row r="120" spans="1:9" x14ac:dyDescent="0.25">
      <c r="A120" t="s">
        <v>9</v>
      </c>
      <c r="B120" s="39">
        <v>46170</v>
      </c>
      <c r="C120" s="40">
        <v>0.52083333333333337</v>
      </c>
      <c r="D120" s="41">
        <v>5045.5</v>
      </c>
      <c r="E120" s="41">
        <v>5051</v>
      </c>
      <c r="F120" s="41">
        <v>5043.5</v>
      </c>
      <c r="G120" s="41">
        <v>5050</v>
      </c>
      <c r="H120" s="41">
        <v>1602369875</v>
      </c>
      <c r="I120" s="42">
        <v>6350</v>
      </c>
    </row>
    <row r="121" spans="1:9" x14ac:dyDescent="0.25">
      <c r="A121" t="s">
        <v>9</v>
      </c>
      <c r="B121" s="39">
        <v>46170</v>
      </c>
      <c r="C121" s="40">
        <v>0.5</v>
      </c>
      <c r="D121" s="41">
        <v>5047.5</v>
      </c>
      <c r="E121" s="41">
        <v>5048.5</v>
      </c>
      <c r="F121" s="41">
        <v>5043</v>
      </c>
      <c r="G121" s="41">
        <v>5045.5</v>
      </c>
      <c r="H121" s="41">
        <v>3433432000</v>
      </c>
      <c r="I121" s="42">
        <v>13610</v>
      </c>
    </row>
    <row r="122" spans="1:9" x14ac:dyDescent="0.25">
      <c r="A122" t="s">
        <v>9</v>
      </c>
      <c r="B122" s="39">
        <v>46170</v>
      </c>
      <c r="C122" s="40">
        <v>0.47916666666666669</v>
      </c>
      <c r="D122" s="41">
        <v>5052.5</v>
      </c>
      <c r="E122" s="41">
        <v>5053.5</v>
      </c>
      <c r="F122" s="41">
        <v>5042.5</v>
      </c>
      <c r="G122" s="41">
        <v>5047.5</v>
      </c>
      <c r="H122" s="41">
        <v>2313584875</v>
      </c>
      <c r="I122" s="42">
        <v>9165</v>
      </c>
    </row>
    <row r="123" spans="1:9" x14ac:dyDescent="0.25">
      <c r="A123" t="s">
        <v>9</v>
      </c>
      <c r="B123" s="39">
        <v>46170</v>
      </c>
      <c r="C123" s="40">
        <v>0.45833333333333331</v>
      </c>
      <c r="D123" s="41">
        <v>5064</v>
      </c>
      <c r="E123" s="41">
        <v>5066</v>
      </c>
      <c r="F123" s="41">
        <v>5039</v>
      </c>
      <c r="G123" s="41">
        <v>5052.5</v>
      </c>
      <c r="H123" s="41">
        <v>6537041500</v>
      </c>
      <c r="I123" s="42">
        <v>25885</v>
      </c>
    </row>
    <row r="124" spans="1:9" x14ac:dyDescent="0.25">
      <c r="A124" t="s">
        <v>9</v>
      </c>
      <c r="B124" s="39">
        <v>46170</v>
      </c>
      <c r="C124" s="40">
        <v>0.4375</v>
      </c>
      <c r="D124" s="41">
        <v>5056.5</v>
      </c>
      <c r="E124" s="41">
        <v>5066.5</v>
      </c>
      <c r="F124" s="41">
        <v>5056</v>
      </c>
      <c r="G124" s="41">
        <v>5064</v>
      </c>
      <c r="H124" s="41">
        <v>4384885375</v>
      </c>
      <c r="I124" s="42">
        <v>17325</v>
      </c>
    </row>
    <row r="125" spans="1:9" x14ac:dyDescent="0.25">
      <c r="A125" t="s">
        <v>9</v>
      </c>
      <c r="B125" s="39">
        <v>46170</v>
      </c>
      <c r="C125" s="40">
        <v>0.41666666666666669</v>
      </c>
      <c r="D125" s="41">
        <v>5065</v>
      </c>
      <c r="E125" s="41">
        <v>5065.5</v>
      </c>
      <c r="F125" s="41">
        <v>5052.5</v>
      </c>
      <c r="G125" s="41">
        <v>5056.5</v>
      </c>
      <c r="H125" s="41">
        <v>3404408875</v>
      </c>
      <c r="I125" s="42">
        <v>13465</v>
      </c>
    </row>
    <row r="126" spans="1:9" x14ac:dyDescent="0.25">
      <c r="A126" t="s">
        <v>9</v>
      </c>
      <c r="B126" s="39">
        <v>46170</v>
      </c>
      <c r="C126" s="40">
        <v>0.39583333333333331</v>
      </c>
      <c r="D126" s="41">
        <v>5071.5</v>
      </c>
      <c r="E126" s="41">
        <v>5074</v>
      </c>
      <c r="F126" s="41">
        <v>5057</v>
      </c>
      <c r="G126" s="41">
        <v>5065</v>
      </c>
      <c r="H126" s="41">
        <v>2312316000</v>
      </c>
      <c r="I126" s="42">
        <v>9130</v>
      </c>
    </row>
    <row r="127" spans="1:9" x14ac:dyDescent="0.25">
      <c r="A127" t="s">
        <v>9</v>
      </c>
      <c r="B127" s="39">
        <v>46170</v>
      </c>
      <c r="C127" s="40">
        <v>0.375</v>
      </c>
      <c r="D127" s="41">
        <v>5070</v>
      </c>
      <c r="E127" s="41">
        <v>5077</v>
      </c>
      <c r="F127" s="41">
        <v>5067.5</v>
      </c>
      <c r="G127" s="41">
        <v>5071</v>
      </c>
      <c r="H127" s="41">
        <v>2840140250</v>
      </c>
      <c r="I127" s="42">
        <v>11195</v>
      </c>
    </row>
    <row r="128" spans="1:9" x14ac:dyDescent="0.25">
      <c r="A128" t="s">
        <v>9</v>
      </c>
      <c r="B128" s="39">
        <v>46169</v>
      </c>
      <c r="C128" s="40">
        <v>0.75</v>
      </c>
      <c r="D128" s="41">
        <v>5061.5</v>
      </c>
      <c r="E128" s="41">
        <v>5066.5</v>
      </c>
      <c r="F128" s="41">
        <v>5060.5</v>
      </c>
      <c r="G128" s="41">
        <v>5064.5</v>
      </c>
      <c r="H128" s="41">
        <v>412607250</v>
      </c>
      <c r="I128" s="42">
        <v>1630</v>
      </c>
    </row>
    <row r="129" spans="1:9" x14ac:dyDescent="0.25">
      <c r="A129" t="s">
        <v>9</v>
      </c>
      <c r="B129" s="39">
        <v>46169</v>
      </c>
      <c r="C129" s="40">
        <v>0.72916666666666663</v>
      </c>
      <c r="D129" s="41">
        <v>5062</v>
      </c>
      <c r="E129" s="41">
        <v>5064</v>
      </c>
      <c r="F129" s="41">
        <v>5059</v>
      </c>
      <c r="G129" s="41">
        <v>5062</v>
      </c>
      <c r="H129" s="41">
        <v>755400250</v>
      </c>
      <c r="I129" s="42">
        <v>2985</v>
      </c>
    </row>
    <row r="130" spans="1:9" x14ac:dyDescent="0.25">
      <c r="A130" t="s">
        <v>9</v>
      </c>
      <c r="B130" s="39">
        <v>46169</v>
      </c>
      <c r="C130" s="40">
        <v>0.70833333333333337</v>
      </c>
      <c r="D130" s="41">
        <v>5064</v>
      </c>
      <c r="E130" s="41">
        <v>5064.5</v>
      </c>
      <c r="F130" s="41">
        <v>5060.5</v>
      </c>
      <c r="G130" s="41">
        <v>5062</v>
      </c>
      <c r="H130" s="41">
        <v>1116132500</v>
      </c>
      <c r="I130" s="42">
        <v>4410</v>
      </c>
    </row>
    <row r="131" spans="1:9" x14ac:dyDescent="0.25">
      <c r="A131" t="s">
        <v>9</v>
      </c>
      <c r="B131" s="39">
        <v>46169</v>
      </c>
      <c r="C131" s="40">
        <v>0.6875</v>
      </c>
      <c r="D131" s="41">
        <v>5062</v>
      </c>
      <c r="E131" s="41">
        <v>5065.5</v>
      </c>
      <c r="F131" s="41">
        <v>5059</v>
      </c>
      <c r="G131" s="41">
        <v>5064</v>
      </c>
      <c r="H131" s="41">
        <v>1683176375</v>
      </c>
      <c r="I131" s="42">
        <v>6650</v>
      </c>
    </row>
    <row r="132" spans="1:9" x14ac:dyDescent="0.25">
      <c r="A132" t="s">
        <v>9</v>
      </c>
      <c r="B132" s="39">
        <v>46169</v>
      </c>
      <c r="C132" s="40">
        <v>0.66666666666666663</v>
      </c>
      <c r="D132" s="41">
        <v>5062</v>
      </c>
      <c r="E132" s="41">
        <v>5063.5</v>
      </c>
      <c r="F132" s="41">
        <v>5058.5</v>
      </c>
      <c r="G132" s="41">
        <v>5062</v>
      </c>
      <c r="H132" s="41">
        <v>1637266125</v>
      </c>
      <c r="I132" s="42">
        <v>6470</v>
      </c>
    </row>
    <row r="133" spans="1:9" x14ac:dyDescent="0.25">
      <c r="A133" t="s">
        <v>9</v>
      </c>
      <c r="B133" s="39">
        <v>46169</v>
      </c>
      <c r="C133" s="40">
        <v>0.64583333333333337</v>
      </c>
      <c r="D133" s="41">
        <v>5060.5</v>
      </c>
      <c r="E133" s="41">
        <v>5063</v>
      </c>
      <c r="F133" s="41">
        <v>5058</v>
      </c>
      <c r="G133" s="41">
        <v>5062</v>
      </c>
      <c r="H133" s="41">
        <v>5554963875</v>
      </c>
      <c r="I133" s="42">
        <v>21955</v>
      </c>
    </row>
    <row r="134" spans="1:9" x14ac:dyDescent="0.25">
      <c r="A134" t="s">
        <v>9</v>
      </c>
      <c r="B134" s="39">
        <v>46169</v>
      </c>
      <c r="C134" s="40">
        <v>0.625</v>
      </c>
      <c r="D134" s="41">
        <v>5064</v>
      </c>
      <c r="E134" s="41">
        <v>5066</v>
      </c>
      <c r="F134" s="41">
        <v>5059.5</v>
      </c>
      <c r="G134" s="41">
        <v>5060</v>
      </c>
      <c r="H134" s="41">
        <v>4353990375</v>
      </c>
      <c r="I134" s="42">
        <v>17200</v>
      </c>
    </row>
    <row r="135" spans="1:9" x14ac:dyDescent="0.25">
      <c r="A135" t="s">
        <v>9</v>
      </c>
      <c r="B135" s="39">
        <v>46169</v>
      </c>
      <c r="C135" s="40">
        <v>0.60416666666666663</v>
      </c>
      <c r="D135" s="41">
        <v>5067</v>
      </c>
      <c r="E135" s="41">
        <v>5067.5</v>
      </c>
      <c r="F135" s="41">
        <v>5059.5</v>
      </c>
      <c r="G135" s="41">
        <v>5064</v>
      </c>
      <c r="H135" s="41">
        <v>1635413500</v>
      </c>
      <c r="I135" s="42">
        <v>6460</v>
      </c>
    </row>
    <row r="136" spans="1:9" x14ac:dyDescent="0.25">
      <c r="A136" t="s">
        <v>9</v>
      </c>
      <c r="B136" s="39">
        <v>46169</v>
      </c>
      <c r="C136" s="40">
        <v>0.58333333333333337</v>
      </c>
      <c r="D136" s="41">
        <v>5063.5</v>
      </c>
      <c r="E136" s="41">
        <v>5071</v>
      </c>
      <c r="F136" s="41">
        <v>5063.5</v>
      </c>
      <c r="G136" s="41">
        <v>5067.5</v>
      </c>
      <c r="H136" s="41">
        <v>1630643250</v>
      </c>
      <c r="I136" s="42">
        <v>6435</v>
      </c>
    </row>
    <row r="137" spans="1:9" x14ac:dyDescent="0.25">
      <c r="A137" t="s">
        <v>9</v>
      </c>
      <c r="B137" s="39">
        <v>46169</v>
      </c>
      <c r="C137" s="40">
        <v>0.5625</v>
      </c>
      <c r="D137" s="41">
        <v>5065</v>
      </c>
      <c r="E137" s="41">
        <v>5066</v>
      </c>
      <c r="F137" s="41">
        <v>5061</v>
      </c>
      <c r="G137" s="41">
        <v>5063</v>
      </c>
      <c r="H137" s="41">
        <v>1676979750</v>
      </c>
      <c r="I137" s="42">
        <v>6625</v>
      </c>
    </row>
    <row r="138" spans="1:9" x14ac:dyDescent="0.25">
      <c r="A138" t="s">
        <v>9</v>
      </c>
      <c r="B138" s="39">
        <v>46169</v>
      </c>
      <c r="C138" s="40">
        <v>0.54166666666666663</v>
      </c>
      <c r="D138" s="41">
        <v>5065</v>
      </c>
      <c r="E138" s="41">
        <v>5066.5</v>
      </c>
      <c r="F138" s="41">
        <v>5062</v>
      </c>
      <c r="G138" s="41">
        <v>5065</v>
      </c>
      <c r="H138" s="41">
        <v>1297668250</v>
      </c>
      <c r="I138" s="42">
        <v>5125</v>
      </c>
    </row>
    <row r="139" spans="1:9" x14ac:dyDescent="0.25">
      <c r="A139" t="s">
        <v>9</v>
      </c>
      <c r="B139" s="39">
        <v>46169</v>
      </c>
      <c r="C139" s="40">
        <v>0.52083333333333337</v>
      </c>
      <c r="D139" s="41">
        <v>5055.5</v>
      </c>
      <c r="E139" s="41">
        <v>5067.5</v>
      </c>
      <c r="F139" s="41">
        <v>5054.5</v>
      </c>
      <c r="G139" s="41">
        <v>5065.5</v>
      </c>
      <c r="H139" s="41">
        <v>1915866625</v>
      </c>
      <c r="I139" s="42">
        <v>7570</v>
      </c>
    </row>
    <row r="140" spans="1:9" x14ac:dyDescent="0.25">
      <c r="A140" t="s">
        <v>9</v>
      </c>
      <c r="B140" s="39">
        <v>46169</v>
      </c>
      <c r="C140" s="40">
        <v>0.5</v>
      </c>
      <c r="D140" s="41">
        <v>5068.5</v>
      </c>
      <c r="E140" s="41">
        <v>5069.5</v>
      </c>
      <c r="F140" s="41">
        <v>5055</v>
      </c>
      <c r="G140" s="41">
        <v>5055.5</v>
      </c>
      <c r="H140" s="41">
        <v>1733606000</v>
      </c>
      <c r="I140" s="42">
        <v>6850</v>
      </c>
    </row>
    <row r="141" spans="1:9" x14ac:dyDescent="0.25">
      <c r="A141" t="s">
        <v>9</v>
      </c>
      <c r="B141" s="39">
        <v>46169</v>
      </c>
      <c r="C141" s="40">
        <v>0.47916666666666669</v>
      </c>
      <c r="D141" s="41">
        <v>5068</v>
      </c>
      <c r="E141" s="41">
        <v>5070</v>
      </c>
      <c r="F141" s="41">
        <v>5057.5</v>
      </c>
      <c r="G141" s="41">
        <v>5069</v>
      </c>
      <c r="H141" s="41">
        <v>8575844125</v>
      </c>
      <c r="I141" s="42">
        <v>33860</v>
      </c>
    </row>
    <row r="142" spans="1:9" x14ac:dyDescent="0.25">
      <c r="A142" t="s">
        <v>9</v>
      </c>
      <c r="B142" s="39">
        <v>46169</v>
      </c>
      <c r="C142" s="40">
        <v>0.45833333333333331</v>
      </c>
      <c r="D142" s="41">
        <v>5059</v>
      </c>
      <c r="E142" s="41">
        <v>5074</v>
      </c>
      <c r="F142" s="41">
        <v>5058.5</v>
      </c>
      <c r="G142" s="41">
        <v>5067.5</v>
      </c>
      <c r="H142" s="41">
        <v>5108171500</v>
      </c>
      <c r="I142" s="42">
        <v>20160</v>
      </c>
    </row>
    <row r="143" spans="1:9" x14ac:dyDescent="0.25">
      <c r="A143" t="s">
        <v>9</v>
      </c>
      <c r="B143" s="39">
        <v>46169</v>
      </c>
      <c r="C143" s="40">
        <v>0.4375</v>
      </c>
      <c r="D143" s="41">
        <v>5059</v>
      </c>
      <c r="E143" s="41">
        <v>5060</v>
      </c>
      <c r="F143" s="41">
        <v>5049</v>
      </c>
      <c r="G143" s="41">
        <v>5059.5</v>
      </c>
      <c r="H143" s="41">
        <v>2463947625</v>
      </c>
      <c r="I143" s="42">
        <v>9750</v>
      </c>
    </row>
    <row r="144" spans="1:9" x14ac:dyDescent="0.25">
      <c r="A144" t="s">
        <v>9</v>
      </c>
      <c r="B144" s="39">
        <v>46169</v>
      </c>
      <c r="C144" s="40">
        <v>0.41666666666666669</v>
      </c>
      <c r="D144" s="41">
        <v>5055.5</v>
      </c>
      <c r="E144" s="41">
        <v>5064.5</v>
      </c>
      <c r="F144" s="41">
        <v>5052.5</v>
      </c>
      <c r="G144" s="41">
        <v>5060</v>
      </c>
      <c r="H144" s="41">
        <v>5119035250</v>
      </c>
      <c r="I144" s="42">
        <v>20245</v>
      </c>
    </row>
    <row r="145" spans="1:9" x14ac:dyDescent="0.25">
      <c r="A145" t="s">
        <v>9</v>
      </c>
      <c r="B145" s="39">
        <v>46169</v>
      </c>
      <c r="C145" s="40">
        <v>0.39583333333333331</v>
      </c>
      <c r="D145" s="41">
        <v>5037</v>
      </c>
      <c r="E145" s="41">
        <v>5056</v>
      </c>
      <c r="F145" s="41">
        <v>5034</v>
      </c>
      <c r="G145" s="41">
        <v>5055</v>
      </c>
      <c r="H145" s="41">
        <v>4599623375</v>
      </c>
      <c r="I145" s="42">
        <v>18235</v>
      </c>
    </row>
    <row r="146" spans="1:9" x14ac:dyDescent="0.25">
      <c r="A146" t="s">
        <v>9</v>
      </c>
      <c r="B146" s="39">
        <v>46169</v>
      </c>
      <c r="C146" s="40">
        <v>0.375</v>
      </c>
      <c r="D146" s="41">
        <v>5038</v>
      </c>
      <c r="E146" s="41">
        <v>5055</v>
      </c>
      <c r="F146" s="41">
        <v>5035</v>
      </c>
      <c r="G146" s="41">
        <v>5037</v>
      </c>
      <c r="H146" s="41">
        <v>4728047125</v>
      </c>
      <c r="I146" s="42">
        <v>18750</v>
      </c>
    </row>
    <row r="147" spans="1:9" x14ac:dyDescent="0.25">
      <c r="A147" t="s">
        <v>9</v>
      </c>
      <c r="B147" s="39">
        <v>46168</v>
      </c>
      <c r="C147" s="40">
        <v>0.75</v>
      </c>
      <c r="D147" s="41">
        <v>5039.5</v>
      </c>
      <c r="E147" s="41">
        <v>5041.5</v>
      </c>
      <c r="F147" s="41">
        <v>5038</v>
      </c>
      <c r="G147" s="41">
        <v>5040</v>
      </c>
      <c r="H147" s="41">
        <v>205393750</v>
      </c>
      <c r="I147" s="42">
        <v>815</v>
      </c>
    </row>
    <row r="148" spans="1:9" x14ac:dyDescent="0.25">
      <c r="A148" t="s">
        <v>9</v>
      </c>
      <c r="B148" s="39">
        <v>46168</v>
      </c>
      <c r="C148" s="40">
        <v>0.72916666666666663</v>
      </c>
      <c r="D148" s="41">
        <v>5035.5</v>
      </c>
      <c r="E148" s="41">
        <v>5041</v>
      </c>
      <c r="F148" s="41">
        <v>5035</v>
      </c>
      <c r="G148" s="41">
        <v>5039</v>
      </c>
      <c r="H148" s="41">
        <v>2005201750</v>
      </c>
      <c r="I148" s="42">
        <v>7960</v>
      </c>
    </row>
    <row r="149" spans="1:9" x14ac:dyDescent="0.25">
      <c r="A149" t="s">
        <v>9</v>
      </c>
      <c r="B149" s="39">
        <v>46168</v>
      </c>
      <c r="C149" s="40">
        <v>0.70833333333333337</v>
      </c>
      <c r="D149" s="41">
        <v>5032.5</v>
      </c>
      <c r="E149" s="41">
        <v>5036</v>
      </c>
      <c r="F149" s="41">
        <v>5030</v>
      </c>
      <c r="G149" s="41">
        <v>5035.5</v>
      </c>
      <c r="H149" s="41">
        <v>902180875</v>
      </c>
      <c r="I149" s="42">
        <v>3585</v>
      </c>
    </row>
    <row r="150" spans="1:9" x14ac:dyDescent="0.25">
      <c r="A150" t="s">
        <v>9</v>
      </c>
      <c r="B150" s="39">
        <v>46168</v>
      </c>
      <c r="C150" s="40">
        <v>0.6875</v>
      </c>
      <c r="D150" s="41">
        <v>5035.5</v>
      </c>
      <c r="E150" s="41">
        <v>5037.5</v>
      </c>
      <c r="F150" s="41">
        <v>5032</v>
      </c>
      <c r="G150" s="41">
        <v>5032.5</v>
      </c>
      <c r="H150" s="41">
        <v>1890108750</v>
      </c>
      <c r="I150" s="42">
        <v>7510</v>
      </c>
    </row>
    <row r="151" spans="1:9" x14ac:dyDescent="0.25">
      <c r="A151" t="s">
        <v>9</v>
      </c>
      <c r="B151" s="39">
        <v>46168</v>
      </c>
      <c r="C151" s="40">
        <v>0.66666666666666663</v>
      </c>
      <c r="D151" s="41">
        <v>5036</v>
      </c>
      <c r="E151" s="41">
        <v>5037</v>
      </c>
      <c r="F151" s="41">
        <v>5033</v>
      </c>
      <c r="G151" s="41">
        <v>5035.5</v>
      </c>
      <c r="H151" s="41">
        <v>1166806750</v>
      </c>
      <c r="I151" s="42">
        <v>4635</v>
      </c>
    </row>
    <row r="152" spans="1:9" x14ac:dyDescent="0.25">
      <c r="A152" t="s">
        <v>9</v>
      </c>
      <c r="B152" s="39">
        <v>46168</v>
      </c>
      <c r="C152" s="40">
        <v>0.64583333333333337</v>
      </c>
      <c r="D152" s="41">
        <v>5029.5</v>
      </c>
      <c r="E152" s="41">
        <v>5036.5</v>
      </c>
      <c r="F152" s="41">
        <v>5029</v>
      </c>
      <c r="G152" s="41">
        <v>5035.5</v>
      </c>
      <c r="H152" s="41">
        <v>1956810375</v>
      </c>
      <c r="I152" s="42">
        <v>7775</v>
      </c>
    </row>
    <row r="153" spans="1:9" x14ac:dyDescent="0.25">
      <c r="A153" t="s">
        <v>9</v>
      </c>
      <c r="B153" s="39">
        <v>46168</v>
      </c>
      <c r="C153" s="40">
        <v>0.625</v>
      </c>
      <c r="D153" s="41">
        <v>5030</v>
      </c>
      <c r="E153" s="41">
        <v>5032</v>
      </c>
      <c r="F153" s="41">
        <v>5028</v>
      </c>
      <c r="G153" s="41">
        <v>5029.5</v>
      </c>
      <c r="H153" s="41">
        <v>1910320500</v>
      </c>
      <c r="I153" s="42">
        <v>7595</v>
      </c>
    </row>
    <row r="154" spans="1:9" x14ac:dyDescent="0.25">
      <c r="A154" t="s">
        <v>9</v>
      </c>
      <c r="B154" s="39">
        <v>46168</v>
      </c>
      <c r="C154" s="40">
        <v>0.60416666666666663</v>
      </c>
      <c r="D154" s="41">
        <v>5035</v>
      </c>
      <c r="E154" s="41">
        <v>5035</v>
      </c>
      <c r="F154" s="41">
        <v>5027</v>
      </c>
      <c r="G154" s="41">
        <v>5029.5</v>
      </c>
      <c r="H154" s="41">
        <v>1527409500</v>
      </c>
      <c r="I154">
        <v>6075</v>
      </c>
    </row>
    <row r="155" spans="1:9" x14ac:dyDescent="0.25">
      <c r="A155" t="s">
        <v>9</v>
      </c>
      <c r="B155" s="39">
        <v>46168</v>
      </c>
      <c r="C155" s="40">
        <v>0.58333333333333337</v>
      </c>
      <c r="D155" s="41">
        <v>5034</v>
      </c>
      <c r="E155" s="41">
        <v>5035.5</v>
      </c>
      <c r="F155" s="41">
        <v>5031.5</v>
      </c>
      <c r="G155" s="41">
        <v>5035</v>
      </c>
      <c r="H155" s="41">
        <v>1142654625</v>
      </c>
      <c r="I155" s="42">
        <v>4540</v>
      </c>
    </row>
    <row r="156" spans="1:9" x14ac:dyDescent="0.25">
      <c r="A156" t="s">
        <v>9</v>
      </c>
      <c r="B156" s="39">
        <v>46168</v>
      </c>
      <c r="C156" s="40">
        <v>0.5625</v>
      </c>
      <c r="D156" s="41">
        <v>5033.5</v>
      </c>
      <c r="E156" s="41">
        <v>5037</v>
      </c>
      <c r="F156" s="41">
        <v>5031</v>
      </c>
      <c r="G156" s="41">
        <v>5034</v>
      </c>
      <c r="H156" s="41">
        <v>4024603250</v>
      </c>
      <c r="I156" s="42">
        <v>15990</v>
      </c>
    </row>
    <row r="157" spans="1:9" x14ac:dyDescent="0.25">
      <c r="A157" t="s">
        <v>9</v>
      </c>
      <c r="B157" s="39">
        <v>46168</v>
      </c>
      <c r="C157" s="40">
        <v>0.54166666666666663</v>
      </c>
      <c r="D157" s="41">
        <v>5034</v>
      </c>
      <c r="E157" s="41">
        <v>5034.5</v>
      </c>
      <c r="F157" s="41">
        <v>5031</v>
      </c>
      <c r="G157" s="41">
        <v>5033.5</v>
      </c>
      <c r="H157" s="41">
        <v>2303766500</v>
      </c>
      <c r="I157" s="42">
        <v>9155</v>
      </c>
    </row>
    <row r="158" spans="1:9" x14ac:dyDescent="0.25">
      <c r="A158" t="s">
        <v>9</v>
      </c>
      <c r="B158" s="39">
        <v>46168</v>
      </c>
      <c r="C158" s="40">
        <v>0.52083333333333337</v>
      </c>
      <c r="D158" s="41">
        <v>5034</v>
      </c>
      <c r="E158" s="41">
        <v>5040</v>
      </c>
      <c r="F158" s="41">
        <v>5032</v>
      </c>
      <c r="G158" s="41">
        <v>5034.5</v>
      </c>
      <c r="H158" s="41">
        <v>3648845000</v>
      </c>
      <c r="I158" s="42">
        <v>14495</v>
      </c>
    </row>
    <row r="159" spans="1:9" x14ac:dyDescent="0.25">
      <c r="A159" t="s">
        <v>9</v>
      </c>
      <c r="B159" s="39">
        <v>46168</v>
      </c>
      <c r="C159" s="40">
        <v>0.5</v>
      </c>
      <c r="D159" s="41">
        <v>5026.5</v>
      </c>
      <c r="E159" s="41">
        <v>5039</v>
      </c>
      <c r="F159" s="41">
        <v>5025.5</v>
      </c>
      <c r="G159" s="41">
        <v>5034.5</v>
      </c>
      <c r="H159" s="41">
        <v>2227985250</v>
      </c>
      <c r="I159" s="42">
        <v>8855</v>
      </c>
    </row>
    <row r="160" spans="1:9" x14ac:dyDescent="0.25">
      <c r="A160" t="s">
        <v>9</v>
      </c>
      <c r="B160" s="39">
        <v>46168</v>
      </c>
      <c r="C160" s="40">
        <v>0.47916666666666669</v>
      </c>
      <c r="D160" s="41">
        <v>5023</v>
      </c>
      <c r="E160" s="41">
        <v>5027.5</v>
      </c>
      <c r="F160" s="41">
        <v>5020</v>
      </c>
      <c r="G160" s="41">
        <v>5026.5</v>
      </c>
      <c r="H160" s="41">
        <v>3768834125</v>
      </c>
      <c r="I160" s="42">
        <v>15005</v>
      </c>
    </row>
    <row r="161" spans="1:9" x14ac:dyDescent="0.25">
      <c r="A161" t="s">
        <v>9</v>
      </c>
      <c r="B161" s="39">
        <v>46168</v>
      </c>
      <c r="C161" s="40">
        <v>0.45833333333333331</v>
      </c>
      <c r="D161" s="41">
        <v>5030</v>
      </c>
      <c r="E161" s="41">
        <v>5034.5</v>
      </c>
      <c r="F161" s="41">
        <v>5021.5</v>
      </c>
      <c r="G161" s="41">
        <v>5022.5</v>
      </c>
      <c r="H161" s="41">
        <v>4479895375</v>
      </c>
      <c r="I161" s="42">
        <v>17830</v>
      </c>
    </row>
    <row r="162" spans="1:9" x14ac:dyDescent="0.25">
      <c r="A162" t="s">
        <v>9</v>
      </c>
      <c r="B162" s="39">
        <v>46168</v>
      </c>
      <c r="C162" s="40">
        <v>0.4375</v>
      </c>
      <c r="D162" s="41">
        <v>5019.5</v>
      </c>
      <c r="E162" s="41">
        <v>5042.5</v>
      </c>
      <c r="F162" s="41">
        <v>5017.5</v>
      </c>
      <c r="G162" s="41">
        <v>5031</v>
      </c>
      <c r="H162" s="41">
        <v>4232785000</v>
      </c>
      <c r="I162" s="42">
        <v>16835</v>
      </c>
    </row>
    <row r="163" spans="1:9" x14ac:dyDescent="0.25">
      <c r="A163" t="s">
        <v>9</v>
      </c>
      <c r="B163" s="39">
        <v>46168</v>
      </c>
      <c r="C163" s="40">
        <v>0.41666666666666669</v>
      </c>
      <c r="D163" s="41">
        <v>5009</v>
      </c>
      <c r="E163" s="41">
        <v>5022</v>
      </c>
      <c r="F163" s="41">
        <v>5009</v>
      </c>
      <c r="G163" s="41">
        <v>5020</v>
      </c>
      <c r="H163" s="41">
        <v>3828062625</v>
      </c>
      <c r="I163" s="42">
        <v>15260</v>
      </c>
    </row>
    <row r="164" spans="1:9" x14ac:dyDescent="0.25">
      <c r="A164" t="s">
        <v>9</v>
      </c>
      <c r="B164" s="39">
        <v>46168</v>
      </c>
      <c r="C164" s="40">
        <v>0.39583333333333331</v>
      </c>
      <c r="D164" s="41">
        <v>5021</v>
      </c>
      <c r="E164" s="41">
        <v>5023.5</v>
      </c>
      <c r="F164" s="41">
        <v>5008</v>
      </c>
      <c r="G164" s="41">
        <v>5008.5</v>
      </c>
      <c r="H164" s="41">
        <v>2314886250</v>
      </c>
      <c r="I164" s="42">
        <v>9230</v>
      </c>
    </row>
    <row r="165" spans="1:9" x14ac:dyDescent="0.25">
      <c r="A165" t="s">
        <v>9</v>
      </c>
      <c r="B165" s="39">
        <v>46168</v>
      </c>
      <c r="C165" s="40">
        <v>0.375</v>
      </c>
      <c r="D165" s="41">
        <v>5025</v>
      </c>
      <c r="E165" s="41">
        <v>5032.5</v>
      </c>
      <c r="F165" s="41">
        <v>5018.5</v>
      </c>
      <c r="G165" s="41">
        <v>5020.5</v>
      </c>
      <c r="H165" s="41">
        <v>2637597375</v>
      </c>
      <c r="I165" s="42">
        <v>10500</v>
      </c>
    </row>
    <row r="166" spans="1:9" x14ac:dyDescent="0.25">
      <c r="A166" t="s">
        <v>9</v>
      </c>
      <c r="B166" s="39">
        <v>46167</v>
      </c>
      <c r="C166" s="40">
        <v>0.75</v>
      </c>
      <c r="D166" s="41">
        <v>5024</v>
      </c>
      <c r="E166" s="41">
        <v>5025.5</v>
      </c>
      <c r="F166" s="41">
        <v>5015</v>
      </c>
      <c r="G166" s="41">
        <v>5016.5</v>
      </c>
      <c r="H166" s="41">
        <v>292414625</v>
      </c>
      <c r="I166" s="42">
        <v>1165</v>
      </c>
    </row>
    <row r="167" spans="1:9" x14ac:dyDescent="0.25">
      <c r="A167" t="s">
        <v>9</v>
      </c>
      <c r="B167" s="39">
        <v>46167</v>
      </c>
      <c r="C167" s="40">
        <v>0.72916666666666663</v>
      </c>
      <c r="D167" s="41">
        <v>5025</v>
      </c>
      <c r="E167" s="41">
        <v>5025</v>
      </c>
      <c r="F167" s="41">
        <v>5021.5</v>
      </c>
      <c r="G167" s="41">
        <v>5023.5</v>
      </c>
      <c r="H167" s="41">
        <v>681997250</v>
      </c>
      <c r="I167" s="42">
        <v>2715</v>
      </c>
    </row>
    <row r="168" spans="1:9" x14ac:dyDescent="0.25">
      <c r="A168" t="s">
        <v>9</v>
      </c>
      <c r="B168" s="39">
        <v>46167</v>
      </c>
      <c r="C168" s="40">
        <v>0.70833333333333337</v>
      </c>
      <c r="D168" s="41">
        <v>5025.5</v>
      </c>
      <c r="E168" s="41">
        <v>5027</v>
      </c>
      <c r="F168" s="41">
        <v>5023.5</v>
      </c>
      <c r="G168" s="41">
        <v>5025.5</v>
      </c>
      <c r="H168" s="41">
        <v>1694397750</v>
      </c>
      <c r="I168" s="42">
        <v>6745</v>
      </c>
    </row>
    <row r="169" spans="1:9" x14ac:dyDescent="0.25">
      <c r="A169" t="s">
        <v>9</v>
      </c>
      <c r="B169" s="39">
        <v>46167</v>
      </c>
      <c r="C169" s="40">
        <v>0.6875</v>
      </c>
      <c r="D169" s="41">
        <v>5022.5</v>
      </c>
      <c r="E169" s="41">
        <v>5027.5</v>
      </c>
      <c r="F169" s="41">
        <v>5022.5</v>
      </c>
      <c r="G169" s="41">
        <v>5026</v>
      </c>
      <c r="H169" s="41">
        <v>644557125</v>
      </c>
      <c r="I169" s="42">
        <v>2565</v>
      </c>
    </row>
    <row r="170" spans="1:9" x14ac:dyDescent="0.25">
      <c r="A170" t="s">
        <v>9</v>
      </c>
      <c r="B170" s="39">
        <v>46167</v>
      </c>
      <c r="C170" s="40">
        <v>0.66666666666666663</v>
      </c>
      <c r="D170" s="41">
        <v>5021.5</v>
      </c>
      <c r="E170" s="41">
        <v>5025</v>
      </c>
      <c r="F170" s="41">
        <v>5021.5</v>
      </c>
      <c r="G170" s="41">
        <v>5022</v>
      </c>
      <c r="H170" s="41">
        <v>1021072125</v>
      </c>
      <c r="I170" s="42">
        <v>4065</v>
      </c>
    </row>
    <row r="171" spans="1:9" x14ac:dyDescent="0.25">
      <c r="A171" t="s">
        <v>9</v>
      </c>
      <c r="B171" s="39">
        <v>46167</v>
      </c>
      <c r="C171" s="40">
        <v>0.64583333333333337</v>
      </c>
      <c r="D171" s="41">
        <v>5022.5</v>
      </c>
      <c r="E171" s="41">
        <v>5025.5</v>
      </c>
      <c r="F171" s="41">
        <v>5020.5</v>
      </c>
      <c r="G171" s="41">
        <v>5020.5</v>
      </c>
      <c r="H171" s="41">
        <v>1361106625</v>
      </c>
      <c r="I171" s="42">
        <v>5420</v>
      </c>
    </row>
    <row r="172" spans="1:9" x14ac:dyDescent="0.25">
      <c r="A172" t="s">
        <v>9</v>
      </c>
      <c r="B172" s="39">
        <v>46167</v>
      </c>
      <c r="C172" s="40">
        <v>0.625</v>
      </c>
      <c r="D172" s="41">
        <v>5016</v>
      </c>
      <c r="E172" s="41">
        <v>5023.5</v>
      </c>
      <c r="F172" s="41">
        <v>5016</v>
      </c>
      <c r="G172" s="41">
        <v>5023.5</v>
      </c>
      <c r="H172" s="41">
        <v>2144841250</v>
      </c>
      <c r="I172" s="42">
        <v>8545</v>
      </c>
    </row>
    <row r="173" spans="1:9" x14ac:dyDescent="0.25">
      <c r="A173" t="s">
        <v>9</v>
      </c>
      <c r="B173" s="39">
        <v>46167</v>
      </c>
      <c r="C173" s="40">
        <v>0.60416666666666663</v>
      </c>
      <c r="D173" s="41">
        <v>5011.5</v>
      </c>
      <c r="E173" s="41">
        <v>5016.5</v>
      </c>
      <c r="F173" s="41">
        <v>5011.5</v>
      </c>
      <c r="G173" s="41">
        <v>5016</v>
      </c>
      <c r="H173" s="41">
        <v>1650731875</v>
      </c>
      <c r="I173">
        <v>6585</v>
      </c>
    </row>
    <row r="174" spans="1:9" x14ac:dyDescent="0.25">
      <c r="A174" t="s">
        <v>9</v>
      </c>
      <c r="B174" s="39">
        <v>46167</v>
      </c>
      <c r="C174" s="40">
        <v>0.58333333333333337</v>
      </c>
      <c r="D174" s="41">
        <v>5016</v>
      </c>
      <c r="E174" s="41">
        <v>5016</v>
      </c>
      <c r="F174" s="41">
        <v>5010</v>
      </c>
      <c r="G174" s="41">
        <v>5012</v>
      </c>
      <c r="H174" s="41">
        <v>672985375</v>
      </c>
      <c r="I174" s="42">
        <v>2685</v>
      </c>
    </row>
    <row r="175" spans="1:9" x14ac:dyDescent="0.25">
      <c r="A175" t="s">
        <v>9</v>
      </c>
      <c r="B175" s="39">
        <v>46167</v>
      </c>
      <c r="C175" s="40">
        <v>0.5625</v>
      </c>
      <c r="D175" s="41">
        <v>5016</v>
      </c>
      <c r="E175" s="41">
        <v>5019.5</v>
      </c>
      <c r="F175" s="41">
        <v>5014</v>
      </c>
      <c r="G175" s="41">
        <v>5015.5</v>
      </c>
      <c r="H175" s="41">
        <v>911620875</v>
      </c>
      <c r="I175" s="42">
        <v>3635</v>
      </c>
    </row>
    <row r="176" spans="1:9" x14ac:dyDescent="0.25">
      <c r="A176" t="s">
        <v>9</v>
      </c>
      <c r="B176" s="39">
        <v>46167</v>
      </c>
      <c r="C176" s="40">
        <v>0.54166666666666663</v>
      </c>
      <c r="D176" s="41">
        <v>5013</v>
      </c>
      <c r="E176" s="41">
        <v>5016</v>
      </c>
      <c r="F176" s="41">
        <v>5012</v>
      </c>
      <c r="G176" s="41">
        <v>5016</v>
      </c>
      <c r="H176" s="41">
        <v>2683843125</v>
      </c>
      <c r="I176" s="42">
        <v>10705</v>
      </c>
    </row>
    <row r="177" spans="1:9" x14ac:dyDescent="0.25">
      <c r="A177" t="s">
        <v>9</v>
      </c>
      <c r="B177" s="39">
        <v>46167</v>
      </c>
      <c r="C177" s="40">
        <v>0.52083333333333337</v>
      </c>
      <c r="D177" s="41">
        <v>5014.5</v>
      </c>
      <c r="E177" s="41">
        <v>5015</v>
      </c>
      <c r="F177" s="41">
        <v>5009</v>
      </c>
      <c r="G177" s="41">
        <v>5012.5</v>
      </c>
      <c r="H177" s="41">
        <v>660332500</v>
      </c>
      <c r="I177" s="42">
        <v>2635</v>
      </c>
    </row>
    <row r="178" spans="1:9" x14ac:dyDescent="0.25">
      <c r="A178" t="s">
        <v>9</v>
      </c>
      <c r="B178" s="39">
        <v>46167</v>
      </c>
      <c r="C178" s="40">
        <v>0.5</v>
      </c>
      <c r="D178" s="41">
        <v>5017</v>
      </c>
      <c r="E178" s="41">
        <v>5017</v>
      </c>
      <c r="F178" s="41">
        <v>5010.5</v>
      </c>
      <c r="G178" s="41">
        <v>5014</v>
      </c>
      <c r="H178" s="41">
        <v>2773141750</v>
      </c>
      <c r="I178" s="42">
        <v>11060</v>
      </c>
    </row>
    <row r="179" spans="1:9" x14ac:dyDescent="0.25">
      <c r="A179" t="s">
        <v>9</v>
      </c>
      <c r="B179" s="39">
        <v>46167</v>
      </c>
      <c r="C179" s="40">
        <v>0.47916666666666669</v>
      </c>
      <c r="D179" s="41">
        <v>5017.5</v>
      </c>
      <c r="E179" s="41">
        <v>5019</v>
      </c>
      <c r="F179" s="41">
        <v>5014.5</v>
      </c>
      <c r="G179" s="41">
        <v>5017</v>
      </c>
      <c r="H179" s="41">
        <v>2044612500</v>
      </c>
      <c r="I179" s="42">
        <v>8150</v>
      </c>
    </row>
    <row r="180" spans="1:9" x14ac:dyDescent="0.25">
      <c r="A180" t="s">
        <v>9</v>
      </c>
      <c r="B180" s="39">
        <v>46167</v>
      </c>
      <c r="C180" s="40">
        <v>0.45833333333333331</v>
      </c>
      <c r="D180" s="41">
        <v>5017.5</v>
      </c>
      <c r="E180" s="41">
        <v>5020.5</v>
      </c>
      <c r="F180" s="41">
        <v>5016.5</v>
      </c>
      <c r="G180" s="41">
        <v>5018</v>
      </c>
      <c r="H180" s="41">
        <v>2204178125</v>
      </c>
      <c r="I180" s="42">
        <v>8785</v>
      </c>
    </row>
    <row r="181" spans="1:9" x14ac:dyDescent="0.25">
      <c r="A181" t="s">
        <v>9</v>
      </c>
      <c r="B181" s="39">
        <v>46167</v>
      </c>
      <c r="C181" s="40">
        <v>0.4375</v>
      </c>
      <c r="D181" s="41">
        <v>5015</v>
      </c>
      <c r="E181" s="41">
        <v>5019.5</v>
      </c>
      <c r="F181" s="41">
        <v>5010</v>
      </c>
      <c r="G181" s="41">
        <v>5017.5</v>
      </c>
      <c r="H181" s="41">
        <v>2087576750</v>
      </c>
      <c r="I181" s="42">
        <v>8325</v>
      </c>
    </row>
    <row r="182" spans="1:9" x14ac:dyDescent="0.25">
      <c r="A182" t="s">
        <v>9</v>
      </c>
      <c r="B182" s="39">
        <v>46167</v>
      </c>
      <c r="C182" s="40">
        <v>0.41666666666666669</v>
      </c>
      <c r="D182" s="41">
        <v>5010</v>
      </c>
      <c r="E182" s="41">
        <v>5017</v>
      </c>
      <c r="F182" s="41">
        <v>5007.5</v>
      </c>
      <c r="G182" s="41">
        <v>5015.5</v>
      </c>
      <c r="H182" s="41">
        <v>5175517250</v>
      </c>
      <c r="I182" s="42">
        <v>20660</v>
      </c>
    </row>
    <row r="183" spans="1:9" x14ac:dyDescent="0.25">
      <c r="A183" t="s">
        <v>9</v>
      </c>
      <c r="B183" s="39">
        <v>46167</v>
      </c>
      <c r="C183" s="40">
        <v>0.39583333333333331</v>
      </c>
      <c r="D183" s="41">
        <v>5002.5</v>
      </c>
      <c r="E183" s="41">
        <v>5011.5</v>
      </c>
      <c r="F183" s="41">
        <v>5000</v>
      </c>
      <c r="G183" s="41">
        <v>5010.5</v>
      </c>
      <c r="H183" s="41">
        <v>3186654375</v>
      </c>
      <c r="I183" s="42">
        <v>12735</v>
      </c>
    </row>
    <row r="184" spans="1:9" x14ac:dyDescent="0.25">
      <c r="A184" t="s">
        <v>9</v>
      </c>
      <c r="B184" s="39">
        <v>46167</v>
      </c>
      <c r="C184" s="40">
        <v>0.375</v>
      </c>
      <c r="D184" s="41">
        <v>5023.5</v>
      </c>
      <c r="E184" s="41">
        <v>5023.5</v>
      </c>
      <c r="F184" s="41">
        <v>5002</v>
      </c>
      <c r="G184" s="41">
        <v>5003</v>
      </c>
      <c r="H184" s="41">
        <v>2082796125</v>
      </c>
      <c r="I184" s="42">
        <v>8315</v>
      </c>
    </row>
    <row r="185" spans="1:9" x14ac:dyDescent="0.25">
      <c r="A185" t="s">
        <v>9</v>
      </c>
      <c r="B185" s="39">
        <v>46164</v>
      </c>
      <c r="C185" s="40">
        <v>0.75</v>
      </c>
      <c r="D185" s="41">
        <v>5043</v>
      </c>
      <c r="E185" s="41">
        <v>5052</v>
      </c>
      <c r="F185" s="41">
        <v>5042</v>
      </c>
      <c r="G185" s="41">
        <v>5050</v>
      </c>
      <c r="H185" s="41">
        <v>278913375</v>
      </c>
      <c r="I185" s="42">
        <v>1105</v>
      </c>
    </row>
    <row r="186" spans="1:9" x14ac:dyDescent="0.25">
      <c r="A186" t="s">
        <v>9</v>
      </c>
      <c r="B186" s="39">
        <v>46164</v>
      </c>
      <c r="C186" s="40">
        <v>0.72916666666666663</v>
      </c>
      <c r="D186" s="41">
        <v>5030.5</v>
      </c>
      <c r="E186" s="41">
        <v>5044</v>
      </c>
      <c r="F186" s="41">
        <v>5030</v>
      </c>
      <c r="G186" s="41">
        <v>5043</v>
      </c>
      <c r="H186" s="41">
        <v>1280790500</v>
      </c>
      <c r="I186" s="42">
        <v>5085</v>
      </c>
    </row>
    <row r="187" spans="1:9" x14ac:dyDescent="0.25">
      <c r="A187" t="s">
        <v>9</v>
      </c>
      <c r="B187" s="39">
        <v>46164</v>
      </c>
      <c r="C187" s="40">
        <v>0.70833333333333337</v>
      </c>
      <c r="D187" s="41">
        <v>5035</v>
      </c>
      <c r="E187" s="41">
        <v>5035</v>
      </c>
      <c r="F187" s="41">
        <v>5027.5</v>
      </c>
      <c r="G187" s="41">
        <v>5030</v>
      </c>
      <c r="H187" s="41">
        <v>840193750</v>
      </c>
      <c r="I187" s="42">
        <v>3340</v>
      </c>
    </row>
    <row r="188" spans="1:9" x14ac:dyDescent="0.25">
      <c r="A188" t="s">
        <v>9</v>
      </c>
      <c r="B188" s="39">
        <v>46164</v>
      </c>
      <c r="C188" s="40">
        <v>0.6875</v>
      </c>
      <c r="D188" s="41">
        <v>5030.5</v>
      </c>
      <c r="E188" s="41">
        <v>5036</v>
      </c>
      <c r="F188" s="41">
        <v>5029.5</v>
      </c>
      <c r="G188" s="41">
        <v>5035</v>
      </c>
      <c r="H188" s="41">
        <v>1675688750</v>
      </c>
      <c r="I188" s="42">
        <v>6660</v>
      </c>
    </row>
    <row r="189" spans="1:9" x14ac:dyDescent="0.25">
      <c r="A189" t="s">
        <v>9</v>
      </c>
      <c r="B189" s="39">
        <v>46164</v>
      </c>
      <c r="C189" s="40">
        <v>0.66666666666666663</v>
      </c>
      <c r="D189" s="41">
        <v>5027.5</v>
      </c>
      <c r="E189" s="41">
        <v>5033.5</v>
      </c>
      <c r="F189" s="41">
        <v>5026.5</v>
      </c>
      <c r="G189" s="41">
        <v>5030</v>
      </c>
      <c r="H189" s="41">
        <v>1644774875</v>
      </c>
      <c r="I189" s="42">
        <v>6540</v>
      </c>
    </row>
    <row r="190" spans="1:9" x14ac:dyDescent="0.25">
      <c r="A190" t="s">
        <v>9</v>
      </c>
      <c r="B190" s="39">
        <v>46164</v>
      </c>
      <c r="C190" s="40">
        <v>0.64583333333333337</v>
      </c>
      <c r="D190" s="41">
        <v>5027.5</v>
      </c>
      <c r="E190" s="41">
        <v>5029.5</v>
      </c>
      <c r="F190" s="41">
        <v>5024.5</v>
      </c>
      <c r="G190" s="41">
        <v>5027</v>
      </c>
      <c r="H190" s="41">
        <v>825636375</v>
      </c>
      <c r="I190" s="42">
        <v>3285</v>
      </c>
    </row>
    <row r="191" spans="1:9" x14ac:dyDescent="0.25">
      <c r="A191" t="s">
        <v>9</v>
      </c>
      <c r="B191" s="39">
        <v>46164</v>
      </c>
      <c r="C191" s="40">
        <v>0.625</v>
      </c>
      <c r="D191" s="41">
        <v>5026</v>
      </c>
      <c r="E191" s="41">
        <v>5029</v>
      </c>
      <c r="F191" s="41">
        <v>5024</v>
      </c>
      <c r="G191" s="41">
        <v>5027</v>
      </c>
      <c r="H191" s="41">
        <v>1451468625</v>
      </c>
      <c r="I191" s="42">
        <v>5775</v>
      </c>
    </row>
    <row r="192" spans="1:9" x14ac:dyDescent="0.25">
      <c r="A192" t="s">
        <v>9</v>
      </c>
      <c r="B192" s="39">
        <v>46164</v>
      </c>
      <c r="C192" s="40">
        <v>0.60416666666666663</v>
      </c>
      <c r="D192" s="41">
        <v>5020</v>
      </c>
      <c r="E192" s="41">
        <v>5026.5</v>
      </c>
      <c r="F192" s="41">
        <v>5019</v>
      </c>
      <c r="G192" s="41">
        <v>5026</v>
      </c>
      <c r="H192" s="41">
        <v>1277167000</v>
      </c>
      <c r="I192" s="42">
        <v>5085</v>
      </c>
    </row>
    <row r="193" spans="1:9" x14ac:dyDescent="0.25">
      <c r="A193" t="s">
        <v>9</v>
      </c>
      <c r="B193" s="39">
        <v>46164</v>
      </c>
      <c r="C193" s="40">
        <v>0.58333333333333337</v>
      </c>
      <c r="D193" s="41">
        <v>5028</v>
      </c>
      <c r="E193" s="41">
        <v>5030.5</v>
      </c>
      <c r="F193" s="41">
        <v>5019</v>
      </c>
      <c r="G193" s="41">
        <v>5020</v>
      </c>
      <c r="H193" s="41">
        <v>4551386750</v>
      </c>
      <c r="I193" s="42">
        <v>18110</v>
      </c>
    </row>
    <row r="194" spans="1:9" x14ac:dyDescent="0.25">
      <c r="A194" t="s">
        <v>9</v>
      </c>
      <c r="B194" s="39">
        <v>46164</v>
      </c>
      <c r="C194" s="40">
        <v>0.5625</v>
      </c>
      <c r="D194" s="41">
        <v>5031</v>
      </c>
      <c r="E194" s="41">
        <v>5034</v>
      </c>
      <c r="F194" s="41">
        <v>5028.5</v>
      </c>
      <c r="G194" s="41">
        <v>5028.5</v>
      </c>
      <c r="H194" s="41">
        <v>2104228125</v>
      </c>
      <c r="I194" s="42">
        <v>8365</v>
      </c>
    </row>
    <row r="195" spans="1:9" x14ac:dyDescent="0.25">
      <c r="A195" t="s">
        <v>9</v>
      </c>
      <c r="B195" s="39">
        <v>46164</v>
      </c>
      <c r="C195" s="40">
        <v>0.54166666666666663</v>
      </c>
      <c r="D195" s="41">
        <v>5031</v>
      </c>
      <c r="E195" s="41">
        <v>5038.5</v>
      </c>
      <c r="F195" s="41">
        <v>5028.5</v>
      </c>
      <c r="G195" s="41">
        <v>5031.5</v>
      </c>
      <c r="H195" s="41">
        <v>2722141250</v>
      </c>
      <c r="I195" s="42">
        <v>10815</v>
      </c>
    </row>
    <row r="196" spans="1:9" x14ac:dyDescent="0.25">
      <c r="A196" t="s">
        <v>9</v>
      </c>
      <c r="B196" s="39">
        <v>46164</v>
      </c>
      <c r="C196" s="40">
        <v>0.52083333333333337</v>
      </c>
      <c r="D196" s="41">
        <v>5030</v>
      </c>
      <c r="E196" s="41">
        <v>5033</v>
      </c>
      <c r="F196" s="41">
        <v>5027.5</v>
      </c>
      <c r="G196" s="41">
        <v>5031.5</v>
      </c>
      <c r="H196" s="41">
        <v>1017261625</v>
      </c>
      <c r="I196" s="42">
        <v>4045</v>
      </c>
    </row>
    <row r="197" spans="1:9" x14ac:dyDescent="0.25">
      <c r="A197" t="s">
        <v>9</v>
      </c>
      <c r="B197" s="39">
        <v>46164</v>
      </c>
      <c r="C197" s="40">
        <v>0.5</v>
      </c>
      <c r="D197" s="41">
        <v>5034</v>
      </c>
      <c r="E197" s="41">
        <v>5035.5</v>
      </c>
      <c r="F197" s="41">
        <v>5026</v>
      </c>
      <c r="G197" s="41">
        <v>5030</v>
      </c>
      <c r="H197" s="41">
        <v>2737058750</v>
      </c>
      <c r="I197" s="42">
        <v>10880</v>
      </c>
    </row>
    <row r="198" spans="1:9" x14ac:dyDescent="0.25">
      <c r="A198" t="s">
        <v>9</v>
      </c>
      <c r="B198" s="39">
        <v>46164</v>
      </c>
      <c r="C198" s="40">
        <v>0.47916666666666669</v>
      </c>
      <c r="D198" s="41">
        <v>5025.5</v>
      </c>
      <c r="E198" s="41">
        <v>5034</v>
      </c>
      <c r="F198" s="41">
        <v>5020</v>
      </c>
      <c r="G198" s="41">
        <v>5033.5</v>
      </c>
      <c r="H198" s="41">
        <v>2509388500</v>
      </c>
      <c r="I198" s="42">
        <v>9985</v>
      </c>
    </row>
    <row r="199" spans="1:9" x14ac:dyDescent="0.25">
      <c r="A199" t="s">
        <v>9</v>
      </c>
      <c r="B199" s="39">
        <v>46164</v>
      </c>
      <c r="C199" s="40">
        <v>0.45833333333333331</v>
      </c>
      <c r="D199" s="41">
        <v>5015</v>
      </c>
      <c r="E199" s="41">
        <v>5029.5</v>
      </c>
      <c r="F199" s="41">
        <v>5015</v>
      </c>
      <c r="G199" s="41">
        <v>5025</v>
      </c>
      <c r="H199" s="41">
        <v>3476403750</v>
      </c>
      <c r="I199" s="42">
        <v>13840</v>
      </c>
    </row>
    <row r="200" spans="1:9" x14ac:dyDescent="0.25">
      <c r="A200" t="s">
        <v>9</v>
      </c>
      <c r="B200" s="39">
        <v>46164</v>
      </c>
      <c r="C200" s="40">
        <v>0.4375</v>
      </c>
      <c r="D200" s="41">
        <v>5015.5</v>
      </c>
      <c r="E200" s="41">
        <v>5024</v>
      </c>
      <c r="F200" s="41">
        <v>5011</v>
      </c>
      <c r="G200" s="41">
        <v>5014.5</v>
      </c>
      <c r="H200" s="41">
        <v>5015839875</v>
      </c>
      <c r="I200" s="42">
        <v>19995</v>
      </c>
    </row>
    <row r="201" spans="1:9" x14ac:dyDescent="0.25">
      <c r="A201" t="s">
        <v>9</v>
      </c>
      <c r="B201" s="39">
        <v>46164</v>
      </c>
      <c r="C201" s="40">
        <v>0.41666666666666669</v>
      </c>
      <c r="D201" s="41">
        <v>5004.5</v>
      </c>
      <c r="E201" s="41">
        <v>5017.5</v>
      </c>
      <c r="F201" s="41">
        <v>5004</v>
      </c>
      <c r="G201" s="41">
        <v>5016</v>
      </c>
      <c r="H201" s="41">
        <v>2536342250</v>
      </c>
      <c r="I201" s="42">
        <v>10120</v>
      </c>
    </row>
    <row r="202" spans="1:9" x14ac:dyDescent="0.25">
      <c r="A202" t="s">
        <v>9</v>
      </c>
      <c r="B202" s="39">
        <v>46164</v>
      </c>
      <c r="C202" s="40">
        <v>0.39583333333333331</v>
      </c>
      <c r="D202" s="41">
        <v>5017</v>
      </c>
      <c r="E202" s="41">
        <v>5027.5</v>
      </c>
      <c r="F202" s="41">
        <v>5004</v>
      </c>
      <c r="G202" s="41">
        <v>5004.5</v>
      </c>
      <c r="H202" s="41">
        <v>2016695375</v>
      </c>
      <c r="I202" s="42">
        <v>8040</v>
      </c>
    </row>
    <row r="203" spans="1:9" x14ac:dyDescent="0.25">
      <c r="A203" t="s">
        <v>9</v>
      </c>
      <c r="B203" s="39">
        <v>46164</v>
      </c>
      <c r="C203" s="40">
        <v>0.375</v>
      </c>
      <c r="D203" s="41">
        <v>5020</v>
      </c>
      <c r="E203" s="41">
        <v>5026.5</v>
      </c>
      <c r="F203" s="41">
        <v>5008.5</v>
      </c>
      <c r="G203" s="41">
        <v>5016.5</v>
      </c>
      <c r="H203" s="41">
        <v>2157751750</v>
      </c>
      <c r="I203" s="42">
        <v>8600</v>
      </c>
    </row>
    <row r="204" spans="1:9" x14ac:dyDescent="0.25">
      <c r="A204" t="s">
        <v>9</v>
      </c>
      <c r="B204" s="39">
        <v>46163</v>
      </c>
      <c r="C204" s="40">
        <v>0.75</v>
      </c>
      <c r="D204" s="41">
        <v>5013</v>
      </c>
      <c r="E204" s="41">
        <v>5018</v>
      </c>
      <c r="F204" s="41">
        <v>5012.5</v>
      </c>
      <c r="G204" s="41">
        <v>5016</v>
      </c>
      <c r="H204" s="41">
        <v>359842125</v>
      </c>
      <c r="I204" s="42">
        <v>1435</v>
      </c>
    </row>
    <row r="205" spans="1:9" x14ac:dyDescent="0.25">
      <c r="A205" t="s">
        <v>9</v>
      </c>
      <c r="B205" s="39">
        <v>46163</v>
      </c>
      <c r="C205" s="40">
        <v>0.72916666666666663</v>
      </c>
      <c r="D205" s="41">
        <v>5010.5</v>
      </c>
      <c r="E205" s="41">
        <v>5015</v>
      </c>
      <c r="F205" s="41">
        <v>5010.5</v>
      </c>
      <c r="G205" s="41">
        <v>5013.5</v>
      </c>
      <c r="H205" s="41">
        <v>670531125</v>
      </c>
      <c r="I205" s="42">
        <v>2675</v>
      </c>
    </row>
    <row r="206" spans="1:9" x14ac:dyDescent="0.25">
      <c r="A206" t="s">
        <v>9</v>
      </c>
      <c r="B206" s="39">
        <v>46163</v>
      </c>
      <c r="C206" s="40">
        <v>0.70833333333333337</v>
      </c>
      <c r="D206" s="41">
        <v>5009.5</v>
      </c>
      <c r="E206" s="41">
        <v>5013</v>
      </c>
      <c r="F206" s="41">
        <v>5008.5</v>
      </c>
      <c r="G206" s="41">
        <v>5010</v>
      </c>
      <c r="H206" s="41">
        <v>914402875</v>
      </c>
      <c r="I206" s="42">
        <v>3650</v>
      </c>
    </row>
    <row r="207" spans="1:9" x14ac:dyDescent="0.25">
      <c r="A207" t="s">
        <v>9</v>
      </c>
      <c r="B207" s="39">
        <v>46163</v>
      </c>
      <c r="C207" s="40">
        <v>0.6875</v>
      </c>
      <c r="D207" s="41">
        <v>5005</v>
      </c>
      <c r="E207" s="41">
        <v>5012</v>
      </c>
      <c r="F207" s="41">
        <v>5003.5</v>
      </c>
      <c r="G207" s="41">
        <v>5009.5</v>
      </c>
      <c r="H207" s="41">
        <v>1657207250</v>
      </c>
      <c r="I207" s="42">
        <v>6620</v>
      </c>
    </row>
    <row r="208" spans="1:9" x14ac:dyDescent="0.25">
      <c r="A208" t="s">
        <v>9</v>
      </c>
      <c r="B208" s="39">
        <v>46163</v>
      </c>
      <c r="C208" s="40">
        <v>0.66666666666666663</v>
      </c>
      <c r="D208" s="41">
        <v>5009.5</v>
      </c>
      <c r="E208" s="41">
        <v>5009.5</v>
      </c>
      <c r="F208" s="41">
        <v>5004.5</v>
      </c>
      <c r="G208" s="41">
        <v>5005</v>
      </c>
      <c r="H208" s="41">
        <v>1935224125</v>
      </c>
      <c r="I208" s="42">
        <v>7730</v>
      </c>
    </row>
    <row r="209" spans="1:9" x14ac:dyDescent="0.25">
      <c r="A209" t="s">
        <v>9</v>
      </c>
      <c r="B209" s="39">
        <v>46163</v>
      </c>
      <c r="C209" s="40">
        <v>0.64583333333333337</v>
      </c>
      <c r="D209" s="41">
        <v>4999</v>
      </c>
      <c r="E209" s="41">
        <v>5014</v>
      </c>
      <c r="F209" s="41">
        <v>4997.5</v>
      </c>
      <c r="G209" s="41">
        <v>5009.5</v>
      </c>
      <c r="H209" s="41">
        <v>5227010750</v>
      </c>
      <c r="I209" s="42">
        <v>20880</v>
      </c>
    </row>
    <row r="210" spans="1:9" x14ac:dyDescent="0.25">
      <c r="A210" t="s">
        <v>9</v>
      </c>
      <c r="B210" s="39">
        <v>46163</v>
      </c>
      <c r="C210" s="40">
        <v>0.625</v>
      </c>
      <c r="D210" s="41">
        <v>5000.5</v>
      </c>
      <c r="E210" s="41">
        <v>5004</v>
      </c>
      <c r="F210" s="41">
        <v>4997.5</v>
      </c>
      <c r="G210" s="41">
        <v>4999</v>
      </c>
      <c r="H210" s="41">
        <v>5667532750</v>
      </c>
      <c r="I210" s="42">
        <v>22670</v>
      </c>
    </row>
    <row r="211" spans="1:9" x14ac:dyDescent="0.25">
      <c r="A211" t="s">
        <v>9</v>
      </c>
      <c r="B211" s="39">
        <v>46163</v>
      </c>
      <c r="C211" s="40">
        <v>0.60416666666666663</v>
      </c>
      <c r="D211" s="41">
        <v>4996</v>
      </c>
      <c r="E211" s="41">
        <v>5001.5</v>
      </c>
      <c r="F211" s="41">
        <v>4994</v>
      </c>
      <c r="G211" s="41">
        <v>5000</v>
      </c>
      <c r="H211" s="41">
        <v>2301072500</v>
      </c>
      <c r="I211" s="42">
        <v>9210</v>
      </c>
    </row>
    <row r="212" spans="1:9" x14ac:dyDescent="0.25">
      <c r="A212" t="s">
        <v>9</v>
      </c>
      <c r="B212" s="39">
        <v>46163</v>
      </c>
      <c r="C212" s="40">
        <v>0.58333333333333337</v>
      </c>
      <c r="D212" s="41">
        <v>5018.5</v>
      </c>
      <c r="E212" s="41">
        <v>5020</v>
      </c>
      <c r="F212" s="41">
        <v>4992</v>
      </c>
      <c r="G212" s="41">
        <v>4996</v>
      </c>
      <c r="H212" s="41">
        <v>4257031500</v>
      </c>
      <c r="I212" s="42">
        <v>17015</v>
      </c>
    </row>
    <row r="213" spans="1:9" x14ac:dyDescent="0.25">
      <c r="A213" t="s">
        <v>9</v>
      </c>
      <c r="B213" s="39">
        <v>46163</v>
      </c>
      <c r="C213" s="40">
        <v>0.5625</v>
      </c>
      <c r="D213" s="41">
        <v>5019.5</v>
      </c>
      <c r="E213" s="41">
        <v>5020</v>
      </c>
      <c r="F213" s="41">
        <v>5017</v>
      </c>
      <c r="G213" s="41">
        <v>5019</v>
      </c>
      <c r="H213" s="41">
        <v>520646125</v>
      </c>
      <c r="I213" s="42">
        <v>2075</v>
      </c>
    </row>
    <row r="214" spans="1:9" x14ac:dyDescent="0.25">
      <c r="A214" t="s">
        <v>9</v>
      </c>
      <c r="B214" s="39">
        <v>46163</v>
      </c>
      <c r="C214" s="40">
        <v>0.54166666666666663</v>
      </c>
      <c r="D214" s="41">
        <v>5012.5</v>
      </c>
      <c r="E214" s="41">
        <v>5022.5</v>
      </c>
      <c r="F214" s="41">
        <v>5011.5</v>
      </c>
      <c r="G214" s="41">
        <v>5020.5</v>
      </c>
      <c r="H214" s="41">
        <v>4048101625</v>
      </c>
      <c r="I214" s="42">
        <v>16135</v>
      </c>
    </row>
    <row r="215" spans="1:9" x14ac:dyDescent="0.25">
      <c r="A215" t="s">
        <v>9</v>
      </c>
      <c r="B215" s="39">
        <v>46163</v>
      </c>
      <c r="C215" s="40">
        <v>0.52083333333333337</v>
      </c>
      <c r="D215" s="41">
        <v>5015.5</v>
      </c>
      <c r="E215" s="41">
        <v>5016.5</v>
      </c>
      <c r="F215" s="41">
        <v>5012</v>
      </c>
      <c r="G215" s="41">
        <v>5013.5</v>
      </c>
      <c r="H215" s="41">
        <v>1990669250</v>
      </c>
      <c r="I215" s="42">
        <v>7940</v>
      </c>
    </row>
    <row r="216" spans="1:9" x14ac:dyDescent="0.25">
      <c r="A216" t="s">
        <v>9</v>
      </c>
      <c r="B216" s="39">
        <v>46163</v>
      </c>
      <c r="C216" s="40">
        <v>0.5</v>
      </c>
      <c r="D216" s="41">
        <v>5016.5</v>
      </c>
      <c r="E216" s="41">
        <v>5025.5</v>
      </c>
      <c r="F216" s="41">
        <v>5013.5</v>
      </c>
      <c r="G216" s="41">
        <v>5016</v>
      </c>
      <c r="H216" s="41">
        <v>1554484250</v>
      </c>
      <c r="I216" s="42">
        <v>6195</v>
      </c>
    </row>
    <row r="217" spans="1:9" x14ac:dyDescent="0.25">
      <c r="A217" t="s">
        <v>9</v>
      </c>
      <c r="B217" s="39">
        <v>46163</v>
      </c>
      <c r="C217" s="40">
        <v>0.47916666666666669</v>
      </c>
      <c r="D217" s="41">
        <v>5020.5</v>
      </c>
      <c r="E217" s="41">
        <v>5023.5</v>
      </c>
      <c r="F217" s="41">
        <v>5014</v>
      </c>
      <c r="G217" s="41">
        <v>5017</v>
      </c>
      <c r="H217" s="41">
        <v>4539821750</v>
      </c>
      <c r="I217" s="42">
        <v>18085</v>
      </c>
    </row>
    <row r="218" spans="1:9" x14ac:dyDescent="0.25">
      <c r="A218" t="s">
        <v>9</v>
      </c>
      <c r="B218" s="39">
        <v>46163</v>
      </c>
      <c r="C218" s="40">
        <v>0.45833333333333331</v>
      </c>
      <c r="D218" s="41">
        <v>5018.5</v>
      </c>
      <c r="E218" s="41">
        <v>5021.5</v>
      </c>
      <c r="F218" s="41">
        <v>5015.5</v>
      </c>
      <c r="G218" s="41">
        <v>5021.5</v>
      </c>
      <c r="H218" s="41">
        <v>7680092375</v>
      </c>
      <c r="I218" s="42">
        <v>30605</v>
      </c>
    </row>
    <row r="219" spans="1:9" x14ac:dyDescent="0.25">
      <c r="A219" t="s">
        <v>9</v>
      </c>
      <c r="B219" s="39">
        <v>46163</v>
      </c>
      <c r="C219" s="40">
        <v>0.4375</v>
      </c>
      <c r="D219" s="41">
        <v>5028.5</v>
      </c>
      <c r="E219" s="41">
        <v>5033.5</v>
      </c>
      <c r="F219" s="41">
        <v>5013</v>
      </c>
      <c r="G219" s="41">
        <v>5018.5</v>
      </c>
      <c r="H219" s="41">
        <v>3853012000</v>
      </c>
      <c r="I219" s="42">
        <v>15340</v>
      </c>
    </row>
    <row r="220" spans="1:9" x14ac:dyDescent="0.25">
      <c r="A220" t="s">
        <v>9</v>
      </c>
      <c r="B220" s="39">
        <v>46163</v>
      </c>
      <c r="C220" s="40">
        <v>0.41666666666666669</v>
      </c>
      <c r="D220" s="41">
        <v>5029.5</v>
      </c>
      <c r="E220" s="41">
        <v>5031</v>
      </c>
      <c r="F220" s="41">
        <v>5019</v>
      </c>
      <c r="G220" s="41">
        <v>5028.5</v>
      </c>
      <c r="H220" s="41">
        <v>4109279750</v>
      </c>
      <c r="I220" s="42">
        <v>16355</v>
      </c>
    </row>
    <row r="221" spans="1:9" x14ac:dyDescent="0.25">
      <c r="A221" t="s">
        <v>9</v>
      </c>
      <c r="B221" s="39">
        <v>46163</v>
      </c>
      <c r="C221" s="40">
        <v>0.39583333333333331</v>
      </c>
      <c r="D221" s="41">
        <v>5033.5</v>
      </c>
      <c r="E221" s="41">
        <v>5034</v>
      </c>
      <c r="F221" s="41">
        <v>5019</v>
      </c>
      <c r="G221" s="41">
        <v>5029.5</v>
      </c>
      <c r="H221" s="41">
        <v>3160700375</v>
      </c>
      <c r="I221" s="42">
        <v>12575</v>
      </c>
    </row>
    <row r="222" spans="1:9" x14ac:dyDescent="0.25">
      <c r="A222" t="s">
        <v>9</v>
      </c>
      <c r="B222" s="39">
        <v>46163</v>
      </c>
      <c r="C222" s="40">
        <v>0.375</v>
      </c>
      <c r="D222" s="41">
        <v>5028</v>
      </c>
      <c r="E222" s="41">
        <v>5033.5</v>
      </c>
      <c r="F222" s="41">
        <v>5017</v>
      </c>
      <c r="G222" s="41">
        <v>5033.5</v>
      </c>
      <c r="H222" s="41">
        <v>1426951125</v>
      </c>
      <c r="I222" s="42">
        <v>5680</v>
      </c>
    </row>
    <row r="223" spans="1:9" x14ac:dyDescent="0.25">
      <c r="A223" t="s">
        <v>9</v>
      </c>
      <c r="B223" s="39">
        <v>46162</v>
      </c>
      <c r="C223" s="40">
        <v>0.75</v>
      </c>
      <c r="D223" s="41">
        <v>5011</v>
      </c>
      <c r="E223" s="41">
        <v>5012.5</v>
      </c>
      <c r="F223" s="41">
        <v>5004</v>
      </c>
      <c r="G223" s="41">
        <v>5008.5</v>
      </c>
      <c r="H223" s="41">
        <v>1180605625</v>
      </c>
      <c r="I223" s="42">
        <v>4715</v>
      </c>
    </row>
    <row r="224" spans="1:9" x14ac:dyDescent="0.25">
      <c r="A224" t="s">
        <v>9</v>
      </c>
      <c r="B224" s="39">
        <v>46162</v>
      </c>
      <c r="C224" s="40">
        <v>0.72916666666666663</v>
      </c>
      <c r="D224" s="41">
        <v>5016</v>
      </c>
      <c r="E224" s="41">
        <v>5016</v>
      </c>
      <c r="F224" s="41">
        <v>5008.5</v>
      </c>
      <c r="G224" s="41">
        <v>5011.5</v>
      </c>
      <c r="H224" s="41">
        <v>843196875</v>
      </c>
      <c r="I224" s="42">
        <v>3365</v>
      </c>
    </row>
    <row r="225" spans="1:9" x14ac:dyDescent="0.25">
      <c r="A225" t="s">
        <v>9</v>
      </c>
      <c r="B225" s="39">
        <v>46162</v>
      </c>
      <c r="C225" s="40">
        <v>0.70833333333333337</v>
      </c>
      <c r="D225" s="41">
        <v>5015</v>
      </c>
      <c r="E225" s="41">
        <v>5016</v>
      </c>
      <c r="F225" s="41">
        <v>5012.5</v>
      </c>
      <c r="G225" s="41">
        <v>5016</v>
      </c>
      <c r="H225" s="41">
        <v>2320098750</v>
      </c>
      <c r="I225" s="42">
        <v>9255</v>
      </c>
    </row>
    <row r="226" spans="1:9" x14ac:dyDescent="0.25">
      <c r="A226" t="s">
        <v>9</v>
      </c>
      <c r="B226" s="39">
        <v>46162</v>
      </c>
      <c r="C226" s="40">
        <v>0.6875</v>
      </c>
      <c r="D226" s="41">
        <v>5013</v>
      </c>
      <c r="E226" s="41">
        <v>5015.5</v>
      </c>
      <c r="F226" s="41">
        <v>5011.5</v>
      </c>
      <c r="G226" s="41">
        <v>5015</v>
      </c>
      <c r="H226" s="41">
        <v>1126821500</v>
      </c>
      <c r="I226" s="42">
        <v>4495</v>
      </c>
    </row>
    <row r="227" spans="1:9" x14ac:dyDescent="0.25">
      <c r="A227" t="s">
        <v>9</v>
      </c>
      <c r="B227" s="39">
        <v>46162</v>
      </c>
      <c r="C227" s="40">
        <v>0.66666666666666663</v>
      </c>
      <c r="D227" s="41">
        <v>5014.5</v>
      </c>
      <c r="E227" s="41">
        <v>5014.5</v>
      </c>
      <c r="F227" s="41">
        <v>5011.5</v>
      </c>
      <c r="G227" s="41">
        <v>5013</v>
      </c>
      <c r="H227" s="41">
        <v>2666931875</v>
      </c>
      <c r="I227" s="42">
        <v>10640</v>
      </c>
    </row>
    <row r="228" spans="1:9" x14ac:dyDescent="0.25">
      <c r="A228" t="s">
        <v>9</v>
      </c>
      <c r="B228" s="39">
        <v>46162</v>
      </c>
      <c r="C228" s="40">
        <v>0.64583333333333337</v>
      </c>
      <c r="D228" s="41">
        <v>5015</v>
      </c>
      <c r="E228" s="41">
        <v>5017</v>
      </c>
      <c r="F228" s="41">
        <v>5012.5</v>
      </c>
      <c r="G228" s="41">
        <v>5014</v>
      </c>
      <c r="H228" s="41">
        <v>2109597250</v>
      </c>
      <c r="I228" s="42">
        <v>8415</v>
      </c>
    </row>
    <row r="229" spans="1:9" x14ac:dyDescent="0.25">
      <c r="A229" t="s">
        <v>9</v>
      </c>
      <c r="B229" s="39">
        <v>46162</v>
      </c>
      <c r="C229" s="40">
        <v>0.625</v>
      </c>
      <c r="D229" s="41">
        <v>5019</v>
      </c>
      <c r="E229" s="41">
        <v>5020.5</v>
      </c>
      <c r="F229" s="41">
        <v>5014.5</v>
      </c>
      <c r="G229" s="41">
        <v>5015.5</v>
      </c>
      <c r="H229" s="41">
        <v>1608085375</v>
      </c>
      <c r="I229" s="42">
        <v>6410</v>
      </c>
    </row>
    <row r="230" spans="1:9" x14ac:dyDescent="0.25">
      <c r="A230" t="s">
        <v>9</v>
      </c>
      <c r="B230" s="39">
        <v>46162</v>
      </c>
      <c r="C230" s="40">
        <v>0.60416666666666663</v>
      </c>
      <c r="D230" s="41">
        <v>5016.5</v>
      </c>
      <c r="E230" s="41">
        <v>5020</v>
      </c>
      <c r="F230" s="41">
        <v>5015.5</v>
      </c>
      <c r="G230" s="41">
        <v>5018.5</v>
      </c>
      <c r="H230" s="41">
        <v>1050108875</v>
      </c>
      <c r="I230" s="42">
        <v>4185</v>
      </c>
    </row>
    <row r="231" spans="1:9" x14ac:dyDescent="0.25">
      <c r="A231" t="s">
        <v>9</v>
      </c>
      <c r="B231" s="39">
        <v>46162</v>
      </c>
      <c r="C231" s="40">
        <v>0.58333333333333337</v>
      </c>
      <c r="D231" s="41">
        <v>5019</v>
      </c>
      <c r="E231" s="41">
        <v>5020</v>
      </c>
      <c r="F231" s="41">
        <v>5016.5</v>
      </c>
      <c r="G231" s="41">
        <v>5017</v>
      </c>
      <c r="H231" s="41">
        <v>2349606125</v>
      </c>
      <c r="I231" s="42">
        <v>9365</v>
      </c>
    </row>
    <row r="232" spans="1:9" x14ac:dyDescent="0.25">
      <c r="A232" t="s">
        <v>9</v>
      </c>
      <c r="B232" s="39">
        <v>46162</v>
      </c>
      <c r="C232" s="40">
        <v>0.5625</v>
      </c>
      <c r="D232" s="41">
        <v>5026</v>
      </c>
      <c r="E232" s="41">
        <v>5027.5</v>
      </c>
      <c r="F232" s="41">
        <v>5018</v>
      </c>
      <c r="G232" s="41">
        <v>5018.5</v>
      </c>
      <c r="H232" s="41">
        <v>1921714750</v>
      </c>
      <c r="I232" s="42">
        <v>7650</v>
      </c>
    </row>
    <row r="233" spans="1:9" x14ac:dyDescent="0.25">
      <c r="A233" t="s">
        <v>9</v>
      </c>
      <c r="B233" s="39">
        <v>46162</v>
      </c>
      <c r="C233" s="40">
        <v>0.54166666666666663</v>
      </c>
      <c r="D233" s="41">
        <v>5029</v>
      </c>
      <c r="E233" s="41">
        <v>5030</v>
      </c>
      <c r="F233" s="41">
        <v>5021.5</v>
      </c>
      <c r="G233" s="41">
        <v>5026.5</v>
      </c>
      <c r="H233" s="41">
        <v>2199053375</v>
      </c>
      <c r="I233" s="42">
        <v>8750</v>
      </c>
    </row>
    <row r="234" spans="1:9" x14ac:dyDescent="0.25">
      <c r="A234" t="s">
        <v>9</v>
      </c>
      <c r="B234" s="39">
        <v>46162</v>
      </c>
      <c r="C234" s="40">
        <v>0.52083333333333337</v>
      </c>
      <c r="D234" s="41">
        <v>5025</v>
      </c>
      <c r="E234" s="41">
        <v>5030</v>
      </c>
      <c r="F234" s="41">
        <v>5019</v>
      </c>
      <c r="G234" s="41">
        <v>5028</v>
      </c>
      <c r="H234" s="41">
        <v>3205160250</v>
      </c>
      <c r="I234" s="42">
        <v>12760</v>
      </c>
    </row>
    <row r="235" spans="1:9" x14ac:dyDescent="0.25">
      <c r="A235" t="s">
        <v>9</v>
      </c>
      <c r="B235" s="39">
        <v>46162</v>
      </c>
      <c r="C235" s="40">
        <v>0.5</v>
      </c>
      <c r="D235" s="41">
        <v>5027.5</v>
      </c>
      <c r="E235" s="41">
        <v>5030</v>
      </c>
      <c r="F235" s="41">
        <v>5014.5</v>
      </c>
      <c r="G235" s="41">
        <v>5025</v>
      </c>
      <c r="H235" s="41">
        <v>3982270875</v>
      </c>
      <c r="I235" s="42">
        <v>15860</v>
      </c>
    </row>
    <row r="236" spans="1:9" x14ac:dyDescent="0.25">
      <c r="A236" t="s">
        <v>9</v>
      </c>
      <c r="B236" s="39">
        <v>46162</v>
      </c>
      <c r="C236" s="40">
        <v>0.47916666666666669</v>
      </c>
      <c r="D236" s="41">
        <v>5032</v>
      </c>
      <c r="E236" s="41">
        <v>5035.5</v>
      </c>
      <c r="F236" s="41">
        <v>5020.5</v>
      </c>
      <c r="G236" s="41">
        <v>5027.5</v>
      </c>
      <c r="H236" s="41">
        <v>3856662000</v>
      </c>
      <c r="I236" s="42">
        <v>15335</v>
      </c>
    </row>
    <row r="237" spans="1:9" x14ac:dyDescent="0.25">
      <c r="A237" t="s">
        <v>9</v>
      </c>
      <c r="B237" s="39">
        <v>46162</v>
      </c>
      <c r="C237" s="40">
        <v>0.45833333333333331</v>
      </c>
      <c r="D237" s="41">
        <v>5059</v>
      </c>
      <c r="E237" s="41">
        <v>5059.5</v>
      </c>
      <c r="F237" s="41">
        <v>5024</v>
      </c>
      <c r="G237" s="41">
        <v>5031</v>
      </c>
      <c r="H237" s="41">
        <v>6842518250</v>
      </c>
      <c r="I237" s="42">
        <v>27165</v>
      </c>
    </row>
    <row r="238" spans="1:9" x14ac:dyDescent="0.25">
      <c r="A238" t="s">
        <v>9</v>
      </c>
      <c r="B238" s="39">
        <v>46162</v>
      </c>
      <c r="C238" s="40">
        <v>0.4375</v>
      </c>
      <c r="D238" s="41">
        <v>5066.5</v>
      </c>
      <c r="E238" s="41">
        <v>5066.5</v>
      </c>
      <c r="F238" s="41">
        <v>5054.5</v>
      </c>
      <c r="G238" s="41">
        <v>5059</v>
      </c>
      <c r="H238" s="41">
        <v>3222018500</v>
      </c>
      <c r="I238" s="42">
        <v>12735</v>
      </c>
    </row>
    <row r="239" spans="1:9" x14ac:dyDescent="0.25">
      <c r="A239" t="s">
        <v>9</v>
      </c>
      <c r="B239" s="39">
        <v>46162</v>
      </c>
      <c r="C239" s="40">
        <v>0.41666666666666669</v>
      </c>
      <c r="D239" s="41">
        <v>5062</v>
      </c>
      <c r="E239" s="41">
        <v>5070.5</v>
      </c>
      <c r="F239" s="41">
        <v>5057.5</v>
      </c>
      <c r="G239" s="41">
        <v>5066.5</v>
      </c>
      <c r="H239" s="41">
        <v>4577795250</v>
      </c>
      <c r="I239" s="42">
        <v>18080</v>
      </c>
    </row>
    <row r="240" spans="1:9" x14ac:dyDescent="0.25">
      <c r="A240" t="s">
        <v>9</v>
      </c>
      <c r="B240" s="39">
        <v>46162</v>
      </c>
      <c r="C240" s="40">
        <v>0.39583333333333331</v>
      </c>
      <c r="D240" s="41">
        <v>5046</v>
      </c>
      <c r="E240" s="41">
        <v>5065.5</v>
      </c>
      <c r="F240" s="41">
        <v>5043</v>
      </c>
      <c r="G240" s="41">
        <v>5062</v>
      </c>
      <c r="H240" s="41">
        <v>2714885375</v>
      </c>
      <c r="I240" s="42">
        <v>10745</v>
      </c>
    </row>
    <row r="241" spans="1:9" x14ac:dyDescent="0.25">
      <c r="A241" t="s">
        <v>9</v>
      </c>
      <c r="B241" s="39">
        <v>46162</v>
      </c>
      <c r="C241" s="40">
        <v>0.375</v>
      </c>
      <c r="D241" s="41">
        <v>5042</v>
      </c>
      <c r="E241" s="41">
        <v>5050.5</v>
      </c>
      <c r="F241" s="41">
        <v>5037</v>
      </c>
      <c r="G241" s="41">
        <v>5045.5</v>
      </c>
      <c r="H241" s="41">
        <v>3106464125</v>
      </c>
      <c r="I241" s="42">
        <v>12320</v>
      </c>
    </row>
    <row r="242" spans="1:9" x14ac:dyDescent="0.25">
      <c r="A242" t="s">
        <v>9</v>
      </c>
      <c r="B242" s="39">
        <v>46161</v>
      </c>
      <c r="C242" s="40">
        <v>0.75</v>
      </c>
      <c r="D242" s="41">
        <v>5063.5</v>
      </c>
      <c r="E242" s="41">
        <v>5063.5</v>
      </c>
      <c r="F242" s="41">
        <v>5057</v>
      </c>
      <c r="G242" s="41">
        <v>5061</v>
      </c>
      <c r="H242" s="41">
        <v>432517625</v>
      </c>
      <c r="I242" s="42">
        <v>1710</v>
      </c>
    </row>
    <row r="243" spans="1:9" x14ac:dyDescent="0.25">
      <c r="A243" t="s">
        <v>9</v>
      </c>
      <c r="B243" s="39">
        <v>46161</v>
      </c>
      <c r="C243" s="40">
        <v>0.72916666666666663</v>
      </c>
      <c r="D243" s="41">
        <v>5053.5</v>
      </c>
      <c r="E243" s="41">
        <v>5064.5</v>
      </c>
      <c r="F243" s="41">
        <v>5053</v>
      </c>
      <c r="G243" s="41">
        <v>5062</v>
      </c>
      <c r="H243" s="41">
        <v>1045995000</v>
      </c>
      <c r="I243" s="42">
        <v>4135</v>
      </c>
    </row>
    <row r="244" spans="1:9" x14ac:dyDescent="0.25">
      <c r="A244" t="s">
        <v>9</v>
      </c>
      <c r="B244" s="39">
        <v>46161</v>
      </c>
      <c r="C244" s="40">
        <v>0.70833333333333337</v>
      </c>
      <c r="D244" s="41">
        <v>5055.5</v>
      </c>
      <c r="E244" s="41">
        <v>5058</v>
      </c>
      <c r="F244" s="41">
        <v>5053</v>
      </c>
      <c r="G244" s="41">
        <v>5053.5</v>
      </c>
      <c r="H244" s="41">
        <v>2396877375</v>
      </c>
      <c r="I244" s="42">
        <v>9485</v>
      </c>
    </row>
    <row r="245" spans="1:9" x14ac:dyDescent="0.25">
      <c r="A245" t="s">
        <v>9</v>
      </c>
      <c r="B245" s="39">
        <v>46161</v>
      </c>
      <c r="C245" s="40">
        <v>0.6875</v>
      </c>
      <c r="D245" s="41">
        <v>5060</v>
      </c>
      <c r="E245" s="41">
        <v>5061.5</v>
      </c>
      <c r="F245" s="41">
        <v>5054.5</v>
      </c>
      <c r="G245" s="41">
        <v>5055.5</v>
      </c>
      <c r="H245" s="41">
        <v>1906274500</v>
      </c>
      <c r="I245" s="42">
        <v>7540</v>
      </c>
    </row>
    <row r="246" spans="1:9" x14ac:dyDescent="0.25">
      <c r="A246" t="s">
        <v>9</v>
      </c>
      <c r="B246" s="39">
        <v>46161</v>
      </c>
      <c r="C246" s="40">
        <v>0.66666666666666663</v>
      </c>
      <c r="D246" s="41">
        <v>5054.5</v>
      </c>
      <c r="E246" s="41">
        <v>5061.5</v>
      </c>
      <c r="F246" s="41">
        <v>5054</v>
      </c>
      <c r="G246" s="41">
        <v>5059.5</v>
      </c>
      <c r="H246" s="41">
        <v>2176994375</v>
      </c>
      <c r="I246" s="42">
        <v>8610</v>
      </c>
    </row>
    <row r="247" spans="1:9" x14ac:dyDescent="0.25">
      <c r="A247" t="s">
        <v>9</v>
      </c>
      <c r="B247" s="39">
        <v>46161</v>
      </c>
      <c r="C247" s="40">
        <v>0.64583333333333337</v>
      </c>
      <c r="D247" s="41">
        <v>5051</v>
      </c>
      <c r="E247" s="41">
        <v>5055.5</v>
      </c>
      <c r="F247" s="41">
        <v>5049.5</v>
      </c>
      <c r="G247" s="41">
        <v>5055</v>
      </c>
      <c r="H247" s="41">
        <v>4768870000</v>
      </c>
      <c r="I247" s="42">
        <v>18875</v>
      </c>
    </row>
    <row r="248" spans="1:9" x14ac:dyDescent="0.25">
      <c r="A248" t="s">
        <v>9</v>
      </c>
      <c r="B248" s="39">
        <v>46161</v>
      </c>
      <c r="C248" s="40">
        <v>0.625</v>
      </c>
      <c r="D248" s="41">
        <v>5046</v>
      </c>
      <c r="E248" s="41">
        <v>5058</v>
      </c>
      <c r="F248" s="41">
        <v>5046</v>
      </c>
      <c r="G248" s="41">
        <v>5050</v>
      </c>
      <c r="H248" s="41">
        <v>4393944625</v>
      </c>
      <c r="I248" s="42">
        <v>17390</v>
      </c>
    </row>
    <row r="249" spans="1:9" x14ac:dyDescent="0.25">
      <c r="A249" t="s">
        <v>9</v>
      </c>
      <c r="B249" s="39">
        <v>46161</v>
      </c>
      <c r="C249" s="40">
        <v>0.60416666666666663</v>
      </c>
      <c r="D249" s="41">
        <v>5045.5</v>
      </c>
      <c r="E249" s="41">
        <v>5049</v>
      </c>
      <c r="F249" s="41">
        <v>5044</v>
      </c>
      <c r="G249" s="41">
        <v>5046.5</v>
      </c>
      <c r="H249" s="41">
        <v>1439436125</v>
      </c>
      <c r="I249" s="42">
        <v>5705</v>
      </c>
    </row>
    <row r="250" spans="1:9" x14ac:dyDescent="0.25">
      <c r="A250" t="s">
        <v>9</v>
      </c>
      <c r="B250" s="39">
        <v>46161</v>
      </c>
      <c r="C250" s="40">
        <v>0.58333333333333337</v>
      </c>
      <c r="D250" s="41">
        <v>5047.5</v>
      </c>
      <c r="E250" s="41">
        <v>5049</v>
      </c>
      <c r="F250" s="41">
        <v>5042</v>
      </c>
      <c r="G250" s="41">
        <v>5045</v>
      </c>
      <c r="H250" s="41">
        <v>2552844875</v>
      </c>
      <c r="I250" s="42">
        <v>10120</v>
      </c>
    </row>
    <row r="251" spans="1:9" x14ac:dyDescent="0.25">
      <c r="A251" t="s">
        <v>9</v>
      </c>
      <c r="B251" s="39">
        <v>46161</v>
      </c>
      <c r="C251" s="40">
        <v>0.5625</v>
      </c>
      <c r="D251" s="41">
        <v>5051.5</v>
      </c>
      <c r="E251" s="41">
        <v>5053</v>
      </c>
      <c r="F251" s="41">
        <v>5045.5</v>
      </c>
      <c r="G251" s="41">
        <v>5047.5</v>
      </c>
      <c r="H251" s="41">
        <v>1238432000</v>
      </c>
      <c r="I251" s="42">
        <v>4905</v>
      </c>
    </row>
    <row r="252" spans="1:9" x14ac:dyDescent="0.25">
      <c r="A252" t="s">
        <v>9</v>
      </c>
      <c r="B252" s="39">
        <v>46161</v>
      </c>
      <c r="C252" s="40">
        <v>0.54166666666666663</v>
      </c>
      <c r="D252" s="41">
        <v>5059</v>
      </c>
      <c r="E252" s="41">
        <v>5063</v>
      </c>
      <c r="F252" s="41">
        <v>5051</v>
      </c>
      <c r="G252" s="41">
        <v>5051.5</v>
      </c>
      <c r="H252" s="41">
        <v>3257470750</v>
      </c>
      <c r="I252" s="42">
        <v>12880</v>
      </c>
    </row>
    <row r="253" spans="1:9" x14ac:dyDescent="0.25">
      <c r="A253" t="s">
        <v>9</v>
      </c>
      <c r="B253" s="39">
        <v>46161</v>
      </c>
      <c r="C253" s="40">
        <v>0.52083333333333337</v>
      </c>
      <c r="D253" s="41">
        <v>5069.5</v>
      </c>
      <c r="E253" s="41">
        <v>5069.5</v>
      </c>
      <c r="F253" s="41">
        <v>5057.5</v>
      </c>
      <c r="G253" s="41">
        <v>5058.5</v>
      </c>
      <c r="H253" s="41">
        <v>2104295250</v>
      </c>
      <c r="I253" s="42">
        <v>8310</v>
      </c>
    </row>
    <row r="254" spans="1:9" x14ac:dyDescent="0.25">
      <c r="A254" t="s">
        <v>9</v>
      </c>
      <c r="B254" s="39">
        <v>46161</v>
      </c>
      <c r="C254" s="40">
        <v>0.5</v>
      </c>
      <c r="D254" s="41">
        <v>5066</v>
      </c>
      <c r="E254" s="41">
        <v>5073</v>
      </c>
      <c r="F254" s="41">
        <v>5061</v>
      </c>
      <c r="G254" s="41">
        <v>5069.5</v>
      </c>
      <c r="H254" s="41">
        <v>3619203625</v>
      </c>
      <c r="I254" s="42">
        <v>14285</v>
      </c>
    </row>
    <row r="255" spans="1:9" x14ac:dyDescent="0.25">
      <c r="A255" t="s">
        <v>9</v>
      </c>
      <c r="B255" s="39">
        <v>46161</v>
      </c>
      <c r="C255" s="40">
        <v>0.47916666666666669</v>
      </c>
      <c r="D255" s="41">
        <v>5052</v>
      </c>
      <c r="E255" s="41">
        <v>5067</v>
      </c>
      <c r="F255" s="41">
        <v>5051</v>
      </c>
      <c r="G255" s="41">
        <v>5066</v>
      </c>
      <c r="H255" s="41">
        <v>4707687875</v>
      </c>
      <c r="I255" s="42">
        <v>18615</v>
      </c>
    </row>
    <row r="256" spans="1:9" x14ac:dyDescent="0.25">
      <c r="A256" t="s">
        <v>9</v>
      </c>
      <c r="B256" s="39">
        <v>46161</v>
      </c>
      <c r="C256" s="40">
        <v>0.45833333333333331</v>
      </c>
      <c r="D256" s="41">
        <v>5046.5</v>
      </c>
      <c r="E256" s="41">
        <v>5057</v>
      </c>
      <c r="F256" s="41">
        <v>5038</v>
      </c>
      <c r="G256" s="41">
        <v>5052</v>
      </c>
      <c r="H256" s="41">
        <v>3845341375</v>
      </c>
      <c r="I256" s="42">
        <v>15235</v>
      </c>
    </row>
    <row r="257" spans="1:9" x14ac:dyDescent="0.25">
      <c r="A257" t="s">
        <v>9</v>
      </c>
      <c r="B257" s="39">
        <v>46161</v>
      </c>
      <c r="C257" s="40">
        <v>0.4375</v>
      </c>
      <c r="D257" s="41">
        <v>5057.5</v>
      </c>
      <c r="E257" s="41">
        <v>5057.5</v>
      </c>
      <c r="F257" s="41">
        <v>5044</v>
      </c>
      <c r="G257" s="41">
        <v>5046</v>
      </c>
      <c r="H257" s="41">
        <v>4237090500</v>
      </c>
      <c r="I257" s="42">
        <v>16785</v>
      </c>
    </row>
    <row r="258" spans="1:9" x14ac:dyDescent="0.25">
      <c r="A258" t="s">
        <v>9</v>
      </c>
      <c r="B258" s="39">
        <v>46161</v>
      </c>
      <c r="C258" s="40">
        <v>0.41666666666666669</v>
      </c>
      <c r="D258" s="41">
        <v>5046</v>
      </c>
      <c r="E258" s="41">
        <v>5059.5</v>
      </c>
      <c r="F258" s="41">
        <v>5044</v>
      </c>
      <c r="G258" s="41">
        <v>5058</v>
      </c>
      <c r="H258" s="41">
        <v>6519013250</v>
      </c>
      <c r="I258" s="42">
        <v>25815</v>
      </c>
    </row>
    <row r="259" spans="1:9" x14ac:dyDescent="0.25">
      <c r="A259" t="s">
        <v>9</v>
      </c>
      <c r="B259" s="39">
        <v>46161</v>
      </c>
      <c r="C259" s="40">
        <v>0.39583333333333331</v>
      </c>
      <c r="D259" s="41">
        <v>5026.5</v>
      </c>
      <c r="E259" s="41">
        <v>5047.5</v>
      </c>
      <c r="F259" s="41">
        <v>5024</v>
      </c>
      <c r="G259" s="41">
        <v>5046</v>
      </c>
      <c r="H259" s="41">
        <v>2523091000</v>
      </c>
      <c r="I259" s="42">
        <v>10020</v>
      </c>
    </row>
    <row r="260" spans="1:9" x14ac:dyDescent="0.25">
      <c r="A260" t="s">
        <v>9</v>
      </c>
      <c r="B260" s="39">
        <v>46161</v>
      </c>
      <c r="C260" s="40">
        <v>0.375</v>
      </c>
      <c r="D260" s="41">
        <v>5035.5</v>
      </c>
      <c r="E260" s="41">
        <v>5041.5</v>
      </c>
      <c r="F260" s="41">
        <v>5025.5</v>
      </c>
      <c r="G260" s="41">
        <v>5026</v>
      </c>
      <c r="H260" s="41">
        <v>3475155500</v>
      </c>
      <c r="I260" s="42">
        <v>13805</v>
      </c>
    </row>
    <row r="261" spans="1:9" x14ac:dyDescent="0.25">
      <c r="A261" t="s">
        <v>9</v>
      </c>
      <c r="B261" s="39">
        <v>46160</v>
      </c>
      <c r="C261" s="40">
        <v>0.75</v>
      </c>
      <c r="D261" s="41">
        <v>5007</v>
      </c>
      <c r="E261" s="41">
        <v>5008.5</v>
      </c>
      <c r="F261" s="41">
        <v>5002.5</v>
      </c>
      <c r="G261" s="41">
        <v>5007.5</v>
      </c>
      <c r="H261" s="41">
        <v>386720750</v>
      </c>
      <c r="I261" s="42">
        <v>1545</v>
      </c>
    </row>
    <row r="262" spans="1:9" x14ac:dyDescent="0.25">
      <c r="A262" t="s">
        <v>9</v>
      </c>
      <c r="B262" s="39">
        <v>46160</v>
      </c>
      <c r="C262" s="40">
        <v>0.72916666666666663</v>
      </c>
      <c r="D262" s="41">
        <v>5013.5</v>
      </c>
      <c r="E262" s="41">
        <v>5014</v>
      </c>
      <c r="F262" s="41">
        <v>5005.5</v>
      </c>
      <c r="G262" s="41">
        <v>5007.5</v>
      </c>
      <c r="H262" s="41">
        <v>1224161875</v>
      </c>
      <c r="I262" s="42">
        <v>4885</v>
      </c>
    </row>
    <row r="263" spans="1:9" x14ac:dyDescent="0.25">
      <c r="A263" t="s">
        <v>9</v>
      </c>
      <c r="B263" s="39">
        <v>46160</v>
      </c>
      <c r="C263" s="40">
        <v>0.70833333333333337</v>
      </c>
      <c r="D263" s="41">
        <v>5015</v>
      </c>
      <c r="E263" s="41">
        <v>5016</v>
      </c>
      <c r="F263" s="41">
        <v>5012</v>
      </c>
      <c r="G263" s="41">
        <v>5014</v>
      </c>
      <c r="H263" s="41">
        <v>3673358625</v>
      </c>
      <c r="I263" s="42">
        <v>14655</v>
      </c>
    </row>
    <row r="264" spans="1:9" x14ac:dyDescent="0.25">
      <c r="A264" t="s">
        <v>9</v>
      </c>
      <c r="B264" s="39">
        <v>46160</v>
      </c>
      <c r="C264" s="40">
        <v>0.6875</v>
      </c>
      <c r="D264" s="41">
        <v>5024</v>
      </c>
      <c r="E264" s="41">
        <v>5024</v>
      </c>
      <c r="F264" s="41">
        <v>5012.5</v>
      </c>
      <c r="G264" s="41">
        <v>5015</v>
      </c>
      <c r="H264" s="41">
        <v>3785347250</v>
      </c>
      <c r="I264" s="42">
        <v>15085</v>
      </c>
    </row>
    <row r="265" spans="1:9" x14ac:dyDescent="0.25">
      <c r="A265" t="s">
        <v>9</v>
      </c>
      <c r="B265" s="39">
        <v>46160</v>
      </c>
      <c r="C265" s="40">
        <v>0.66666666666666663</v>
      </c>
      <c r="D265" s="41">
        <v>5030</v>
      </c>
      <c r="E265" s="41">
        <v>5030.5</v>
      </c>
      <c r="F265" s="41">
        <v>5016.5</v>
      </c>
      <c r="G265" s="41">
        <v>5023.5</v>
      </c>
      <c r="H265" s="41">
        <v>6257059000</v>
      </c>
      <c r="I265" s="42">
        <v>24915</v>
      </c>
    </row>
    <row r="266" spans="1:9" x14ac:dyDescent="0.25">
      <c r="A266" t="s">
        <v>9</v>
      </c>
      <c r="B266" s="39">
        <v>46160</v>
      </c>
      <c r="C266" s="40">
        <v>0.64583333333333337</v>
      </c>
      <c r="D266" s="41">
        <v>5028</v>
      </c>
      <c r="E266" s="41">
        <v>5030</v>
      </c>
      <c r="F266" s="41">
        <v>5026.5</v>
      </c>
      <c r="G266" s="41">
        <v>5029.5</v>
      </c>
      <c r="H266" s="41">
        <v>2867363125</v>
      </c>
      <c r="I266" s="42">
        <v>11405</v>
      </c>
    </row>
    <row r="267" spans="1:9" x14ac:dyDescent="0.25">
      <c r="A267" t="s">
        <v>9</v>
      </c>
      <c r="B267" s="39">
        <v>46160</v>
      </c>
      <c r="C267" s="40">
        <v>0.625</v>
      </c>
      <c r="D267" s="41">
        <v>5020</v>
      </c>
      <c r="E267" s="41">
        <v>5031</v>
      </c>
      <c r="F267" s="41">
        <v>5020</v>
      </c>
      <c r="G267" s="41">
        <v>5028.5</v>
      </c>
      <c r="H267" s="41">
        <v>4326969625</v>
      </c>
      <c r="I267" s="42">
        <v>17220</v>
      </c>
    </row>
    <row r="268" spans="1:9" x14ac:dyDescent="0.25">
      <c r="A268" t="s">
        <v>9</v>
      </c>
      <c r="B268" s="39">
        <v>46160</v>
      </c>
      <c r="C268" s="40">
        <v>0.60416666666666663</v>
      </c>
      <c r="D268" s="41">
        <v>5019</v>
      </c>
      <c r="E268" s="41">
        <v>5022</v>
      </c>
      <c r="F268" s="41">
        <v>5018</v>
      </c>
      <c r="G268" s="41">
        <v>5020</v>
      </c>
      <c r="H268" s="41">
        <v>2365805625</v>
      </c>
      <c r="I268" s="42">
        <v>9425</v>
      </c>
    </row>
    <row r="269" spans="1:9" x14ac:dyDescent="0.25">
      <c r="A269" t="s">
        <v>9</v>
      </c>
      <c r="B269" s="39">
        <v>46160</v>
      </c>
      <c r="C269" s="40">
        <v>0.58333333333333337</v>
      </c>
      <c r="D269" s="41">
        <v>5018.5</v>
      </c>
      <c r="E269" s="41">
        <v>5022</v>
      </c>
      <c r="F269" s="41">
        <v>5017.5</v>
      </c>
      <c r="G269" s="41">
        <v>5018.5</v>
      </c>
      <c r="H269" s="41">
        <v>1529832750</v>
      </c>
      <c r="I269" s="42">
        <v>6095</v>
      </c>
    </row>
    <row r="270" spans="1:9" x14ac:dyDescent="0.25">
      <c r="A270" t="s">
        <v>9</v>
      </c>
      <c r="B270" s="39">
        <v>46160</v>
      </c>
      <c r="C270" s="40">
        <v>0.5625</v>
      </c>
      <c r="D270" s="41">
        <v>5024</v>
      </c>
      <c r="E270" s="41">
        <v>5024.5</v>
      </c>
      <c r="F270" s="41">
        <v>5016</v>
      </c>
      <c r="G270" s="41">
        <v>5018</v>
      </c>
      <c r="H270" s="41">
        <v>2514408625</v>
      </c>
      <c r="I270" s="42">
        <v>10015</v>
      </c>
    </row>
    <row r="271" spans="1:9" x14ac:dyDescent="0.25">
      <c r="A271" t="s">
        <v>9</v>
      </c>
      <c r="B271" s="39">
        <v>46160</v>
      </c>
      <c r="C271" s="40">
        <v>0.54166666666666663</v>
      </c>
      <c r="D271" s="41">
        <v>5023.5</v>
      </c>
      <c r="E271" s="41">
        <v>5024.5</v>
      </c>
      <c r="F271" s="41">
        <v>5020</v>
      </c>
      <c r="G271" s="41">
        <v>5023</v>
      </c>
      <c r="H271" s="41">
        <v>2479550500</v>
      </c>
      <c r="I271" s="42">
        <v>9875</v>
      </c>
    </row>
    <row r="272" spans="1:9" x14ac:dyDescent="0.25">
      <c r="A272" t="s">
        <v>9</v>
      </c>
      <c r="B272" s="39">
        <v>46160</v>
      </c>
      <c r="C272" s="40">
        <v>0.52083333333333337</v>
      </c>
      <c r="D272" s="41">
        <v>5029.5</v>
      </c>
      <c r="E272" s="41">
        <v>5030</v>
      </c>
      <c r="F272" s="41">
        <v>5019.5</v>
      </c>
      <c r="G272" s="41">
        <v>5023.5</v>
      </c>
      <c r="H272" s="41">
        <v>5914715875</v>
      </c>
      <c r="I272" s="42">
        <v>23550</v>
      </c>
    </row>
    <row r="273" spans="1:9" x14ac:dyDescent="0.25">
      <c r="A273" t="s">
        <v>9</v>
      </c>
      <c r="B273" s="39">
        <v>46160</v>
      </c>
      <c r="C273" s="40">
        <v>0.5</v>
      </c>
      <c r="D273" s="41">
        <v>5028</v>
      </c>
      <c r="E273" s="41">
        <v>5034.5</v>
      </c>
      <c r="F273" s="41">
        <v>5024.5</v>
      </c>
      <c r="G273" s="41">
        <v>5029.5</v>
      </c>
      <c r="H273" s="41">
        <v>5056229750</v>
      </c>
      <c r="I273" s="42">
        <v>20110</v>
      </c>
    </row>
    <row r="274" spans="1:9" x14ac:dyDescent="0.25">
      <c r="A274" t="s">
        <v>9</v>
      </c>
      <c r="B274" s="39">
        <v>46160</v>
      </c>
      <c r="C274" s="40">
        <v>0.47916666666666669</v>
      </c>
      <c r="D274" s="41">
        <v>5031</v>
      </c>
      <c r="E274" s="41">
        <v>5038.5</v>
      </c>
      <c r="F274" s="41">
        <v>5027.5</v>
      </c>
      <c r="G274" s="41">
        <v>5028</v>
      </c>
      <c r="H274" s="41">
        <v>3305345625</v>
      </c>
      <c r="I274" s="42">
        <v>13135</v>
      </c>
    </row>
    <row r="275" spans="1:9" x14ac:dyDescent="0.25">
      <c r="A275" t="s">
        <v>9</v>
      </c>
      <c r="B275" s="39">
        <v>46160</v>
      </c>
      <c r="C275" s="40">
        <v>0.45833333333333331</v>
      </c>
      <c r="D275" s="41">
        <v>5027</v>
      </c>
      <c r="E275" s="41">
        <v>5036</v>
      </c>
      <c r="F275" s="41">
        <v>5026</v>
      </c>
      <c r="G275" s="41">
        <v>5032</v>
      </c>
      <c r="H275" s="41">
        <v>3239750875</v>
      </c>
      <c r="I275" s="42">
        <v>12880</v>
      </c>
    </row>
    <row r="276" spans="1:9" x14ac:dyDescent="0.25">
      <c r="A276" t="s">
        <v>9</v>
      </c>
      <c r="B276" s="39">
        <v>46160</v>
      </c>
      <c r="C276" s="40">
        <v>0.4375</v>
      </c>
      <c r="D276" s="41">
        <v>5033</v>
      </c>
      <c r="E276" s="41">
        <v>5038</v>
      </c>
      <c r="F276" s="41">
        <v>5026.5</v>
      </c>
      <c r="G276" s="41">
        <v>5026.5</v>
      </c>
      <c r="H276" s="41">
        <v>5148680625</v>
      </c>
      <c r="I276" s="42">
        <v>20460</v>
      </c>
    </row>
    <row r="277" spans="1:9" x14ac:dyDescent="0.25">
      <c r="A277" t="s">
        <v>9</v>
      </c>
      <c r="B277" s="39">
        <v>46160</v>
      </c>
      <c r="C277" s="40">
        <v>0.41666666666666669</v>
      </c>
      <c r="D277" s="41">
        <v>5033.5</v>
      </c>
      <c r="E277" s="41">
        <v>5035.5</v>
      </c>
      <c r="F277" s="41">
        <v>5025</v>
      </c>
      <c r="G277" s="41">
        <v>5033</v>
      </c>
      <c r="H277" s="41">
        <v>3879613500</v>
      </c>
      <c r="I277" s="42">
        <v>15425</v>
      </c>
    </row>
    <row r="278" spans="1:9" x14ac:dyDescent="0.25">
      <c r="A278" t="s">
        <v>9</v>
      </c>
      <c r="B278" s="39">
        <v>46160</v>
      </c>
      <c r="C278" s="40">
        <v>0.39583333333333331</v>
      </c>
      <c r="D278" s="41">
        <v>5051</v>
      </c>
      <c r="E278" s="41">
        <v>5053</v>
      </c>
      <c r="F278" s="41">
        <v>5032</v>
      </c>
      <c r="G278" s="41">
        <v>5034</v>
      </c>
      <c r="H278" s="41">
        <v>3754007500</v>
      </c>
      <c r="I278" s="42">
        <v>14895</v>
      </c>
    </row>
    <row r="279" spans="1:9" x14ac:dyDescent="0.25">
      <c r="A279" t="s">
        <v>9</v>
      </c>
      <c r="B279" s="39">
        <v>46160</v>
      </c>
      <c r="C279" s="40">
        <v>0.375</v>
      </c>
      <c r="D279" s="41">
        <v>5073</v>
      </c>
      <c r="E279" s="41">
        <v>5073</v>
      </c>
      <c r="F279" s="41">
        <v>5045.5</v>
      </c>
      <c r="G279" s="41">
        <v>5050.5</v>
      </c>
      <c r="H279" s="41">
        <v>3752113500</v>
      </c>
      <c r="I279" s="42">
        <v>14835</v>
      </c>
    </row>
    <row r="280" spans="1:9" x14ac:dyDescent="0.25">
      <c r="A280" t="s">
        <v>9</v>
      </c>
      <c r="B280" s="39">
        <v>46157</v>
      </c>
      <c r="C280" s="40">
        <v>0.75</v>
      </c>
      <c r="D280" s="41">
        <v>5074.5</v>
      </c>
      <c r="E280" s="41">
        <v>5077.5</v>
      </c>
      <c r="F280" s="41">
        <v>5072</v>
      </c>
      <c r="G280" s="41">
        <v>5074.5</v>
      </c>
      <c r="H280" s="41">
        <v>487113125</v>
      </c>
      <c r="I280" s="42">
        <v>1920</v>
      </c>
    </row>
    <row r="281" spans="1:9" x14ac:dyDescent="0.25">
      <c r="A281" t="s">
        <v>9</v>
      </c>
      <c r="B281" s="39">
        <v>46157</v>
      </c>
      <c r="C281" s="40">
        <v>0.72916666666666663</v>
      </c>
      <c r="D281" s="41">
        <v>5081.5</v>
      </c>
      <c r="E281" s="41">
        <v>5082</v>
      </c>
      <c r="F281" s="41">
        <v>5073</v>
      </c>
      <c r="G281" s="41">
        <v>5075</v>
      </c>
      <c r="H281" s="41">
        <v>1387146375</v>
      </c>
      <c r="I281" s="42">
        <v>5465</v>
      </c>
    </row>
    <row r="282" spans="1:9" x14ac:dyDescent="0.25">
      <c r="A282" t="s">
        <v>9</v>
      </c>
      <c r="B282" s="39">
        <v>46157</v>
      </c>
      <c r="C282" s="40">
        <v>0.70833333333333337</v>
      </c>
      <c r="D282" s="41">
        <v>5086</v>
      </c>
      <c r="E282" s="41">
        <v>5086.5</v>
      </c>
      <c r="F282" s="41">
        <v>5079</v>
      </c>
      <c r="G282" s="41">
        <v>5082.5</v>
      </c>
      <c r="H282" s="41">
        <v>2554701875</v>
      </c>
      <c r="I282" s="42">
        <v>10055</v>
      </c>
    </row>
    <row r="283" spans="1:9" x14ac:dyDescent="0.25">
      <c r="A283" t="s">
        <v>9</v>
      </c>
      <c r="B283" s="39">
        <v>46157</v>
      </c>
      <c r="C283" s="40">
        <v>0.6875</v>
      </c>
      <c r="D283" s="41">
        <v>5083.5</v>
      </c>
      <c r="E283" s="41">
        <v>5090</v>
      </c>
      <c r="F283" s="41">
        <v>5082.5</v>
      </c>
      <c r="G283" s="41">
        <v>5085.5</v>
      </c>
      <c r="H283" s="41">
        <v>1745941000</v>
      </c>
      <c r="I283" s="42">
        <v>6865</v>
      </c>
    </row>
    <row r="284" spans="1:9" x14ac:dyDescent="0.25">
      <c r="A284" t="s">
        <v>9</v>
      </c>
      <c r="B284" s="39">
        <v>46157</v>
      </c>
      <c r="C284" s="40">
        <v>0.66666666666666663</v>
      </c>
      <c r="D284" s="41">
        <v>5089</v>
      </c>
      <c r="E284" s="41">
        <v>5092.5</v>
      </c>
      <c r="F284" s="41">
        <v>5083</v>
      </c>
      <c r="G284" s="41">
        <v>5083</v>
      </c>
      <c r="H284" s="41">
        <v>2449137750</v>
      </c>
      <c r="I284" s="42">
        <v>9625</v>
      </c>
    </row>
    <row r="285" spans="1:9" x14ac:dyDescent="0.25">
      <c r="A285" t="s">
        <v>9</v>
      </c>
      <c r="B285" s="39">
        <v>46157</v>
      </c>
      <c r="C285" s="40">
        <v>0.64583333333333337</v>
      </c>
      <c r="D285" s="41">
        <v>5085</v>
      </c>
      <c r="E285" s="41">
        <v>5094</v>
      </c>
      <c r="F285" s="41">
        <v>5084</v>
      </c>
      <c r="G285" s="41">
        <v>5089</v>
      </c>
      <c r="H285" s="41">
        <v>4055442125</v>
      </c>
      <c r="I285" s="42">
        <v>15940</v>
      </c>
    </row>
    <row r="286" spans="1:9" x14ac:dyDescent="0.25">
      <c r="A286" t="s">
        <v>9</v>
      </c>
      <c r="B286" s="39">
        <v>46157</v>
      </c>
      <c r="C286" s="40">
        <v>0.625</v>
      </c>
      <c r="D286" s="41">
        <v>5077.5</v>
      </c>
      <c r="E286" s="41">
        <v>5086.5</v>
      </c>
      <c r="F286" s="41">
        <v>5075.5</v>
      </c>
      <c r="G286" s="41">
        <v>5085</v>
      </c>
      <c r="H286" s="41">
        <v>2535682375</v>
      </c>
      <c r="I286" s="42">
        <v>9980</v>
      </c>
    </row>
    <row r="287" spans="1:9" x14ac:dyDescent="0.25">
      <c r="A287" t="s">
        <v>9</v>
      </c>
      <c r="B287" s="39">
        <v>46157</v>
      </c>
      <c r="C287" s="40">
        <v>0.60416666666666663</v>
      </c>
      <c r="D287" s="41">
        <v>5087.5</v>
      </c>
      <c r="E287" s="41">
        <v>5089</v>
      </c>
      <c r="F287" s="41">
        <v>5077</v>
      </c>
      <c r="G287" s="41">
        <v>5079</v>
      </c>
      <c r="H287" s="41">
        <v>1711712500</v>
      </c>
      <c r="I287" s="42">
        <v>6735</v>
      </c>
    </row>
    <row r="288" spans="1:9" x14ac:dyDescent="0.25">
      <c r="A288" t="s">
        <v>9</v>
      </c>
      <c r="B288" s="39">
        <v>46157</v>
      </c>
      <c r="C288" s="40">
        <v>0.58333333333333337</v>
      </c>
      <c r="D288" s="41">
        <v>5091.5</v>
      </c>
      <c r="E288" s="41">
        <v>5093</v>
      </c>
      <c r="F288" s="41">
        <v>5084.5</v>
      </c>
      <c r="G288" s="41">
        <v>5087</v>
      </c>
      <c r="H288" s="41">
        <v>1448891000</v>
      </c>
      <c r="I288" s="42">
        <v>5695</v>
      </c>
    </row>
    <row r="289" spans="1:9" x14ac:dyDescent="0.25">
      <c r="A289" t="s">
        <v>9</v>
      </c>
      <c r="B289" s="39">
        <v>46157</v>
      </c>
      <c r="C289" s="40">
        <v>0.5625</v>
      </c>
      <c r="D289" s="41">
        <v>5090.5</v>
      </c>
      <c r="E289" s="41">
        <v>5093</v>
      </c>
      <c r="F289" s="41">
        <v>5086.5</v>
      </c>
      <c r="G289" s="41">
        <v>5091</v>
      </c>
      <c r="H289" s="41">
        <v>1453338000</v>
      </c>
      <c r="I289" s="42">
        <v>5710</v>
      </c>
    </row>
    <row r="290" spans="1:9" x14ac:dyDescent="0.25">
      <c r="A290" t="s">
        <v>9</v>
      </c>
      <c r="B290" s="39">
        <v>46157</v>
      </c>
      <c r="C290" s="40">
        <v>0.54166666666666663</v>
      </c>
      <c r="D290" s="41">
        <v>5092.5</v>
      </c>
      <c r="E290" s="41">
        <v>5101</v>
      </c>
      <c r="F290" s="41">
        <v>5089.5</v>
      </c>
      <c r="G290" s="41">
        <v>5090.5</v>
      </c>
      <c r="H290" s="41">
        <v>3385061750</v>
      </c>
      <c r="I290" s="42">
        <v>13290</v>
      </c>
    </row>
    <row r="291" spans="1:9" x14ac:dyDescent="0.25">
      <c r="A291" t="s">
        <v>9</v>
      </c>
      <c r="B291" s="39">
        <v>46157</v>
      </c>
      <c r="C291" s="40">
        <v>0.52083333333333337</v>
      </c>
      <c r="D291" s="41">
        <v>5089</v>
      </c>
      <c r="E291" s="41">
        <v>5097.5</v>
      </c>
      <c r="F291" s="41">
        <v>5085.5</v>
      </c>
      <c r="G291" s="41">
        <v>5093</v>
      </c>
      <c r="H291" s="41">
        <v>2064194125</v>
      </c>
      <c r="I291" s="42">
        <v>8110</v>
      </c>
    </row>
    <row r="292" spans="1:9" x14ac:dyDescent="0.25">
      <c r="A292" t="s">
        <v>9</v>
      </c>
      <c r="B292" s="39">
        <v>46157</v>
      </c>
      <c r="C292" s="40">
        <v>0.5</v>
      </c>
      <c r="D292" s="41">
        <v>5086</v>
      </c>
      <c r="E292" s="41">
        <v>5094</v>
      </c>
      <c r="F292" s="41">
        <v>5083.5</v>
      </c>
      <c r="G292" s="41">
        <v>5089</v>
      </c>
      <c r="H292" s="41">
        <v>3718631875</v>
      </c>
      <c r="I292" s="42">
        <v>14620</v>
      </c>
    </row>
    <row r="293" spans="1:9" x14ac:dyDescent="0.25">
      <c r="A293" t="s">
        <v>9</v>
      </c>
      <c r="B293" s="39">
        <v>46157</v>
      </c>
      <c r="C293" s="40">
        <v>0.47916666666666669</v>
      </c>
      <c r="D293" s="41">
        <v>5068.5</v>
      </c>
      <c r="E293" s="41">
        <v>5088</v>
      </c>
      <c r="F293" s="41">
        <v>5064.5</v>
      </c>
      <c r="G293" s="41">
        <v>5086</v>
      </c>
      <c r="H293" s="41">
        <v>4655185375</v>
      </c>
      <c r="I293" s="42">
        <v>18335</v>
      </c>
    </row>
    <row r="294" spans="1:9" x14ac:dyDescent="0.25">
      <c r="A294" t="s">
        <v>9</v>
      </c>
      <c r="B294" s="39">
        <v>46157</v>
      </c>
      <c r="C294" s="40">
        <v>0.45833333333333331</v>
      </c>
      <c r="D294" s="41">
        <v>5086.5</v>
      </c>
      <c r="E294" s="41">
        <v>5091</v>
      </c>
      <c r="F294" s="41">
        <v>5063.5</v>
      </c>
      <c r="G294" s="41">
        <v>5069.5</v>
      </c>
      <c r="H294" s="41">
        <v>8179556500</v>
      </c>
      <c r="I294" s="42">
        <v>32220</v>
      </c>
    </row>
    <row r="295" spans="1:9" x14ac:dyDescent="0.25">
      <c r="A295" t="s">
        <v>9</v>
      </c>
      <c r="B295" s="39">
        <v>46157</v>
      </c>
      <c r="C295" s="40">
        <v>0.4375</v>
      </c>
      <c r="D295" s="41">
        <v>5066</v>
      </c>
      <c r="E295" s="41">
        <v>5095</v>
      </c>
      <c r="F295" s="41">
        <v>5064.5</v>
      </c>
      <c r="G295" s="41">
        <v>5086</v>
      </c>
      <c r="H295" s="41">
        <v>7595408500</v>
      </c>
      <c r="I295" s="42">
        <v>29900</v>
      </c>
    </row>
    <row r="296" spans="1:9" x14ac:dyDescent="0.25">
      <c r="A296" t="s">
        <v>9</v>
      </c>
      <c r="B296" s="39">
        <v>46157</v>
      </c>
      <c r="C296" s="40">
        <v>0.41666666666666669</v>
      </c>
      <c r="D296" s="41">
        <v>5072.5</v>
      </c>
      <c r="E296" s="41">
        <v>5077.5</v>
      </c>
      <c r="F296" s="41">
        <v>5065</v>
      </c>
      <c r="G296" s="41">
        <v>5066.5</v>
      </c>
      <c r="H296" s="41">
        <v>6538285750</v>
      </c>
      <c r="I296" s="42">
        <v>25785</v>
      </c>
    </row>
    <row r="297" spans="1:9" x14ac:dyDescent="0.25">
      <c r="A297" t="s">
        <v>9</v>
      </c>
      <c r="B297" s="39">
        <v>46157</v>
      </c>
      <c r="C297" s="40">
        <v>0.39583333333333331</v>
      </c>
      <c r="D297" s="41">
        <v>5060.5</v>
      </c>
      <c r="E297" s="41">
        <v>5076.5</v>
      </c>
      <c r="F297" s="41">
        <v>5060</v>
      </c>
      <c r="G297" s="41">
        <v>5071.5</v>
      </c>
      <c r="H297" s="41">
        <v>4179467750</v>
      </c>
      <c r="I297" s="42">
        <v>16485</v>
      </c>
    </row>
    <row r="298" spans="1:9" x14ac:dyDescent="0.25">
      <c r="A298" t="s">
        <v>9</v>
      </c>
      <c r="B298" s="39">
        <v>46157</v>
      </c>
      <c r="C298" s="40">
        <v>0.375</v>
      </c>
      <c r="D298" s="41">
        <v>5041</v>
      </c>
      <c r="E298" s="41">
        <v>5071</v>
      </c>
      <c r="F298" s="41">
        <v>5036.5</v>
      </c>
      <c r="G298" s="41">
        <v>5061.5</v>
      </c>
      <c r="H298" s="41">
        <v>6088440875</v>
      </c>
      <c r="I298" s="42">
        <v>24080</v>
      </c>
    </row>
    <row r="299" spans="1:9" x14ac:dyDescent="0.25">
      <c r="A299" t="s">
        <v>9</v>
      </c>
      <c r="B299" s="39">
        <v>46156</v>
      </c>
      <c r="C299" s="40">
        <v>0.75</v>
      </c>
      <c r="D299" s="41">
        <v>5001.5</v>
      </c>
      <c r="E299" s="41">
        <v>5007.5</v>
      </c>
      <c r="F299" s="41">
        <v>5001.5</v>
      </c>
      <c r="G299" s="41">
        <v>5005</v>
      </c>
      <c r="H299" s="41">
        <v>392787375</v>
      </c>
      <c r="I299" s="42">
        <v>1570</v>
      </c>
    </row>
    <row r="300" spans="1:9" x14ac:dyDescent="0.25">
      <c r="A300" t="s">
        <v>9</v>
      </c>
      <c r="B300" s="39">
        <v>46156</v>
      </c>
      <c r="C300" s="40">
        <v>0.72916666666666663</v>
      </c>
      <c r="D300" s="41">
        <v>5003</v>
      </c>
      <c r="E300" s="41">
        <v>5005</v>
      </c>
      <c r="F300" s="41">
        <v>5001</v>
      </c>
      <c r="G300" s="41">
        <v>5002</v>
      </c>
      <c r="H300" s="41">
        <v>1869567875</v>
      </c>
      <c r="I300" s="42">
        <v>7475</v>
      </c>
    </row>
    <row r="301" spans="1:9" x14ac:dyDescent="0.25">
      <c r="A301" t="s">
        <v>9</v>
      </c>
      <c r="B301" s="39">
        <v>46156</v>
      </c>
      <c r="C301" s="40">
        <v>0.70833333333333337</v>
      </c>
      <c r="D301" s="41">
        <v>5007</v>
      </c>
      <c r="E301" s="41">
        <v>5008</v>
      </c>
      <c r="F301" s="41">
        <v>5001</v>
      </c>
      <c r="G301" s="41">
        <v>5002</v>
      </c>
      <c r="H301" s="41">
        <v>2082389750</v>
      </c>
      <c r="I301" s="42">
        <v>8320</v>
      </c>
    </row>
    <row r="302" spans="1:9" x14ac:dyDescent="0.25">
      <c r="A302" t="s">
        <v>9</v>
      </c>
      <c r="B302" s="39">
        <v>46156</v>
      </c>
      <c r="C302" s="40">
        <v>0.6875</v>
      </c>
      <c r="D302" s="41">
        <v>5008</v>
      </c>
      <c r="E302" s="41">
        <v>5010.5</v>
      </c>
      <c r="F302" s="41">
        <v>5007</v>
      </c>
      <c r="G302" s="41">
        <v>5007.5</v>
      </c>
      <c r="H302" s="41">
        <v>1587933250</v>
      </c>
      <c r="I302" s="42">
        <v>6340</v>
      </c>
    </row>
    <row r="303" spans="1:9" x14ac:dyDescent="0.25">
      <c r="A303" t="s">
        <v>9</v>
      </c>
      <c r="B303" s="39">
        <v>46156</v>
      </c>
      <c r="C303" s="40">
        <v>0.66666666666666663</v>
      </c>
      <c r="D303" s="41">
        <v>5008.5</v>
      </c>
      <c r="E303" s="41">
        <v>5009.5</v>
      </c>
      <c r="F303" s="41">
        <v>5004.5</v>
      </c>
      <c r="G303" s="41">
        <v>5008</v>
      </c>
      <c r="H303" s="41">
        <v>3743213625</v>
      </c>
      <c r="I303" s="42">
        <v>14950</v>
      </c>
    </row>
    <row r="304" spans="1:9" x14ac:dyDescent="0.25">
      <c r="A304" t="s">
        <v>9</v>
      </c>
      <c r="B304" s="39">
        <v>46156</v>
      </c>
      <c r="C304" s="40">
        <v>0.64583333333333337</v>
      </c>
      <c r="D304" s="41">
        <v>5005</v>
      </c>
      <c r="E304" s="41">
        <v>5011</v>
      </c>
      <c r="F304" s="41">
        <v>5005</v>
      </c>
      <c r="G304" s="41">
        <v>5008.5</v>
      </c>
      <c r="H304" s="41">
        <v>2049699625</v>
      </c>
      <c r="I304" s="42">
        <v>8185</v>
      </c>
    </row>
    <row r="305" spans="1:9" x14ac:dyDescent="0.25">
      <c r="A305" t="s">
        <v>9</v>
      </c>
      <c r="B305" s="39">
        <v>46156</v>
      </c>
      <c r="C305" s="40">
        <v>0.625</v>
      </c>
      <c r="D305" s="41">
        <v>5009</v>
      </c>
      <c r="E305" s="41">
        <v>5011.5</v>
      </c>
      <c r="F305" s="41">
        <v>5002.5</v>
      </c>
      <c r="G305" s="41">
        <v>5005.5</v>
      </c>
      <c r="H305" s="41">
        <v>4607531875</v>
      </c>
      <c r="I305" s="42">
        <v>18410</v>
      </c>
    </row>
    <row r="306" spans="1:9" x14ac:dyDescent="0.25">
      <c r="A306" t="s">
        <v>9</v>
      </c>
      <c r="B306" s="39">
        <v>46156</v>
      </c>
      <c r="C306" s="40">
        <v>0.60416666666666663</v>
      </c>
      <c r="D306" s="41">
        <v>5007.5</v>
      </c>
      <c r="E306" s="41">
        <v>5009</v>
      </c>
      <c r="F306" s="41">
        <v>5001</v>
      </c>
      <c r="G306" s="41">
        <v>5009</v>
      </c>
      <c r="H306" s="41">
        <v>5515515500</v>
      </c>
      <c r="I306" s="42">
        <v>22045</v>
      </c>
    </row>
    <row r="307" spans="1:9" x14ac:dyDescent="0.25">
      <c r="A307" t="s">
        <v>9</v>
      </c>
      <c r="B307" s="39">
        <v>46156</v>
      </c>
      <c r="C307" s="40">
        <v>0.58333333333333337</v>
      </c>
      <c r="D307" s="41">
        <v>5009.5</v>
      </c>
      <c r="E307" s="41">
        <v>5009.5</v>
      </c>
      <c r="F307" s="41">
        <v>5003</v>
      </c>
      <c r="G307" s="41">
        <v>5007</v>
      </c>
      <c r="H307" s="41">
        <v>1807960500</v>
      </c>
      <c r="I307" s="42">
        <v>7225</v>
      </c>
    </row>
    <row r="308" spans="1:9" x14ac:dyDescent="0.25">
      <c r="A308" t="s">
        <v>9</v>
      </c>
      <c r="B308" s="39">
        <v>46156</v>
      </c>
      <c r="C308" s="40">
        <v>0.5625</v>
      </c>
      <c r="D308" s="41">
        <v>5010.5</v>
      </c>
      <c r="E308" s="41">
        <v>5015.5</v>
      </c>
      <c r="F308" s="41">
        <v>5009.5</v>
      </c>
      <c r="G308" s="41">
        <v>5010</v>
      </c>
      <c r="H308" s="41">
        <v>1394588000</v>
      </c>
      <c r="I308" s="42">
        <v>5565</v>
      </c>
    </row>
    <row r="309" spans="1:9" x14ac:dyDescent="0.25">
      <c r="A309" t="s">
        <v>9</v>
      </c>
      <c r="B309" s="39">
        <v>46156</v>
      </c>
      <c r="C309" s="40">
        <v>0.54166666666666663</v>
      </c>
      <c r="D309" s="41">
        <v>4999</v>
      </c>
      <c r="E309" s="41">
        <v>5012</v>
      </c>
      <c r="F309" s="41">
        <v>4998.5</v>
      </c>
      <c r="G309" s="41">
        <v>5010</v>
      </c>
      <c r="H309" s="41">
        <v>2095878875</v>
      </c>
      <c r="I309" s="42">
        <v>8375</v>
      </c>
    </row>
    <row r="310" spans="1:9" x14ac:dyDescent="0.25">
      <c r="A310" t="s">
        <v>9</v>
      </c>
      <c r="B310" s="39">
        <v>46156</v>
      </c>
      <c r="C310" s="40">
        <v>0.52083333333333337</v>
      </c>
      <c r="D310" s="41">
        <v>5001.5</v>
      </c>
      <c r="E310" s="41">
        <v>5009</v>
      </c>
      <c r="F310" s="41">
        <v>4998.5</v>
      </c>
      <c r="G310" s="41">
        <v>4999.5</v>
      </c>
      <c r="H310" s="41">
        <v>1738917125</v>
      </c>
      <c r="I310" s="42">
        <v>6950</v>
      </c>
    </row>
    <row r="311" spans="1:9" x14ac:dyDescent="0.25">
      <c r="A311" t="s">
        <v>9</v>
      </c>
      <c r="B311" s="39">
        <v>46156</v>
      </c>
      <c r="C311" s="40">
        <v>0.5</v>
      </c>
      <c r="D311" s="41">
        <v>5000.5</v>
      </c>
      <c r="E311" s="41">
        <v>5010</v>
      </c>
      <c r="F311" s="41">
        <v>4999.5</v>
      </c>
      <c r="G311" s="41">
        <v>5001</v>
      </c>
      <c r="H311" s="41">
        <v>2503649500</v>
      </c>
      <c r="I311" s="42">
        <v>10005</v>
      </c>
    </row>
    <row r="312" spans="1:9" x14ac:dyDescent="0.25">
      <c r="A312" t="s">
        <v>9</v>
      </c>
      <c r="B312" s="39">
        <v>46156</v>
      </c>
      <c r="C312" s="40">
        <v>0.47916666666666669</v>
      </c>
      <c r="D312" s="41">
        <v>5000.5</v>
      </c>
      <c r="E312" s="41">
        <v>5002</v>
      </c>
      <c r="F312" s="41">
        <v>4992.5</v>
      </c>
      <c r="G312" s="41">
        <v>5000.5</v>
      </c>
      <c r="H312" s="41">
        <v>3232763625</v>
      </c>
      <c r="I312" s="42">
        <v>12940</v>
      </c>
    </row>
    <row r="313" spans="1:9" x14ac:dyDescent="0.25">
      <c r="A313" t="s">
        <v>9</v>
      </c>
      <c r="B313" s="39">
        <v>46156</v>
      </c>
      <c r="C313" s="40">
        <v>0.45833333333333331</v>
      </c>
      <c r="D313" s="41">
        <v>5005</v>
      </c>
      <c r="E313" s="41">
        <v>5008</v>
      </c>
      <c r="F313" s="41">
        <v>4995</v>
      </c>
      <c r="G313" s="41">
        <v>5000.5</v>
      </c>
      <c r="H313" s="41">
        <v>2918017375</v>
      </c>
      <c r="I313" s="42">
        <v>11670</v>
      </c>
    </row>
    <row r="314" spans="1:9" x14ac:dyDescent="0.25">
      <c r="A314" t="s">
        <v>9</v>
      </c>
      <c r="B314" s="39">
        <v>46156</v>
      </c>
      <c r="C314" s="40">
        <v>0.4375</v>
      </c>
      <c r="D314" s="41">
        <v>5003</v>
      </c>
      <c r="E314" s="41">
        <v>5017.5</v>
      </c>
      <c r="F314" s="41">
        <v>4998</v>
      </c>
      <c r="G314" s="41">
        <v>5005</v>
      </c>
      <c r="H314" s="41">
        <v>4471027875</v>
      </c>
      <c r="I314" s="42">
        <v>17855</v>
      </c>
    </row>
    <row r="315" spans="1:9" x14ac:dyDescent="0.25">
      <c r="A315" t="s">
        <v>9</v>
      </c>
      <c r="B315" s="39">
        <v>46156</v>
      </c>
      <c r="C315" s="40">
        <v>0.41666666666666669</v>
      </c>
      <c r="D315" s="41">
        <v>5003.5</v>
      </c>
      <c r="E315" s="41">
        <v>5004.5</v>
      </c>
      <c r="F315" s="41">
        <v>4993</v>
      </c>
      <c r="G315" s="41">
        <v>5002.5</v>
      </c>
      <c r="H315" s="41">
        <v>4812215875</v>
      </c>
      <c r="I315" s="42">
        <v>19255</v>
      </c>
    </row>
    <row r="316" spans="1:9" x14ac:dyDescent="0.25">
      <c r="A316" t="s">
        <v>9</v>
      </c>
      <c r="B316" s="39">
        <v>46156</v>
      </c>
      <c r="C316" s="40">
        <v>0.39583333333333331</v>
      </c>
      <c r="D316" s="41">
        <v>5003.5</v>
      </c>
      <c r="E316" s="41">
        <v>5015.5</v>
      </c>
      <c r="F316" s="41">
        <v>4995.5</v>
      </c>
      <c r="G316" s="41">
        <v>5005</v>
      </c>
      <c r="H316" s="41">
        <v>3083706375</v>
      </c>
      <c r="I316" s="42">
        <v>12320</v>
      </c>
    </row>
    <row r="317" spans="1:9" x14ac:dyDescent="0.25">
      <c r="A317" t="s">
        <v>9</v>
      </c>
      <c r="B317" s="39">
        <v>46156</v>
      </c>
      <c r="C317" s="40">
        <v>0.375</v>
      </c>
      <c r="D317" s="41">
        <v>5036</v>
      </c>
      <c r="E317" s="41">
        <v>5050.5</v>
      </c>
      <c r="F317" s="41">
        <v>4995</v>
      </c>
      <c r="G317" s="41">
        <v>5003</v>
      </c>
      <c r="H317" s="41">
        <v>5758317125</v>
      </c>
      <c r="I317" s="42">
        <v>22970</v>
      </c>
    </row>
    <row r="318" spans="1:9" x14ac:dyDescent="0.25">
      <c r="A318" t="s">
        <v>9</v>
      </c>
      <c r="B318" s="39">
        <v>46155</v>
      </c>
      <c r="C318" s="40">
        <v>0.75</v>
      </c>
      <c r="D318" s="41">
        <v>5032.5</v>
      </c>
      <c r="E318" s="41">
        <v>5038</v>
      </c>
      <c r="F318" s="41">
        <v>5025.5</v>
      </c>
      <c r="G318" s="41">
        <v>5025.5</v>
      </c>
      <c r="H318" s="41">
        <v>849263375</v>
      </c>
      <c r="I318" s="42">
        <v>3375</v>
      </c>
    </row>
    <row r="319" spans="1:9" x14ac:dyDescent="0.25">
      <c r="A319" t="s">
        <v>9</v>
      </c>
      <c r="B319" s="39">
        <v>46155</v>
      </c>
      <c r="C319" s="40">
        <v>0.72916666666666663</v>
      </c>
      <c r="D319" s="41">
        <v>5035</v>
      </c>
      <c r="E319" s="41">
        <v>5039.5</v>
      </c>
      <c r="F319" s="41">
        <v>5022</v>
      </c>
      <c r="G319" s="41">
        <v>5032.5</v>
      </c>
      <c r="H319" s="41">
        <v>5639174250</v>
      </c>
      <c r="I319" s="42">
        <v>22420</v>
      </c>
    </row>
    <row r="320" spans="1:9" x14ac:dyDescent="0.25">
      <c r="A320" t="s">
        <v>9</v>
      </c>
      <c r="B320" s="39">
        <v>46155</v>
      </c>
      <c r="C320" s="40">
        <v>0.70833333333333337</v>
      </c>
      <c r="D320" s="41">
        <v>5028</v>
      </c>
      <c r="E320" s="41">
        <v>5036.5</v>
      </c>
      <c r="F320" s="41">
        <v>5026</v>
      </c>
      <c r="G320" s="41">
        <v>5034.5</v>
      </c>
      <c r="H320" s="41">
        <v>5571796500</v>
      </c>
      <c r="I320" s="42">
        <v>22155</v>
      </c>
    </row>
    <row r="321" spans="1:9" x14ac:dyDescent="0.25">
      <c r="A321" t="s">
        <v>9</v>
      </c>
      <c r="B321" s="39">
        <v>46155</v>
      </c>
      <c r="C321" s="40">
        <v>0.6875</v>
      </c>
      <c r="D321" s="41">
        <v>5025</v>
      </c>
      <c r="E321" s="41">
        <v>5034.5</v>
      </c>
      <c r="F321" s="41">
        <v>5020</v>
      </c>
      <c r="G321" s="41">
        <v>5027.5</v>
      </c>
      <c r="H321" s="41">
        <v>7382637500</v>
      </c>
      <c r="I321" s="42">
        <v>29385</v>
      </c>
    </row>
    <row r="322" spans="1:9" x14ac:dyDescent="0.25">
      <c r="A322" t="s">
        <v>9</v>
      </c>
      <c r="B322" s="39">
        <v>46155</v>
      </c>
      <c r="C322" s="40">
        <v>0.66666666666666663</v>
      </c>
      <c r="D322" s="41">
        <v>5011</v>
      </c>
      <c r="E322" s="41">
        <v>5025.5</v>
      </c>
      <c r="F322" s="41">
        <v>5008</v>
      </c>
      <c r="G322" s="41">
        <v>5025</v>
      </c>
      <c r="H322" s="41">
        <v>4129498250</v>
      </c>
      <c r="I322" s="42">
        <v>16465</v>
      </c>
    </row>
    <row r="323" spans="1:9" x14ac:dyDescent="0.25">
      <c r="A323" t="s">
        <v>9</v>
      </c>
      <c r="B323" s="39">
        <v>46155</v>
      </c>
      <c r="C323" s="40">
        <v>0.64583333333333337</v>
      </c>
      <c r="D323" s="41">
        <v>5010</v>
      </c>
      <c r="E323" s="41">
        <v>5019</v>
      </c>
      <c r="F323" s="41">
        <v>4992</v>
      </c>
      <c r="G323" s="41">
        <v>5011</v>
      </c>
      <c r="H323" s="41">
        <v>7911440875</v>
      </c>
      <c r="I323" s="42">
        <v>31610</v>
      </c>
    </row>
    <row r="324" spans="1:9" x14ac:dyDescent="0.25">
      <c r="A324" t="s">
        <v>9</v>
      </c>
      <c r="B324" s="39">
        <v>46155</v>
      </c>
      <c r="C324" s="40">
        <v>0.625</v>
      </c>
      <c r="D324" s="41">
        <v>4964.5</v>
      </c>
      <c r="E324" s="41">
        <v>5025</v>
      </c>
      <c r="F324" s="41">
        <v>4963</v>
      </c>
      <c r="G324" s="41">
        <v>5010</v>
      </c>
      <c r="H324" s="41">
        <v>16540867250</v>
      </c>
      <c r="I324" s="42">
        <v>66215</v>
      </c>
    </row>
    <row r="325" spans="1:9" x14ac:dyDescent="0.25">
      <c r="A325" t="s">
        <v>9</v>
      </c>
      <c r="B325" s="39">
        <v>46155</v>
      </c>
      <c r="C325" s="40">
        <v>0.60416666666666663</v>
      </c>
      <c r="D325" s="41">
        <v>4929</v>
      </c>
      <c r="E325" s="41">
        <v>4967.5</v>
      </c>
      <c r="F325" s="41">
        <v>4929</v>
      </c>
      <c r="G325" s="41">
        <v>4964</v>
      </c>
      <c r="H325" s="41">
        <v>5476166875</v>
      </c>
      <c r="I325" s="42">
        <v>22135</v>
      </c>
    </row>
    <row r="326" spans="1:9" x14ac:dyDescent="0.25">
      <c r="A326" t="s">
        <v>9</v>
      </c>
      <c r="B326" s="39">
        <v>46155</v>
      </c>
      <c r="C326" s="40">
        <v>0.58333333333333337</v>
      </c>
      <c r="D326" s="41">
        <v>4929</v>
      </c>
      <c r="E326" s="41">
        <v>4932</v>
      </c>
      <c r="F326" s="41">
        <v>4927</v>
      </c>
      <c r="G326" s="41">
        <v>4929</v>
      </c>
      <c r="H326" s="41">
        <v>1335862125</v>
      </c>
      <c r="I326" s="42">
        <v>5420</v>
      </c>
    </row>
    <row r="327" spans="1:9" x14ac:dyDescent="0.25">
      <c r="A327" t="s">
        <v>9</v>
      </c>
      <c r="B327" s="39">
        <v>46155</v>
      </c>
      <c r="C327" s="40">
        <v>0.5625</v>
      </c>
      <c r="D327" s="41">
        <v>4926</v>
      </c>
      <c r="E327" s="41">
        <v>4929.5</v>
      </c>
      <c r="F327" s="41">
        <v>4925</v>
      </c>
      <c r="G327" s="41">
        <v>4929</v>
      </c>
      <c r="H327" s="41">
        <v>2514007125</v>
      </c>
      <c r="I327" s="42">
        <v>10205</v>
      </c>
    </row>
    <row r="328" spans="1:9" x14ac:dyDescent="0.25">
      <c r="A328" t="s">
        <v>9</v>
      </c>
      <c r="B328" s="39">
        <v>46155</v>
      </c>
      <c r="C328" s="40">
        <v>0.54166666666666663</v>
      </c>
      <c r="D328" s="41">
        <v>4928</v>
      </c>
      <c r="E328" s="41">
        <v>4928</v>
      </c>
      <c r="F328" s="41">
        <v>4923</v>
      </c>
      <c r="G328" s="41">
        <v>4926.5</v>
      </c>
      <c r="H328" s="41">
        <v>2317377000</v>
      </c>
      <c r="I328" s="42">
        <v>9410</v>
      </c>
    </row>
    <row r="329" spans="1:9" x14ac:dyDescent="0.25">
      <c r="A329" t="s">
        <v>9</v>
      </c>
      <c r="B329" s="39">
        <v>46155</v>
      </c>
      <c r="C329" s="40">
        <v>0.52083333333333337</v>
      </c>
      <c r="D329" s="41">
        <v>4932.5</v>
      </c>
      <c r="E329" s="41">
        <v>4933.5</v>
      </c>
      <c r="F329" s="41">
        <v>4927</v>
      </c>
      <c r="G329" s="41">
        <v>4927.5</v>
      </c>
      <c r="H329" s="41">
        <v>2253512125</v>
      </c>
      <c r="I329" s="42">
        <v>9140</v>
      </c>
    </row>
    <row r="330" spans="1:9" x14ac:dyDescent="0.25">
      <c r="A330" t="s">
        <v>9</v>
      </c>
      <c r="B330" s="39">
        <v>46155</v>
      </c>
      <c r="C330" s="40">
        <v>0.5</v>
      </c>
      <c r="D330" s="41">
        <v>4933</v>
      </c>
      <c r="E330" s="41">
        <v>4934</v>
      </c>
      <c r="F330" s="41">
        <v>4930</v>
      </c>
      <c r="G330" s="41">
        <v>4932.5</v>
      </c>
      <c r="H330" s="41">
        <v>2896298500</v>
      </c>
      <c r="I330" s="42">
        <v>11745</v>
      </c>
    </row>
    <row r="331" spans="1:9" x14ac:dyDescent="0.25">
      <c r="A331" t="s">
        <v>9</v>
      </c>
      <c r="B331" s="39">
        <v>46155</v>
      </c>
      <c r="C331" s="40">
        <v>0.47916666666666669</v>
      </c>
      <c r="D331" s="41">
        <v>4935.5</v>
      </c>
      <c r="E331" s="41">
        <v>4938.5</v>
      </c>
      <c r="F331" s="41">
        <v>4933</v>
      </c>
      <c r="G331" s="41">
        <v>4933</v>
      </c>
      <c r="H331" s="41">
        <v>2412172375</v>
      </c>
      <c r="I331" s="42">
        <v>9775</v>
      </c>
    </row>
    <row r="332" spans="1:9" x14ac:dyDescent="0.25">
      <c r="A332" t="s">
        <v>9</v>
      </c>
      <c r="B332" s="39">
        <v>46155</v>
      </c>
      <c r="C332" s="40">
        <v>0.45833333333333331</v>
      </c>
      <c r="D332" s="41">
        <v>4937.5</v>
      </c>
      <c r="E332" s="41">
        <v>4943.5</v>
      </c>
      <c r="F332" s="41">
        <v>4935.5</v>
      </c>
      <c r="G332" s="41">
        <v>4936</v>
      </c>
      <c r="H332" s="41">
        <v>3028686875</v>
      </c>
      <c r="I332" s="42">
        <v>12265</v>
      </c>
    </row>
    <row r="333" spans="1:9" x14ac:dyDescent="0.25">
      <c r="A333" t="s">
        <v>9</v>
      </c>
      <c r="B333" s="39">
        <v>46155</v>
      </c>
      <c r="C333" s="40">
        <v>0.4375</v>
      </c>
      <c r="D333" s="41">
        <v>4947.5</v>
      </c>
      <c r="E333" s="41">
        <v>4956</v>
      </c>
      <c r="F333" s="41">
        <v>4936</v>
      </c>
      <c r="G333" s="41">
        <v>4937.5</v>
      </c>
      <c r="H333" s="41">
        <v>5071925250</v>
      </c>
      <c r="I333" s="42">
        <v>20510</v>
      </c>
    </row>
    <row r="334" spans="1:9" x14ac:dyDescent="0.25">
      <c r="A334" t="s">
        <v>9</v>
      </c>
      <c r="B334" s="39">
        <v>46155</v>
      </c>
      <c r="C334" s="40">
        <v>0.41666666666666669</v>
      </c>
      <c r="D334" s="41">
        <v>4940.5</v>
      </c>
      <c r="E334" s="41">
        <v>4948</v>
      </c>
      <c r="F334" s="41">
        <v>4935</v>
      </c>
      <c r="G334" s="41">
        <v>4947.5</v>
      </c>
      <c r="H334" s="41">
        <v>3505964750</v>
      </c>
      <c r="I334" s="42">
        <v>14190</v>
      </c>
    </row>
    <row r="335" spans="1:9" x14ac:dyDescent="0.25">
      <c r="A335" t="s">
        <v>9</v>
      </c>
      <c r="B335" s="39">
        <v>46155</v>
      </c>
      <c r="C335" s="40">
        <v>0.39583333333333331</v>
      </c>
      <c r="D335" s="41">
        <v>4931.5</v>
      </c>
      <c r="E335" s="41">
        <v>4945</v>
      </c>
      <c r="F335" s="41">
        <v>4927</v>
      </c>
      <c r="G335" s="41">
        <v>4940.5</v>
      </c>
      <c r="H335" s="41">
        <v>4843941375</v>
      </c>
      <c r="I335" s="42">
        <v>19625</v>
      </c>
    </row>
    <row r="336" spans="1:9" x14ac:dyDescent="0.25">
      <c r="A336" t="s">
        <v>9</v>
      </c>
      <c r="B336" s="39">
        <v>46155</v>
      </c>
      <c r="C336" s="40">
        <v>0.375</v>
      </c>
      <c r="D336" s="41">
        <v>4913.5</v>
      </c>
      <c r="E336" s="41">
        <v>4934.5</v>
      </c>
      <c r="F336" s="41">
        <v>4912.5</v>
      </c>
      <c r="G336" s="41">
        <v>4929.5</v>
      </c>
      <c r="H336" s="41">
        <v>4061352000</v>
      </c>
      <c r="I336" s="42">
        <v>16490</v>
      </c>
    </row>
    <row r="337" spans="1:9" x14ac:dyDescent="0.25">
      <c r="A337" t="s">
        <v>9</v>
      </c>
      <c r="B337" s="39">
        <v>46154</v>
      </c>
      <c r="C337" s="40">
        <v>0.75</v>
      </c>
      <c r="D337" s="41">
        <v>4916.5</v>
      </c>
      <c r="E337" s="41">
        <v>4916.5</v>
      </c>
      <c r="F337" s="41">
        <v>4913</v>
      </c>
      <c r="G337" s="41">
        <v>4913.5</v>
      </c>
      <c r="H337" s="41">
        <v>212556875</v>
      </c>
      <c r="I337" s="42">
        <v>865</v>
      </c>
    </row>
    <row r="338" spans="1:9" x14ac:dyDescent="0.25">
      <c r="A338" t="s">
        <v>9</v>
      </c>
      <c r="B338" s="39">
        <v>46154</v>
      </c>
      <c r="C338" s="40">
        <v>0.72916666666666663</v>
      </c>
      <c r="D338" s="41">
        <v>4917</v>
      </c>
      <c r="E338" s="41">
        <v>4918</v>
      </c>
      <c r="F338" s="41">
        <v>4915.5</v>
      </c>
      <c r="G338" s="41">
        <v>4917</v>
      </c>
      <c r="H338" s="41">
        <v>650248375</v>
      </c>
      <c r="I338" s="42">
        <v>2645</v>
      </c>
    </row>
    <row r="339" spans="1:9" x14ac:dyDescent="0.25">
      <c r="A339" t="s">
        <v>9</v>
      </c>
      <c r="B339" s="39">
        <v>46154</v>
      </c>
      <c r="C339" s="40">
        <v>0.70833333333333337</v>
      </c>
      <c r="D339" s="41">
        <v>4917</v>
      </c>
      <c r="E339" s="41">
        <v>4919</v>
      </c>
      <c r="F339" s="41">
        <v>4916.5</v>
      </c>
      <c r="G339" s="41">
        <v>4917</v>
      </c>
      <c r="H339" s="41">
        <v>1858777500</v>
      </c>
      <c r="I339" s="42">
        <v>7560</v>
      </c>
    </row>
    <row r="340" spans="1:9" x14ac:dyDescent="0.25">
      <c r="A340" t="s">
        <v>9</v>
      </c>
      <c r="B340" s="39">
        <v>46154</v>
      </c>
      <c r="C340" s="40">
        <v>0.6875</v>
      </c>
      <c r="D340" s="41">
        <v>4917.5</v>
      </c>
      <c r="E340" s="41">
        <v>4917.5</v>
      </c>
      <c r="F340" s="41">
        <v>4914.5</v>
      </c>
      <c r="G340" s="41">
        <v>4917</v>
      </c>
      <c r="H340" s="41">
        <v>1113415875</v>
      </c>
      <c r="I340" s="42">
        <v>4530</v>
      </c>
    </row>
    <row r="341" spans="1:9" x14ac:dyDescent="0.25">
      <c r="A341" t="s">
        <v>9</v>
      </c>
      <c r="B341" s="39">
        <v>46154</v>
      </c>
      <c r="C341" s="40">
        <v>0.66666666666666663</v>
      </c>
      <c r="D341" s="41">
        <v>4915</v>
      </c>
      <c r="E341" s="41">
        <v>4918</v>
      </c>
      <c r="F341" s="41">
        <v>4912</v>
      </c>
      <c r="G341" s="41">
        <v>4918</v>
      </c>
      <c r="H341" s="41">
        <v>1325779625</v>
      </c>
      <c r="I341" s="42">
        <v>5395</v>
      </c>
    </row>
    <row r="342" spans="1:9" x14ac:dyDescent="0.25">
      <c r="A342" t="s">
        <v>9</v>
      </c>
      <c r="B342" s="39">
        <v>46154</v>
      </c>
      <c r="C342" s="40">
        <v>0.64583333333333337</v>
      </c>
      <c r="D342" s="41">
        <v>4916</v>
      </c>
      <c r="E342" s="41">
        <v>4917</v>
      </c>
      <c r="F342" s="41">
        <v>4913.5</v>
      </c>
      <c r="G342" s="41">
        <v>4915.5</v>
      </c>
      <c r="H342" s="41">
        <v>2589401875</v>
      </c>
      <c r="I342" s="42">
        <v>10535</v>
      </c>
    </row>
    <row r="343" spans="1:9" x14ac:dyDescent="0.25">
      <c r="A343" t="s">
        <v>9</v>
      </c>
      <c r="B343" s="39">
        <v>46154</v>
      </c>
      <c r="C343" s="40">
        <v>0.625</v>
      </c>
      <c r="D343" s="41">
        <v>4918</v>
      </c>
      <c r="E343" s="41">
        <v>4919.5</v>
      </c>
      <c r="F343" s="41">
        <v>4915</v>
      </c>
      <c r="G343" s="41">
        <v>4916.5</v>
      </c>
      <c r="H343" s="41">
        <v>2539492875</v>
      </c>
      <c r="I343" s="42">
        <v>10330</v>
      </c>
    </row>
    <row r="344" spans="1:9" x14ac:dyDescent="0.25">
      <c r="A344" t="s">
        <v>9</v>
      </c>
      <c r="B344" s="39">
        <v>46154</v>
      </c>
      <c r="C344" s="40">
        <v>0.60416666666666663</v>
      </c>
      <c r="D344" s="41">
        <v>4915.5</v>
      </c>
      <c r="E344" s="41">
        <v>4919</v>
      </c>
      <c r="F344" s="41">
        <v>4915</v>
      </c>
      <c r="G344" s="41">
        <v>4918</v>
      </c>
      <c r="H344" s="41">
        <v>1321429500</v>
      </c>
      <c r="I344" s="42">
        <v>5375</v>
      </c>
    </row>
    <row r="345" spans="1:9" x14ac:dyDescent="0.25">
      <c r="A345" t="s">
        <v>9</v>
      </c>
      <c r="B345" s="39">
        <v>46154</v>
      </c>
      <c r="C345" s="40">
        <v>0.58333333333333337</v>
      </c>
      <c r="D345" s="41">
        <v>4922.5</v>
      </c>
      <c r="E345" s="41">
        <v>4923</v>
      </c>
      <c r="F345" s="41">
        <v>4911.5</v>
      </c>
      <c r="G345" s="41">
        <v>4915</v>
      </c>
      <c r="H345" s="41">
        <v>2413615500</v>
      </c>
      <c r="I345" s="42">
        <v>9815</v>
      </c>
    </row>
    <row r="346" spans="1:9" x14ac:dyDescent="0.25">
      <c r="A346" t="s">
        <v>9</v>
      </c>
      <c r="B346" s="39">
        <v>46154</v>
      </c>
      <c r="C346" s="40">
        <v>0.5625</v>
      </c>
      <c r="D346" s="41">
        <v>4922.5</v>
      </c>
      <c r="E346" s="41">
        <v>4924</v>
      </c>
      <c r="F346" s="41">
        <v>4920.5</v>
      </c>
      <c r="G346" s="41">
        <v>4923</v>
      </c>
      <c r="H346" s="41">
        <v>1190036125</v>
      </c>
      <c r="I346" s="42">
        <v>4835</v>
      </c>
    </row>
    <row r="347" spans="1:9" x14ac:dyDescent="0.25">
      <c r="A347" t="s">
        <v>9</v>
      </c>
      <c r="B347" s="39">
        <v>46154</v>
      </c>
      <c r="C347" s="40">
        <v>0.54166666666666663</v>
      </c>
      <c r="D347" s="41">
        <v>4924.5</v>
      </c>
      <c r="E347" s="41">
        <v>4925.5</v>
      </c>
      <c r="F347" s="41">
        <v>4919</v>
      </c>
      <c r="G347" s="41">
        <v>4922.5</v>
      </c>
      <c r="H347" s="41">
        <v>3307748250</v>
      </c>
      <c r="I347" s="42">
        <v>13440</v>
      </c>
    </row>
    <row r="348" spans="1:9" x14ac:dyDescent="0.25">
      <c r="A348" t="s">
        <v>9</v>
      </c>
      <c r="B348" s="39">
        <v>46154</v>
      </c>
      <c r="C348" s="40">
        <v>0.52083333333333337</v>
      </c>
      <c r="D348" s="41">
        <v>4936.5</v>
      </c>
      <c r="E348" s="41">
        <v>4936.5</v>
      </c>
      <c r="F348" s="41">
        <v>4922.5</v>
      </c>
      <c r="G348" s="41">
        <v>4924.5</v>
      </c>
      <c r="H348" s="41">
        <v>5934204125</v>
      </c>
      <c r="I348" s="42">
        <v>24090</v>
      </c>
    </row>
    <row r="349" spans="1:9" x14ac:dyDescent="0.25">
      <c r="A349" t="s">
        <v>9</v>
      </c>
      <c r="B349" s="39">
        <v>46154</v>
      </c>
      <c r="C349" s="40">
        <v>0.5</v>
      </c>
      <c r="D349" s="41">
        <v>4927</v>
      </c>
      <c r="E349" s="41">
        <v>4938.5</v>
      </c>
      <c r="F349" s="41">
        <v>4925</v>
      </c>
      <c r="G349" s="41">
        <v>4936.5</v>
      </c>
      <c r="H349" s="41">
        <v>4172935125</v>
      </c>
      <c r="I349" s="42">
        <v>16920</v>
      </c>
    </row>
    <row r="350" spans="1:9" x14ac:dyDescent="0.25">
      <c r="A350" t="s">
        <v>9</v>
      </c>
      <c r="B350" s="39">
        <v>46154</v>
      </c>
      <c r="C350" s="40">
        <v>0.47916666666666669</v>
      </c>
      <c r="D350" s="41">
        <v>4925.5</v>
      </c>
      <c r="E350" s="41">
        <v>4929</v>
      </c>
      <c r="F350" s="41">
        <v>4924.5</v>
      </c>
      <c r="G350" s="41">
        <v>4927.5</v>
      </c>
      <c r="H350" s="41">
        <v>1527438500</v>
      </c>
      <c r="I350" s="42">
        <v>6200</v>
      </c>
    </row>
    <row r="351" spans="1:9" x14ac:dyDescent="0.25">
      <c r="A351" t="s">
        <v>9</v>
      </c>
      <c r="B351" s="39">
        <v>46154</v>
      </c>
      <c r="C351" s="40">
        <v>0.45833333333333331</v>
      </c>
      <c r="D351" s="41">
        <v>4924</v>
      </c>
      <c r="E351" s="41">
        <v>4927</v>
      </c>
      <c r="F351" s="41">
        <v>4921.5</v>
      </c>
      <c r="G351" s="41">
        <v>4926</v>
      </c>
      <c r="H351" s="41">
        <v>2219492625</v>
      </c>
      <c r="I351" s="42">
        <v>9015</v>
      </c>
    </row>
    <row r="352" spans="1:9" x14ac:dyDescent="0.25">
      <c r="A352" t="s">
        <v>9</v>
      </c>
      <c r="B352" s="39">
        <v>46154</v>
      </c>
      <c r="C352" s="40">
        <v>0.4375</v>
      </c>
      <c r="D352" s="41">
        <v>4921.5</v>
      </c>
      <c r="E352" s="41">
        <v>4926.5</v>
      </c>
      <c r="F352" s="41">
        <v>4919.5</v>
      </c>
      <c r="G352" s="41">
        <v>4925</v>
      </c>
      <c r="H352" s="41">
        <v>2140081625</v>
      </c>
      <c r="I352" s="42">
        <v>8695</v>
      </c>
    </row>
    <row r="353" spans="1:9" x14ac:dyDescent="0.25">
      <c r="A353" t="s">
        <v>9</v>
      </c>
      <c r="B353" s="39">
        <v>46154</v>
      </c>
      <c r="C353" s="40">
        <v>0.41666666666666669</v>
      </c>
      <c r="D353" s="41">
        <v>4913.5</v>
      </c>
      <c r="E353" s="41">
        <v>4923</v>
      </c>
      <c r="F353" s="41">
        <v>4912.5</v>
      </c>
      <c r="G353" s="41">
        <v>4921</v>
      </c>
      <c r="H353" s="41">
        <v>5859083750</v>
      </c>
      <c r="I353" s="42">
        <v>23830</v>
      </c>
    </row>
    <row r="354" spans="1:9" x14ac:dyDescent="0.25">
      <c r="A354" t="s">
        <v>9</v>
      </c>
      <c r="B354" s="39">
        <v>46154</v>
      </c>
      <c r="C354" s="40">
        <v>0.39583333333333331</v>
      </c>
      <c r="D354" s="41">
        <v>4924.5</v>
      </c>
      <c r="E354" s="41">
        <v>4926</v>
      </c>
      <c r="F354" s="41">
        <v>4913.5</v>
      </c>
      <c r="G354" s="41">
        <v>4914</v>
      </c>
      <c r="H354" s="41">
        <v>3126292125</v>
      </c>
      <c r="I354" s="42">
        <v>12715</v>
      </c>
    </row>
    <row r="355" spans="1:9" x14ac:dyDescent="0.25">
      <c r="A355" t="s">
        <v>9</v>
      </c>
      <c r="B355" s="39">
        <v>46154</v>
      </c>
      <c r="C355" s="40">
        <v>0.375</v>
      </c>
      <c r="D355" s="41">
        <v>4930</v>
      </c>
      <c r="E355" s="41">
        <v>4931.5</v>
      </c>
      <c r="F355" s="41">
        <v>4921.5</v>
      </c>
      <c r="G355" s="41">
        <v>4924.5</v>
      </c>
      <c r="H355" s="41">
        <v>2378072750</v>
      </c>
      <c r="I355" s="42">
        <v>9655</v>
      </c>
    </row>
    <row r="356" spans="1:9" x14ac:dyDescent="0.25">
      <c r="A356" t="s">
        <v>9</v>
      </c>
      <c r="B356" s="39">
        <v>46153</v>
      </c>
      <c r="C356" s="40">
        <v>0.75</v>
      </c>
      <c r="D356" s="41">
        <v>4916.5</v>
      </c>
      <c r="E356" s="41">
        <v>4916.5</v>
      </c>
      <c r="F356" s="41">
        <v>4911</v>
      </c>
      <c r="G356" s="41">
        <v>4912</v>
      </c>
      <c r="H356" s="41">
        <v>523317625</v>
      </c>
      <c r="I356" s="42">
        <v>2130</v>
      </c>
    </row>
    <row r="357" spans="1:9" x14ac:dyDescent="0.25">
      <c r="A357" t="s">
        <v>9</v>
      </c>
      <c r="B357" s="39">
        <v>46153</v>
      </c>
      <c r="C357" s="40">
        <v>0.72916666666666663</v>
      </c>
      <c r="D357" s="41">
        <v>4916.5</v>
      </c>
      <c r="E357" s="41">
        <v>4918</v>
      </c>
      <c r="F357" s="41">
        <v>4915.5</v>
      </c>
      <c r="G357" s="41">
        <v>4916</v>
      </c>
      <c r="H357" s="41">
        <v>265511250</v>
      </c>
      <c r="I357" s="42">
        <v>1080</v>
      </c>
    </row>
    <row r="358" spans="1:9" x14ac:dyDescent="0.25">
      <c r="A358" t="s">
        <v>9</v>
      </c>
      <c r="B358" s="39">
        <v>46153</v>
      </c>
      <c r="C358" s="40">
        <v>0.70833333333333337</v>
      </c>
      <c r="D358" s="41">
        <v>4916</v>
      </c>
      <c r="E358" s="41">
        <v>4918</v>
      </c>
      <c r="F358" s="41">
        <v>4914</v>
      </c>
      <c r="G358" s="41">
        <v>4917</v>
      </c>
      <c r="H358" s="41">
        <v>994338500</v>
      </c>
      <c r="I358" s="42">
        <v>4045</v>
      </c>
    </row>
    <row r="359" spans="1:9" x14ac:dyDescent="0.25">
      <c r="A359" t="s">
        <v>9</v>
      </c>
      <c r="B359" s="39">
        <v>46153</v>
      </c>
      <c r="C359" s="40">
        <v>0.6875</v>
      </c>
      <c r="D359" s="41">
        <v>4920.5</v>
      </c>
      <c r="E359" s="41">
        <v>4921.5</v>
      </c>
      <c r="F359" s="41">
        <v>4916</v>
      </c>
      <c r="G359" s="41">
        <v>4916</v>
      </c>
      <c r="H359" s="41">
        <v>1078393875</v>
      </c>
      <c r="I359" s="42">
        <v>4385</v>
      </c>
    </row>
    <row r="360" spans="1:9" x14ac:dyDescent="0.25">
      <c r="A360" t="s">
        <v>9</v>
      </c>
      <c r="B360" s="39">
        <v>46153</v>
      </c>
      <c r="C360" s="40">
        <v>0.66666666666666663</v>
      </c>
      <c r="D360" s="41">
        <v>4917</v>
      </c>
      <c r="E360" s="41">
        <v>4922.5</v>
      </c>
      <c r="F360" s="41">
        <v>4916.5</v>
      </c>
      <c r="G360" s="41">
        <v>4920.5</v>
      </c>
      <c r="H360" s="41">
        <v>2221693500</v>
      </c>
      <c r="I360" s="42">
        <v>9030</v>
      </c>
    </row>
    <row r="361" spans="1:9" x14ac:dyDescent="0.25">
      <c r="A361" t="s">
        <v>9</v>
      </c>
      <c r="B361" s="39">
        <v>46153</v>
      </c>
      <c r="C361" s="40">
        <v>0.64583333333333337</v>
      </c>
      <c r="D361" s="41">
        <v>4920</v>
      </c>
      <c r="E361" s="41">
        <v>4920</v>
      </c>
      <c r="F361" s="41">
        <v>4915.5</v>
      </c>
      <c r="G361" s="41">
        <v>4917</v>
      </c>
      <c r="H361" s="41">
        <v>2532974250</v>
      </c>
      <c r="I361" s="42">
        <v>10300</v>
      </c>
    </row>
    <row r="362" spans="1:9" x14ac:dyDescent="0.25">
      <c r="A362" t="s">
        <v>9</v>
      </c>
      <c r="B362" s="39">
        <v>46153</v>
      </c>
      <c r="C362" s="40">
        <v>0.625</v>
      </c>
      <c r="D362" s="41">
        <v>4920</v>
      </c>
      <c r="E362" s="41">
        <v>4921.5</v>
      </c>
      <c r="F362" s="41">
        <v>4917.5</v>
      </c>
      <c r="G362" s="41">
        <v>4920</v>
      </c>
      <c r="H362" s="41">
        <v>2345540125</v>
      </c>
      <c r="I362" s="42">
        <v>9535</v>
      </c>
    </row>
    <row r="363" spans="1:9" x14ac:dyDescent="0.25">
      <c r="A363" t="s">
        <v>9</v>
      </c>
      <c r="B363" s="39">
        <v>46153</v>
      </c>
      <c r="C363" s="40">
        <v>0.60416666666666663</v>
      </c>
      <c r="D363" s="41">
        <v>4923</v>
      </c>
      <c r="E363" s="41">
        <v>4923</v>
      </c>
      <c r="F363" s="41">
        <v>4919.5</v>
      </c>
      <c r="G363" s="41">
        <v>4920</v>
      </c>
      <c r="H363" s="41">
        <v>2083827625</v>
      </c>
      <c r="I363" s="42">
        <v>8470</v>
      </c>
    </row>
    <row r="364" spans="1:9" x14ac:dyDescent="0.25">
      <c r="A364" t="s">
        <v>9</v>
      </c>
      <c r="B364" s="39">
        <v>46153</v>
      </c>
      <c r="C364" s="40">
        <v>0.58333333333333337</v>
      </c>
      <c r="D364" s="41">
        <v>4924</v>
      </c>
      <c r="E364" s="41">
        <v>4926.5</v>
      </c>
      <c r="F364" s="41">
        <v>4922</v>
      </c>
      <c r="G364" s="41">
        <v>4922.5</v>
      </c>
      <c r="H364" s="41">
        <v>654939000</v>
      </c>
      <c r="I364" s="42">
        <v>2660</v>
      </c>
    </row>
    <row r="365" spans="1:9" x14ac:dyDescent="0.25">
      <c r="A365" t="s">
        <v>9</v>
      </c>
      <c r="B365" s="39">
        <v>46153</v>
      </c>
      <c r="C365" s="40">
        <v>0.5625</v>
      </c>
      <c r="D365" s="41">
        <v>4925</v>
      </c>
      <c r="E365" s="41">
        <v>4927</v>
      </c>
      <c r="F365" s="41">
        <v>4922.5</v>
      </c>
      <c r="G365" s="41">
        <v>4923.5</v>
      </c>
      <c r="H365" s="41">
        <v>1451469000</v>
      </c>
      <c r="I365" s="42">
        <v>5895</v>
      </c>
    </row>
    <row r="366" spans="1:9" x14ac:dyDescent="0.25">
      <c r="A366" t="s">
        <v>9</v>
      </c>
      <c r="B366" s="39">
        <v>46153</v>
      </c>
      <c r="C366" s="40">
        <v>0.54166666666666663</v>
      </c>
      <c r="D366" s="41">
        <v>4923</v>
      </c>
      <c r="E366" s="41">
        <v>4927</v>
      </c>
      <c r="F366" s="41">
        <v>4923</v>
      </c>
      <c r="G366" s="41">
        <v>4925</v>
      </c>
      <c r="H366" s="41">
        <v>1414550750</v>
      </c>
      <c r="I366" s="42">
        <v>5745</v>
      </c>
    </row>
    <row r="367" spans="1:9" x14ac:dyDescent="0.25">
      <c r="A367" t="s">
        <v>9</v>
      </c>
      <c r="B367" s="39">
        <v>46153</v>
      </c>
      <c r="C367" s="40">
        <v>0.52083333333333337</v>
      </c>
      <c r="D367" s="41">
        <v>4923</v>
      </c>
      <c r="E367" s="41">
        <v>4926.5</v>
      </c>
      <c r="F367" s="41">
        <v>4921</v>
      </c>
      <c r="G367" s="41">
        <v>4923</v>
      </c>
      <c r="H367" s="41">
        <v>1344178625</v>
      </c>
      <c r="I367" s="42">
        <v>5460</v>
      </c>
    </row>
    <row r="368" spans="1:9" x14ac:dyDescent="0.25">
      <c r="A368" t="s">
        <v>9</v>
      </c>
      <c r="B368" s="39">
        <v>46153</v>
      </c>
      <c r="C368" s="40">
        <v>0.5</v>
      </c>
      <c r="D368" s="41">
        <v>4922.5</v>
      </c>
      <c r="E368" s="41">
        <v>4925</v>
      </c>
      <c r="F368" s="41">
        <v>4921</v>
      </c>
      <c r="G368" s="41">
        <v>4922.5</v>
      </c>
      <c r="H368" s="41">
        <v>1643132500</v>
      </c>
      <c r="I368" s="42">
        <v>6675</v>
      </c>
    </row>
    <row r="369" spans="1:9" x14ac:dyDescent="0.25">
      <c r="A369" t="s">
        <v>9</v>
      </c>
      <c r="B369" s="39">
        <v>46153</v>
      </c>
      <c r="C369" s="40">
        <v>0.47916666666666669</v>
      </c>
      <c r="D369" s="41">
        <v>4914</v>
      </c>
      <c r="E369" s="41">
        <v>4923</v>
      </c>
      <c r="F369" s="41">
        <v>4911.5</v>
      </c>
      <c r="G369" s="41">
        <v>4922</v>
      </c>
      <c r="H369" s="41">
        <v>3679814875</v>
      </c>
      <c r="I369" s="42">
        <v>14965</v>
      </c>
    </row>
    <row r="370" spans="1:9" x14ac:dyDescent="0.25">
      <c r="A370" t="s">
        <v>9</v>
      </c>
      <c r="B370" s="39">
        <v>46153</v>
      </c>
      <c r="C370" s="40">
        <v>0.45833333333333331</v>
      </c>
      <c r="D370" s="41">
        <v>4914</v>
      </c>
      <c r="E370" s="41">
        <v>4917.5</v>
      </c>
      <c r="F370" s="41">
        <v>4910</v>
      </c>
      <c r="G370" s="41">
        <v>4914</v>
      </c>
      <c r="H370" s="41">
        <v>2360328125</v>
      </c>
      <c r="I370" s="42">
        <v>9605</v>
      </c>
    </row>
    <row r="371" spans="1:9" x14ac:dyDescent="0.25">
      <c r="A371" t="s">
        <v>9</v>
      </c>
      <c r="B371" s="39">
        <v>46153</v>
      </c>
      <c r="C371" s="40">
        <v>0.4375</v>
      </c>
      <c r="D371" s="41">
        <v>4917</v>
      </c>
      <c r="E371" s="41">
        <v>4917.5</v>
      </c>
      <c r="F371" s="41">
        <v>4911</v>
      </c>
      <c r="G371" s="41">
        <v>4914</v>
      </c>
      <c r="H371" s="41">
        <v>2279440250</v>
      </c>
      <c r="I371" s="42">
        <v>9275</v>
      </c>
    </row>
    <row r="372" spans="1:9" x14ac:dyDescent="0.25">
      <c r="A372" t="s">
        <v>9</v>
      </c>
      <c r="B372" s="39">
        <v>46153</v>
      </c>
      <c r="C372" s="40">
        <v>0.41666666666666669</v>
      </c>
      <c r="D372" s="41">
        <v>4925.5</v>
      </c>
      <c r="E372" s="41">
        <v>4926</v>
      </c>
      <c r="F372" s="41">
        <v>4916.5</v>
      </c>
      <c r="G372" s="41">
        <v>4917</v>
      </c>
      <c r="H372" s="41">
        <v>2159177750</v>
      </c>
      <c r="I372" s="42">
        <v>8775</v>
      </c>
    </row>
    <row r="373" spans="1:9" x14ac:dyDescent="0.25">
      <c r="A373" t="s">
        <v>9</v>
      </c>
      <c r="B373" s="39">
        <v>46153</v>
      </c>
      <c r="C373" s="40">
        <v>0.39583333333333331</v>
      </c>
      <c r="D373" s="41">
        <v>4920.5</v>
      </c>
      <c r="E373" s="41">
        <v>4929.5</v>
      </c>
      <c r="F373" s="41">
        <v>4916.5</v>
      </c>
      <c r="G373" s="41">
        <v>4925.5</v>
      </c>
      <c r="H373" s="41">
        <v>2345039125</v>
      </c>
      <c r="I373" s="42">
        <v>9525</v>
      </c>
    </row>
    <row r="374" spans="1:9" x14ac:dyDescent="0.25">
      <c r="A374" t="s">
        <v>9</v>
      </c>
      <c r="B374" s="39">
        <v>46153</v>
      </c>
      <c r="C374" s="40">
        <v>0.375</v>
      </c>
      <c r="D374" s="41">
        <v>4924.5</v>
      </c>
      <c r="E374" s="41">
        <v>4928.5</v>
      </c>
      <c r="F374" s="41">
        <v>4918</v>
      </c>
      <c r="G374" s="41">
        <v>4920</v>
      </c>
      <c r="H374" s="41">
        <v>1887397750</v>
      </c>
      <c r="I374" s="42">
        <v>7665</v>
      </c>
    </row>
    <row r="375" spans="1:9" x14ac:dyDescent="0.25">
      <c r="A375" t="s">
        <v>9</v>
      </c>
      <c r="B375" s="39">
        <v>46150</v>
      </c>
      <c r="C375" s="40">
        <v>0.75</v>
      </c>
      <c r="D375" s="41">
        <v>4916</v>
      </c>
      <c r="E375" s="41">
        <v>4919.5</v>
      </c>
      <c r="F375" s="41">
        <v>4913.5</v>
      </c>
      <c r="G375" s="41">
        <v>4915</v>
      </c>
      <c r="H375" s="41">
        <v>227368250</v>
      </c>
      <c r="I375" s="42">
        <v>925</v>
      </c>
    </row>
    <row r="376" spans="1:9" x14ac:dyDescent="0.25">
      <c r="A376" t="s">
        <v>9</v>
      </c>
      <c r="B376" s="39">
        <v>46150</v>
      </c>
      <c r="C376" s="40">
        <v>0.72916666666666663</v>
      </c>
      <c r="D376" s="41">
        <v>4917.5</v>
      </c>
      <c r="E376" s="41">
        <v>4918.5</v>
      </c>
      <c r="F376" s="41">
        <v>4914</v>
      </c>
      <c r="G376" s="41">
        <v>4916</v>
      </c>
      <c r="H376" s="41">
        <v>1406090000</v>
      </c>
      <c r="I376" s="42">
        <v>5720</v>
      </c>
    </row>
    <row r="377" spans="1:9" x14ac:dyDescent="0.25">
      <c r="A377" t="s">
        <v>9</v>
      </c>
      <c r="B377" s="39">
        <v>46150</v>
      </c>
      <c r="C377" s="40">
        <v>0.70833333333333337</v>
      </c>
      <c r="D377" s="41">
        <v>4922</v>
      </c>
      <c r="E377" s="41">
        <v>4922</v>
      </c>
      <c r="F377" s="41">
        <v>4917.5</v>
      </c>
      <c r="G377" s="41">
        <v>4918</v>
      </c>
      <c r="H377" s="41">
        <v>1383706500</v>
      </c>
      <c r="I377" s="42">
        <v>5625</v>
      </c>
    </row>
    <row r="378" spans="1:9" x14ac:dyDescent="0.25">
      <c r="A378" t="s">
        <v>9</v>
      </c>
      <c r="B378" s="39">
        <v>46150</v>
      </c>
      <c r="C378" s="40">
        <v>0.6875</v>
      </c>
      <c r="D378" s="41">
        <v>4921.5</v>
      </c>
      <c r="E378" s="41">
        <v>4922.5</v>
      </c>
      <c r="F378" s="41">
        <v>4920.5</v>
      </c>
      <c r="G378" s="41">
        <v>4922.5</v>
      </c>
      <c r="H378" s="41">
        <v>1769305750</v>
      </c>
      <c r="I378" s="42">
        <v>7190</v>
      </c>
    </row>
    <row r="379" spans="1:9" x14ac:dyDescent="0.25">
      <c r="A379" t="s">
        <v>9</v>
      </c>
      <c r="B379" s="39">
        <v>46150</v>
      </c>
      <c r="C379" s="40">
        <v>0.66666666666666663</v>
      </c>
      <c r="D379" s="41">
        <v>4920</v>
      </c>
      <c r="E379" s="41">
        <v>4922</v>
      </c>
      <c r="F379" s="41">
        <v>4917</v>
      </c>
      <c r="G379" s="41">
        <v>4921.5</v>
      </c>
      <c r="H379" s="41">
        <v>2045349125</v>
      </c>
      <c r="I379" s="42">
        <v>8315</v>
      </c>
    </row>
    <row r="380" spans="1:9" x14ac:dyDescent="0.25">
      <c r="A380" t="s">
        <v>9</v>
      </c>
      <c r="B380" s="39">
        <v>46150</v>
      </c>
      <c r="C380" s="40">
        <v>0.64583333333333337</v>
      </c>
      <c r="D380" s="41">
        <v>4921.5</v>
      </c>
      <c r="E380" s="41">
        <v>4923.5</v>
      </c>
      <c r="F380" s="41">
        <v>4918.5</v>
      </c>
      <c r="G380" s="41">
        <v>4920</v>
      </c>
      <c r="H380" s="41">
        <v>1723607250</v>
      </c>
      <c r="I380" s="42">
        <v>7005</v>
      </c>
    </row>
    <row r="381" spans="1:9" x14ac:dyDescent="0.25">
      <c r="A381" t="s">
        <v>9</v>
      </c>
      <c r="B381" s="39">
        <v>46150</v>
      </c>
      <c r="C381" s="40">
        <v>0.625</v>
      </c>
      <c r="D381" s="41">
        <v>4923.5</v>
      </c>
      <c r="E381" s="41">
        <v>4924</v>
      </c>
      <c r="F381" s="41">
        <v>4919</v>
      </c>
      <c r="G381" s="41">
        <v>4921.5</v>
      </c>
      <c r="H381" s="41">
        <v>1704101000</v>
      </c>
      <c r="I381" s="42">
        <v>6925</v>
      </c>
    </row>
    <row r="382" spans="1:9" x14ac:dyDescent="0.25">
      <c r="A382" t="s">
        <v>9</v>
      </c>
      <c r="B382" s="39">
        <v>46150</v>
      </c>
      <c r="C382" s="40">
        <v>0.60416666666666663</v>
      </c>
      <c r="D382" s="41">
        <v>4924</v>
      </c>
      <c r="E382" s="41">
        <v>4928.5</v>
      </c>
      <c r="F382" s="41">
        <v>4922</v>
      </c>
      <c r="G382" s="41">
        <v>4923</v>
      </c>
      <c r="H382" s="41">
        <v>2689907250</v>
      </c>
      <c r="I382" s="42">
        <v>10925</v>
      </c>
    </row>
    <row r="383" spans="1:9" x14ac:dyDescent="0.25">
      <c r="A383" t="s">
        <v>9</v>
      </c>
      <c r="B383" s="39">
        <v>46150</v>
      </c>
      <c r="C383" s="40">
        <v>0.58333333333333337</v>
      </c>
      <c r="D383" s="41">
        <v>4923.5</v>
      </c>
      <c r="E383" s="41">
        <v>4924</v>
      </c>
      <c r="F383" s="41">
        <v>4922</v>
      </c>
      <c r="G383" s="41">
        <v>4924</v>
      </c>
      <c r="H383" s="41">
        <v>3344305500</v>
      </c>
      <c r="I383" s="42">
        <v>13585</v>
      </c>
    </row>
    <row r="384" spans="1:9" x14ac:dyDescent="0.25">
      <c r="A384" t="s">
        <v>9</v>
      </c>
      <c r="B384" s="39">
        <v>46150</v>
      </c>
      <c r="C384" s="40">
        <v>0.5625</v>
      </c>
      <c r="D384" s="41">
        <v>4925.5</v>
      </c>
      <c r="E384" s="41">
        <v>4926.5</v>
      </c>
      <c r="F384" s="41">
        <v>4921</v>
      </c>
      <c r="G384" s="41">
        <v>4923.5</v>
      </c>
      <c r="H384" s="41">
        <v>1185434375</v>
      </c>
      <c r="I384" s="42">
        <v>4815</v>
      </c>
    </row>
    <row r="385" spans="1:9" x14ac:dyDescent="0.25">
      <c r="A385" t="s">
        <v>9</v>
      </c>
      <c r="B385" s="39">
        <v>46150</v>
      </c>
      <c r="C385" s="40">
        <v>0.54166666666666663</v>
      </c>
      <c r="D385" s="41">
        <v>4925</v>
      </c>
      <c r="E385" s="41">
        <v>4927</v>
      </c>
      <c r="F385" s="41">
        <v>4923.5</v>
      </c>
      <c r="G385" s="41">
        <v>4925.5</v>
      </c>
      <c r="H385" s="41">
        <v>2167041500</v>
      </c>
      <c r="I385" s="42">
        <v>8800</v>
      </c>
    </row>
    <row r="386" spans="1:9" x14ac:dyDescent="0.25">
      <c r="A386" t="s">
        <v>9</v>
      </c>
      <c r="B386" s="39">
        <v>46150</v>
      </c>
      <c r="C386" s="40">
        <v>0.52083333333333337</v>
      </c>
      <c r="D386" s="41">
        <v>4920</v>
      </c>
      <c r="E386" s="41">
        <v>4925.5</v>
      </c>
      <c r="F386" s="41">
        <v>4919.5</v>
      </c>
      <c r="G386" s="41">
        <v>4924.5</v>
      </c>
      <c r="H386" s="41">
        <v>2492361500</v>
      </c>
      <c r="I386" s="42">
        <v>10125</v>
      </c>
    </row>
    <row r="387" spans="1:9" x14ac:dyDescent="0.25">
      <c r="A387" t="s">
        <v>9</v>
      </c>
      <c r="B387" s="39">
        <v>46150</v>
      </c>
      <c r="C387" s="40">
        <v>0.5</v>
      </c>
      <c r="D387" s="41">
        <v>4922.5</v>
      </c>
      <c r="E387" s="41">
        <v>4925</v>
      </c>
      <c r="F387" s="41">
        <v>4919</v>
      </c>
      <c r="G387" s="41">
        <v>4920</v>
      </c>
      <c r="H387" s="41">
        <v>3502540750</v>
      </c>
      <c r="I387" s="42">
        <v>14230</v>
      </c>
    </row>
    <row r="388" spans="1:9" x14ac:dyDescent="0.25">
      <c r="A388" t="s">
        <v>9</v>
      </c>
      <c r="B388" s="39">
        <v>46150</v>
      </c>
      <c r="C388" s="40">
        <v>0.47916666666666669</v>
      </c>
      <c r="D388" s="41">
        <v>4926</v>
      </c>
      <c r="E388" s="41">
        <v>4926</v>
      </c>
      <c r="F388" s="41">
        <v>4919</v>
      </c>
      <c r="G388" s="41">
        <v>4922</v>
      </c>
      <c r="H388" s="41">
        <v>2755995000</v>
      </c>
      <c r="I388" s="42">
        <v>11200</v>
      </c>
    </row>
    <row r="389" spans="1:9" x14ac:dyDescent="0.25">
      <c r="A389" t="s">
        <v>9</v>
      </c>
      <c r="B389" s="39">
        <v>46150</v>
      </c>
      <c r="C389" s="40">
        <v>0.45833333333333331</v>
      </c>
      <c r="D389" s="41">
        <v>4922</v>
      </c>
      <c r="E389" s="41">
        <v>4929.5</v>
      </c>
      <c r="F389" s="41">
        <v>4920.5</v>
      </c>
      <c r="G389" s="41">
        <v>4925.5</v>
      </c>
      <c r="H389" s="41">
        <v>3076564250</v>
      </c>
      <c r="I389" s="42">
        <v>12495</v>
      </c>
    </row>
    <row r="390" spans="1:9" x14ac:dyDescent="0.25">
      <c r="A390" t="s">
        <v>9</v>
      </c>
      <c r="B390" s="39">
        <v>46150</v>
      </c>
      <c r="C390" s="40">
        <v>0.4375</v>
      </c>
      <c r="D390" s="41">
        <v>4923</v>
      </c>
      <c r="E390" s="41">
        <v>4926</v>
      </c>
      <c r="F390" s="41">
        <v>4917.5</v>
      </c>
      <c r="G390" s="41">
        <v>4922</v>
      </c>
      <c r="H390" s="41">
        <v>7631257250</v>
      </c>
      <c r="I390" s="42">
        <v>31015</v>
      </c>
    </row>
    <row r="391" spans="1:9" x14ac:dyDescent="0.25">
      <c r="A391" t="s">
        <v>9</v>
      </c>
      <c r="B391" s="39">
        <v>46150</v>
      </c>
      <c r="C391" s="40">
        <v>0.41666666666666669</v>
      </c>
      <c r="D391" s="41">
        <v>4926.5</v>
      </c>
      <c r="E391" s="41">
        <v>4936</v>
      </c>
      <c r="F391" s="41">
        <v>4921</v>
      </c>
      <c r="G391" s="41">
        <v>4923</v>
      </c>
      <c r="H391" s="41">
        <v>4091178875</v>
      </c>
      <c r="I391" s="42">
        <v>16605</v>
      </c>
    </row>
    <row r="392" spans="1:9" x14ac:dyDescent="0.25">
      <c r="A392" t="s">
        <v>9</v>
      </c>
      <c r="B392" s="39">
        <v>46150</v>
      </c>
      <c r="C392" s="40">
        <v>0.39583333333333331</v>
      </c>
      <c r="D392" s="41">
        <v>4934</v>
      </c>
      <c r="E392" s="41">
        <v>4939.5</v>
      </c>
      <c r="F392" s="41">
        <v>4920</v>
      </c>
      <c r="G392" s="41">
        <v>4926</v>
      </c>
      <c r="H392" s="41">
        <v>3816923625</v>
      </c>
      <c r="I392" s="42">
        <v>15500</v>
      </c>
    </row>
    <row r="393" spans="1:9" x14ac:dyDescent="0.25">
      <c r="A393" t="s">
        <v>9</v>
      </c>
      <c r="B393" s="39">
        <v>46150</v>
      </c>
      <c r="C393" s="40">
        <v>0.375</v>
      </c>
      <c r="D393" s="41">
        <v>4940</v>
      </c>
      <c r="E393" s="41">
        <v>4941.5</v>
      </c>
      <c r="F393" s="41">
        <v>4931.5</v>
      </c>
      <c r="G393" s="41">
        <v>4932.5</v>
      </c>
      <c r="H393" s="41">
        <v>2081312750</v>
      </c>
      <c r="I393" s="42">
        <v>8430</v>
      </c>
    </row>
    <row r="394" spans="1:9" x14ac:dyDescent="0.25">
      <c r="A394" t="s">
        <v>9</v>
      </c>
      <c r="B394" s="39">
        <v>46149</v>
      </c>
      <c r="C394" s="40">
        <v>0.75</v>
      </c>
      <c r="D394" s="41">
        <v>4953</v>
      </c>
      <c r="E394" s="41">
        <v>4959</v>
      </c>
      <c r="F394" s="41">
        <v>4953</v>
      </c>
      <c r="G394" s="41">
        <v>4959</v>
      </c>
      <c r="H394" s="41">
        <v>413748125</v>
      </c>
      <c r="I394" s="42">
        <v>1670</v>
      </c>
    </row>
    <row r="395" spans="1:9" x14ac:dyDescent="0.25">
      <c r="A395" t="s">
        <v>9</v>
      </c>
      <c r="B395" s="39">
        <v>46149</v>
      </c>
      <c r="C395" s="40">
        <v>0.72916666666666663</v>
      </c>
      <c r="D395" s="41">
        <v>4942.5</v>
      </c>
      <c r="E395" s="41">
        <v>4953</v>
      </c>
      <c r="F395" s="41">
        <v>4938.5</v>
      </c>
      <c r="G395" s="41">
        <v>4953</v>
      </c>
      <c r="H395" s="41">
        <v>1367420000</v>
      </c>
      <c r="I395" s="42">
        <v>5530</v>
      </c>
    </row>
    <row r="396" spans="1:9" x14ac:dyDescent="0.25">
      <c r="A396" t="s">
        <v>9</v>
      </c>
      <c r="B396" s="39">
        <v>46149</v>
      </c>
      <c r="C396" s="40">
        <v>0.70833333333333337</v>
      </c>
      <c r="D396" s="41">
        <v>4951</v>
      </c>
      <c r="E396" s="41">
        <v>4952</v>
      </c>
      <c r="F396" s="41">
        <v>4939.5</v>
      </c>
      <c r="G396" s="41">
        <v>4942.5</v>
      </c>
      <c r="H396" s="41">
        <v>2652428125</v>
      </c>
      <c r="I396" s="42">
        <v>10730</v>
      </c>
    </row>
    <row r="397" spans="1:9" x14ac:dyDescent="0.25">
      <c r="A397" t="s">
        <v>9</v>
      </c>
      <c r="B397" s="39">
        <v>46149</v>
      </c>
      <c r="C397" s="40">
        <v>0.6875</v>
      </c>
      <c r="D397" s="41">
        <v>4950.5</v>
      </c>
      <c r="E397" s="41">
        <v>4956</v>
      </c>
      <c r="F397" s="41">
        <v>4946.5</v>
      </c>
      <c r="G397" s="41">
        <v>4951</v>
      </c>
      <c r="H397" s="41">
        <v>2091608500</v>
      </c>
      <c r="I397" s="42">
        <v>8450</v>
      </c>
    </row>
    <row r="398" spans="1:9" x14ac:dyDescent="0.25">
      <c r="A398" t="s">
        <v>9</v>
      </c>
      <c r="B398" s="39">
        <v>46149</v>
      </c>
      <c r="C398" s="40">
        <v>0.66666666666666663</v>
      </c>
      <c r="D398" s="41">
        <v>4950.5</v>
      </c>
      <c r="E398" s="41">
        <v>4953</v>
      </c>
      <c r="F398" s="41">
        <v>4947.5</v>
      </c>
      <c r="G398" s="41">
        <v>4950.5</v>
      </c>
      <c r="H398" s="41">
        <v>1903471250</v>
      </c>
      <c r="I398" s="42">
        <v>7690</v>
      </c>
    </row>
    <row r="399" spans="1:9" x14ac:dyDescent="0.25">
      <c r="A399" t="s">
        <v>9</v>
      </c>
      <c r="B399" s="39">
        <v>46149</v>
      </c>
      <c r="C399" s="40">
        <v>0.64583333333333337</v>
      </c>
      <c r="D399" s="41">
        <v>4945.5</v>
      </c>
      <c r="E399" s="41">
        <v>4952</v>
      </c>
      <c r="F399" s="41">
        <v>4944.5</v>
      </c>
      <c r="G399" s="41">
        <v>4950.5</v>
      </c>
      <c r="H399" s="41">
        <v>1755988500</v>
      </c>
      <c r="I399" s="42">
        <v>7095</v>
      </c>
    </row>
    <row r="400" spans="1:9" x14ac:dyDescent="0.25">
      <c r="A400" t="s">
        <v>9</v>
      </c>
      <c r="B400" s="39">
        <v>46149</v>
      </c>
      <c r="C400" s="40">
        <v>0.625</v>
      </c>
      <c r="D400" s="41">
        <v>4947.5</v>
      </c>
      <c r="E400" s="41">
        <v>4950.5</v>
      </c>
      <c r="F400" s="41">
        <v>4942.5</v>
      </c>
      <c r="G400" s="41">
        <v>4946</v>
      </c>
      <c r="H400" s="41">
        <v>2280536250</v>
      </c>
      <c r="I400" s="42">
        <v>9220</v>
      </c>
    </row>
    <row r="401" spans="1:9" x14ac:dyDescent="0.25">
      <c r="A401" t="s">
        <v>9</v>
      </c>
      <c r="B401" s="39">
        <v>46149</v>
      </c>
      <c r="C401" s="40">
        <v>0.60416666666666663</v>
      </c>
      <c r="D401" s="41">
        <v>4955.5</v>
      </c>
      <c r="E401" s="41">
        <v>4959.5</v>
      </c>
      <c r="F401" s="41">
        <v>4947.5</v>
      </c>
      <c r="G401" s="41">
        <v>4947.5</v>
      </c>
      <c r="H401" s="41">
        <v>2730201250</v>
      </c>
      <c r="I401" s="42">
        <v>11025</v>
      </c>
    </row>
    <row r="402" spans="1:9" x14ac:dyDescent="0.25">
      <c r="A402" t="s">
        <v>9</v>
      </c>
      <c r="B402" s="39">
        <v>46149</v>
      </c>
      <c r="C402" s="40">
        <v>0.58333333333333337</v>
      </c>
      <c r="D402" s="41">
        <v>4951.5</v>
      </c>
      <c r="E402" s="41">
        <v>4959</v>
      </c>
      <c r="F402" s="41">
        <v>4949.5</v>
      </c>
      <c r="G402" s="41">
        <v>4956</v>
      </c>
      <c r="H402" s="41">
        <v>1909505375</v>
      </c>
      <c r="I402" s="42">
        <v>7710</v>
      </c>
    </row>
    <row r="403" spans="1:9" x14ac:dyDescent="0.25">
      <c r="A403" t="s">
        <v>9</v>
      </c>
      <c r="B403" s="39">
        <v>46149</v>
      </c>
      <c r="C403" s="40">
        <v>0.5625</v>
      </c>
      <c r="D403" s="41">
        <v>4948.5</v>
      </c>
      <c r="E403" s="41">
        <v>4952.5</v>
      </c>
      <c r="F403" s="41">
        <v>4947.5</v>
      </c>
      <c r="G403" s="41">
        <v>4951</v>
      </c>
      <c r="H403" s="41">
        <v>749929750</v>
      </c>
      <c r="I403" s="42">
        <v>3030</v>
      </c>
    </row>
    <row r="404" spans="1:9" x14ac:dyDescent="0.25">
      <c r="A404" t="s">
        <v>9</v>
      </c>
      <c r="B404" s="39">
        <v>46149</v>
      </c>
      <c r="C404" s="40">
        <v>0.54166666666666663</v>
      </c>
      <c r="D404" s="41">
        <v>4957</v>
      </c>
      <c r="E404" s="41">
        <v>4958</v>
      </c>
      <c r="F404" s="41">
        <v>4947.5</v>
      </c>
      <c r="G404" s="41">
        <v>4948.5</v>
      </c>
      <c r="H404" s="41">
        <v>1339819125</v>
      </c>
      <c r="I404" s="42">
        <v>5410</v>
      </c>
    </row>
    <row r="405" spans="1:9" x14ac:dyDescent="0.25">
      <c r="A405" t="s">
        <v>9</v>
      </c>
      <c r="B405" s="39">
        <v>46149</v>
      </c>
      <c r="C405" s="40">
        <v>0.52083333333333337</v>
      </c>
      <c r="D405" s="41">
        <v>4951.5</v>
      </c>
      <c r="E405" s="41">
        <v>4958</v>
      </c>
      <c r="F405" s="41">
        <v>4949</v>
      </c>
      <c r="G405" s="41">
        <v>4957</v>
      </c>
      <c r="H405" s="41">
        <v>2657913000</v>
      </c>
      <c r="I405" s="42">
        <v>10735</v>
      </c>
    </row>
    <row r="406" spans="1:9" x14ac:dyDescent="0.25">
      <c r="A406" t="s">
        <v>9</v>
      </c>
      <c r="B406" s="39">
        <v>46149</v>
      </c>
      <c r="C406" s="40">
        <v>0.5</v>
      </c>
      <c r="D406" s="41">
        <v>4946</v>
      </c>
      <c r="E406" s="41">
        <v>4954.5</v>
      </c>
      <c r="F406" s="41">
        <v>4943.5</v>
      </c>
      <c r="G406" s="41">
        <v>4951.5</v>
      </c>
      <c r="H406" s="41">
        <v>1739353875</v>
      </c>
      <c r="I406" s="42">
        <v>7030</v>
      </c>
    </row>
    <row r="407" spans="1:9" x14ac:dyDescent="0.25">
      <c r="A407" t="s">
        <v>9</v>
      </c>
      <c r="B407" s="39">
        <v>46149</v>
      </c>
      <c r="C407" s="40">
        <v>0.47916666666666669</v>
      </c>
      <c r="D407" s="41">
        <v>4943.5</v>
      </c>
      <c r="E407" s="41">
        <v>4951.5</v>
      </c>
      <c r="F407" s="41">
        <v>4941</v>
      </c>
      <c r="G407" s="41">
        <v>4945.5</v>
      </c>
      <c r="H407" s="41">
        <v>5221432375</v>
      </c>
      <c r="I407" s="42">
        <v>21105</v>
      </c>
    </row>
    <row r="408" spans="1:9" x14ac:dyDescent="0.25">
      <c r="A408" t="s">
        <v>9</v>
      </c>
      <c r="B408" s="39">
        <v>46149</v>
      </c>
      <c r="C408" s="40">
        <v>0.45833333333333331</v>
      </c>
      <c r="D408" s="41">
        <v>4945.5</v>
      </c>
      <c r="E408" s="41">
        <v>4950.5</v>
      </c>
      <c r="F408" s="41">
        <v>4939.5</v>
      </c>
      <c r="G408" s="41">
        <v>4944</v>
      </c>
      <c r="H408" s="41">
        <v>6754200500</v>
      </c>
      <c r="I408" s="42">
        <v>27310</v>
      </c>
    </row>
    <row r="409" spans="1:9" x14ac:dyDescent="0.25">
      <c r="A409" t="s">
        <v>9</v>
      </c>
      <c r="B409" s="39">
        <v>46149</v>
      </c>
      <c r="C409" s="40">
        <v>0.4375</v>
      </c>
      <c r="D409" s="41">
        <v>4935.5</v>
      </c>
      <c r="E409" s="41">
        <v>4945</v>
      </c>
      <c r="F409" s="41">
        <v>4934</v>
      </c>
      <c r="G409" s="41">
        <v>4945</v>
      </c>
      <c r="H409" s="41">
        <v>5509809000</v>
      </c>
      <c r="I409" s="42">
        <v>22305</v>
      </c>
    </row>
    <row r="410" spans="1:9" x14ac:dyDescent="0.25">
      <c r="A410" t="s">
        <v>9</v>
      </c>
      <c r="B410" s="39">
        <v>46149</v>
      </c>
      <c r="C410" s="40">
        <v>0.41666666666666669</v>
      </c>
      <c r="D410" s="41">
        <v>4930</v>
      </c>
      <c r="E410" s="41">
        <v>4935.5</v>
      </c>
      <c r="F410" s="41">
        <v>4927.5</v>
      </c>
      <c r="G410" s="41">
        <v>4935.5</v>
      </c>
      <c r="H410" s="41">
        <v>4547358250</v>
      </c>
      <c r="I410" s="42">
        <v>18440</v>
      </c>
    </row>
    <row r="411" spans="1:9" x14ac:dyDescent="0.25">
      <c r="A411" t="s">
        <v>9</v>
      </c>
      <c r="B411" s="39">
        <v>46149</v>
      </c>
      <c r="C411" s="40">
        <v>0.39583333333333331</v>
      </c>
      <c r="D411" s="41">
        <v>4942</v>
      </c>
      <c r="E411" s="41">
        <v>4943</v>
      </c>
      <c r="F411" s="41">
        <v>4924.5</v>
      </c>
      <c r="G411" s="41">
        <v>4930</v>
      </c>
      <c r="H411" s="41">
        <v>5305219250</v>
      </c>
      <c r="I411" s="42">
        <v>21510</v>
      </c>
    </row>
    <row r="412" spans="1:9" x14ac:dyDescent="0.25">
      <c r="A412" t="s">
        <v>9</v>
      </c>
      <c r="B412" s="39">
        <v>46149</v>
      </c>
      <c r="C412" s="40">
        <v>0.375</v>
      </c>
      <c r="D412" s="41">
        <v>4933.5</v>
      </c>
      <c r="E412" s="41">
        <v>4948</v>
      </c>
      <c r="F412" s="41">
        <v>4930.5</v>
      </c>
      <c r="G412" s="41">
        <v>4942</v>
      </c>
      <c r="H412" s="41">
        <v>2689564875</v>
      </c>
      <c r="I412" s="42">
        <v>10885</v>
      </c>
    </row>
    <row r="413" spans="1:9" x14ac:dyDescent="0.25">
      <c r="A413" t="s">
        <v>9</v>
      </c>
      <c r="B413" s="39">
        <v>46148</v>
      </c>
      <c r="C413" s="40">
        <v>0.75</v>
      </c>
      <c r="D413" s="41">
        <v>4953</v>
      </c>
      <c r="E413" s="41">
        <v>4956</v>
      </c>
      <c r="F413" s="41">
        <v>4950</v>
      </c>
      <c r="G413" s="41">
        <v>4952.5</v>
      </c>
      <c r="H413" s="41">
        <v>444392125</v>
      </c>
      <c r="I413" s="42">
        <v>1795</v>
      </c>
    </row>
    <row r="414" spans="1:9" x14ac:dyDescent="0.25">
      <c r="A414" t="s">
        <v>9</v>
      </c>
      <c r="B414" s="39">
        <v>46148</v>
      </c>
      <c r="C414" s="40">
        <v>0.72916666666666663</v>
      </c>
      <c r="D414" s="41">
        <v>4952.5</v>
      </c>
      <c r="E414" s="41">
        <v>4958</v>
      </c>
      <c r="F414" s="41">
        <v>4951.5</v>
      </c>
      <c r="G414" s="41">
        <v>4953.5</v>
      </c>
      <c r="H414" s="41">
        <v>1095190875</v>
      </c>
      <c r="I414" s="42">
        <v>4420</v>
      </c>
    </row>
    <row r="415" spans="1:9" x14ac:dyDescent="0.25">
      <c r="A415" t="s">
        <v>9</v>
      </c>
      <c r="B415" s="39">
        <v>46148</v>
      </c>
      <c r="C415" s="40">
        <v>0.70833333333333337</v>
      </c>
      <c r="D415" s="41">
        <v>4949.5</v>
      </c>
      <c r="E415" s="41">
        <v>4953</v>
      </c>
      <c r="F415" s="41">
        <v>4948.5</v>
      </c>
      <c r="G415" s="41">
        <v>4952</v>
      </c>
      <c r="H415" s="41">
        <v>1448127625</v>
      </c>
      <c r="I415" s="42">
        <v>5850</v>
      </c>
    </row>
    <row r="416" spans="1:9" x14ac:dyDescent="0.25">
      <c r="A416" t="s">
        <v>9</v>
      </c>
      <c r="B416" s="39">
        <v>46148</v>
      </c>
      <c r="C416" s="40">
        <v>0.6875</v>
      </c>
      <c r="D416" s="41">
        <v>4948.5</v>
      </c>
      <c r="E416" s="41">
        <v>4953</v>
      </c>
      <c r="F416" s="41">
        <v>4948.5</v>
      </c>
      <c r="G416" s="41">
        <v>4950</v>
      </c>
      <c r="H416" s="41">
        <v>3592317250</v>
      </c>
      <c r="I416" s="42">
        <v>14510</v>
      </c>
    </row>
    <row r="417" spans="1:9" x14ac:dyDescent="0.25">
      <c r="A417" t="s">
        <v>9</v>
      </c>
      <c r="B417" s="39">
        <v>46148</v>
      </c>
      <c r="C417" s="40">
        <v>0.66666666666666663</v>
      </c>
      <c r="D417" s="41">
        <v>4953</v>
      </c>
      <c r="E417" s="41">
        <v>4953</v>
      </c>
      <c r="F417" s="41">
        <v>4947</v>
      </c>
      <c r="G417" s="41">
        <v>4949</v>
      </c>
      <c r="H417" s="41">
        <v>2232030750</v>
      </c>
      <c r="I417" s="42">
        <v>9020</v>
      </c>
    </row>
    <row r="418" spans="1:9" x14ac:dyDescent="0.25">
      <c r="A418" t="s">
        <v>9</v>
      </c>
      <c r="B418" s="39">
        <v>46148</v>
      </c>
      <c r="C418" s="40">
        <v>0.64583333333333337</v>
      </c>
      <c r="D418" s="41">
        <v>4955.5</v>
      </c>
      <c r="E418" s="41">
        <v>4956.5</v>
      </c>
      <c r="F418" s="41">
        <v>4952.5</v>
      </c>
      <c r="G418" s="41">
        <v>4953</v>
      </c>
      <c r="H418" s="41">
        <v>2099247750</v>
      </c>
      <c r="I418" s="42">
        <v>8475</v>
      </c>
    </row>
    <row r="419" spans="1:9" x14ac:dyDescent="0.25">
      <c r="A419" t="s">
        <v>9</v>
      </c>
      <c r="B419" s="39">
        <v>46148</v>
      </c>
      <c r="C419" s="40">
        <v>0.625</v>
      </c>
      <c r="D419" s="41">
        <v>4946.5</v>
      </c>
      <c r="E419" s="41">
        <v>4956.5</v>
      </c>
      <c r="F419" s="41">
        <v>4946.5</v>
      </c>
      <c r="G419" s="41">
        <v>4956</v>
      </c>
      <c r="H419" s="41">
        <v>2602337125</v>
      </c>
      <c r="I419" s="42">
        <v>10510</v>
      </c>
    </row>
    <row r="420" spans="1:9" x14ac:dyDescent="0.25">
      <c r="A420" t="s">
        <v>9</v>
      </c>
      <c r="B420" s="39">
        <v>46148</v>
      </c>
      <c r="C420" s="40">
        <v>0.60416666666666663</v>
      </c>
      <c r="D420" s="41">
        <v>4953.5</v>
      </c>
      <c r="E420" s="41">
        <v>4955.5</v>
      </c>
      <c r="F420" s="41">
        <v>4946.5</v>
      </c>
      <c r="G420" s="41">
        <v>4946.5</v>
      </c>
      <c r="H420" s="41">
        <v>2468960625</v>
      </c>
      <c r="I420" s="42">
        <v>9970</v>
      </c>
    </row>
    <row r="421" spans="1:9" x14ac:dyDescent="0.25">
      <c r="A421" t="s">
        <v>9</v>
      </c>
      <c r="B421" s="39">
        <v>46148</v>
      </c>
      <c r="C421" s="40">
        <v>0.58333333333333337</v>
      </c>
      <c r="D421" s="41">
        <v>4961</v>
      </c>
      <c r="E421" s="41">
        <v>4961</v>
      </c>
      <c r="F421" s="41">
        <v>4953</v>
      </c>
      <c r="G421" s="41">
        <v>4954</v>
      </c>
      <c r="H421" s="41">
        <v>820414750</v>
      </c>
      <c r="I421" s="42">
        <v>3310</v>
      </c>
    </row>
    <row r="422" spans="1:9" x14ac:dyDescent="0.25">
      <c r="A422" t="s">
        <v>9</v>
      </c>
      <c r="B422" s="39">
        <v>46148</v>
      </c>
      <c r="C422" s="40">
        <v>0.5625</v>
      </c>
      <c r="D422" s="41">
        <v>4953</v>
      </c>
      <c r="E422" s="41">
        <v>4963</v>
      </c>
      <c r="F422" s="41">
        <v>4952</v>
      </c>
      <c r="G422" s="41">
        <v>4960.5</v>
      </c>
      <c r="H422" s="41">
        <v>1036150875</v>
      </c>
      <c r="I422" s="42">
        <v>4180</v>
      </c>
    </row>
    <row r="423" spans="1:9" x14ac:dyDescent="0.25">
      <c r="A423" t="s">
        <v>9</v>
      </c>
      <c r="B423" s="39">
        <v>46148</v>
      </c>
      <c r="C423" s="40">
        <v>0.54166666666666663</v>
      </c>
      <c r="D423" s="41">
        <v>4957</v>
      </c>
      <c r="E423" s="41">
        <v>4959</v>
      </c>
      <c r="F423" s="41">
        <v>4952.5</v>
      </c>
      <c r="G423" s="41">
        <v>4952.5</v>
      </c>
      <c r="H423" s="41">
        <v>3439816250</v>
      </c>
      <c r="I423" s="42">
        <v>13880</v>
      </c>
    </row>
    <row r="424" spans="1:9" x14ac:dyDescent="0.25">
      <c r="A424" t="s">
        <v>9</v>
      </c>
      <c r="B424" s="39">
        <v>46148</v>
      </c>
      <c r="C424" s="40">
        <v>0.52083333333333337</v>
      </c>
      <c r="D424" s="41">
        <v>4957</v>
      </c>
      <c r="E424" s="41">
        <v>4958.5</v>
      </c>
      <c r="F424" s="41">
        <v>4953</v>
      </c>
      <c r="G424" s="41">
        <v>4957</v>
      </c>
      <c r="H424" s="41">
        <v>1752104625</v>
      </c>
      <c r="I424" s="42">
        <v>7070</v>
      </c>
    </row>
    <row r="425" spans="1:9" x14ac:dyDescent="0.25">
      <c r="A425" t="s">
        <v>9</v>
      </c>
      <c r="B425" s="39">
        <v>46148</v>
      </c>
      <c r="C425" s="40">
        <v>0.5</v>
      </c>
      <c r="D425" s="41">
        <v>4953.5</v>
      </c>
      <c r="E425" s="41">
        <v>4957</v>
      </c>
      <c r="F425" s="41">
        <v>4952.5</v>
      </c>
      <c r="G425" s="41">
        <v>4957</v>
      </c>
      <c r="H425" s="41">
        <v>1803563375</v>
      </c>
      <c r="I425" s="42">
        <v>7280</v>
      </c>
    </row>
    <row r="426" spans="1:9" x14ac:dyDescent="0.25">
      <c r="A426" t="s">
        <v>9</v>
      </c>
      <c r="B426" s="39">
        <v>46148</v>
      </c>
      <c r="C426" s="40">
        <v>0.47916666666666669</v>
      </c>
      <c r="D426" s="41">
        <v>4961</v>
      </c>
      <c r="E426" s="41">
        <v>4961</v>
      </c>
      <c r="F426" s="41">
        <v>4946.5</v>
      </c>
      <c r="G426" s="41">
        <v>4953</v>
      </c>
      <c r="H426" s="41">
        <v>2966854375</v>
      </c>
      <c r="I426" s="42">
        <v>11980</v>
      </c>
    </row>
    <row r="427" spans="1:9" x14ac:dyDescent="0.25">
      <c r="A427" t="s">
        <v>9</v>
      </c>
      <c r="B427" s="39">
        <v>46148</v>
      </c>
      <c r="C427" s="40">
        <v>0.45833333333333331</v>
      </c>
      <c r="D427" s="41">
        <v>4959</v>
      </c>
      <c r="E427" s="41">
        <v>4964.5</v>
      </c>
      <c r="F427" s="41">
        <v>4953</v>
      </c>
      <c r="G427" s="41">
        <v>4961</v>
      </c>
      <c r="H427" s="41">
        <v>6798846125</v>
      </c>
      <c r="I427" s="42">
        <v>27425</v>
      </c>
    </row>
    <row r="428" spans="1:9" x14ac:dyDescent="0.25">
      <c r="A428" t="s">
        <v>9</v>
      </c>
      <c r="B428" s="39">
        <v>46148</v>
      </c>
      <c r="C428" s="40">
        <v>0.4375</v>
      </c>
      <c r="D428" s="41">
        <v>4951</v>
      </c>
      <c r="E428" s="41">
        <v>4959</v>
      </c>
      <c r="F428" s="41">
        <v>4947.5</v>
      </c>
      <c r="G428" s="41">
        <v>4959</v>
      </c>
      <c r="H428" s="41">
        <v>6312751625</v>
      </c>
      <c r="I428" s="42">
        <v>25490</v>
      </c>
    </row>
    <row r="429" spans="1:9" x14ac:dyDescent="0.25">
      <c r="A429" t="s">
        <v>9</v>
      </c>
      <c r="B429" s="39">
        <v>46148</v>
      </c>
      <c r="C429" s="40">
        <v>0.41666666666666669</v>
      </c>
      <c r="D429" s="41">
        <v>4956.5</v>
      </c>
      <c r="E429" s="41">
        <v>4961</v>
      </c>
      <c r="F429" s="41">
        <v>4945.5</v>
      </c>
      <c r="G429" s="41">
        <v>4951</v>
      </c>
      <c r="H429" s="41">
        <v>5230877750</v>
      </c>
      <c r="I429" s="42">
        <v>21120</v>
      </c>
    </row>
    <row r="430" spans="1:9" x14ac:dyDescent="0.25">
      <c r="A430" t="s">
        <v>9</v>
      </c>
      <c r="B430" s="39">
        <v>46148</v>
      </c>
      <c r="C430" s="40">
        <v>0.39583333333333331</v>
      </c>
      <c r="D430" s="41">
        <v>4937.5</v>
      </c>
      <c r="E430" s="41">
        <v>4958</v>
      </c>
      <c r="F430" s="41">
        <v>4934</v>
      </c>
      <c r="G430" s="41">
        <v>4956.5</v>
      </c>
      <c r="H430" s="41">
        <v>5624891125</v>
      </c>
      <c r="I430" s="42">
        <v>22730</v>
      </c>
    </row>
    <row r="431" spans="1:9" x14ac:dyDescent="0.25">
      <c r="A431" t="s">
        <v>9</v>
      </c>
      <c r="B431" s="39">
        <v>46148</v>
      </c>
      <c r="C431" s="40">
        <v>0.375</v>
      </c>
      <c r="D431" s="41">
        <v>4916.5</v>
      </c>
      <c r="E431" s="41">
        <v>4957</v>
      </c>
      <c r="F431" s="41">
        <v>4916.5</v>
      </c>
      <c r="G431" s="41">
        <v>4937.5</v>
      </c>
      <c r="H431" s="41">
        <v>6464998250</v>
      </c>
      <c r="I431" s="42">
        <v>26185</v>
      </c>
    </row>
    <row r="432" spans="1:9" x14ac:dyDescent="0.25">
      <c r="A432" t="s">
        <v>9</v>
      </c>
      <c r="B432" s="39">
        <v>46147</v>
      </c>
      <c r="C432" s="40">
        <v>0.75</v>
      </c>
      <c r="D432" s="41">
        <v>4942.5</v>
      </c>
      <c r="E432" s="41">
        <v>4942.5</v>
      </c>
      <c r="F432" s="41">
        <v>4938</v>
      </c>
      <c r="G432" s="41">
        <v>4941</v>
      </c>
      <c r="H432" s="41">
        <v>275427250</v>
      </c>
      <c r="I432" s="42">
        <v>1115</v>
      </c>
    </row>
    <row r="433" spans="1:9" x14ac:dyDescent="0.25">
      <c r="A433" t="s">
        <v>9</v>
      </c>
      <c r="B433" s="39">
        <v>46147</v>
      </c>
      <c r="C433" s="40">
        <v>0.72916666666666663</v>
      </c>
      <c r="D433" s="41">
        <v>4943.5</v>
      </c>
      <c r="E433" s="41">
        <v>4945</v>
      </c>
      <c r="F433" s="41">
        <v>4941.5</v>
      </c>
      <c r="G433" s="41">
        <v>4943</v>
      </c>
      <c r="H433" s="41">
        <v>1296365375</v>
      </c>
      <c r="I433" s="42">
        <v>5245</v>
      </c>
    </row>
    <row r="434" spans="1:9" x14ac:dyDescent="0.25">
      <c r="A434" t="s">
        <v>9</v>
      </c>
      <c r="B434" s="39">
        <v>46147</v>
      </c>
      <c r="C434" s="40">
        <v>0.70833333333333337</v>
      </c>
      <c r="D434" s="41">
        <v>4944.5</v>
      </c>
      <c r="E434" s="41">
        <v>4945.5</v>
      </c>
      <c r="F434" s="41">
        <v>4942</v>
      </c>
      <c r="G434" s="41">
        <v>4943.5</v>
      </c>
      <c r="H434" s="41">
        <v>1039512625</v>
      </c>
      <c r="I434" s="42">
        <v>4205</v>
      </c>
    </row>
    <row r="435" spans="1:9" x14ac:dyDescent="0.25">
      <c r="A435" t="s">
        <v>9</v>
      </c>
      <c r="B435" s="39">
        <v>46147</v>
      </c>
      <c r="C435" s="40">
        <v>0.6875</v>
      </c>
      <c r="D435" s="41">
        <v>4943.5</v>
      </c>
      <c r="E435" s="41">
        <v>4946.5</v>
      </c>
      <c r="F435" s="41">
        <v>4943</v>
      </c>
      <c r="G435" s="41">
        <v>4944</v>
      </c>
      <c r="H435" s="41">
        <v>1934740500</v>
      </c>
      <c r="I435" s="42">
        <v>7825</v>
      </c>
    </row>
    <row r="436" spans="1:9" x14ac:dyDescent="0.25">
      <c r="A436" t="s">
        <v>9</v>
      </c>
      <c r="B436" s="39">
        <v>46147</v>
      </c>
      <c r="C436" s="40">
        <v>0.66666666666666663</v>
      </c>
      <c r="D436" s="41">
        <v>4942.5</v>
      </c>
      <c r="E436" s="41">
        <v>4944.5</v>
      </c>
      <c r="F436" s="41">
        <v>4942.5</v>
      </c>
      <c r="G436" s="41">
        <v>4943.5</v>
      </c>
      <c r="H436" s="41">
        <v>1183983250</v>
      </c>
      <c r="I436" s="42">
        <v>4790</v>
      </c>
    </row>
    <row r="437" spans="1:9" x14ac:dyDescent="0.25">
      <c r="A437" t="s">
        <v>9</v>
      </c>
      <c r="B437" s="39">
        <v>46147</v>
      </c>
      <c r="C437" s="40">
        <v>0.64583333333333337</v>
      </c>
      <c r="D437" s="41">
        <v>4938.5</v>
      </c>
      <c r="E437" s="41">
        <v>4943.5</v>
      </c>
      <c r="F437" s="41">
        <v>4938</v>
      </c>
      <c r="G437" s="41">
        <v>4942.5</v>
      </c>
      <c r="H437" s="41">
        <v>2304951875</v>
      </c>
      <c r="I437" s="42">
        <v>9330</v>
      </c>
    </row>
    <row r="438" spans="1:9" x14ac:dyDescent="0.25">
      <c r="A438" t="s">
        <v>9</v>
      </c>
      <c r="B438" s="39">
        <v>46147</v>
      </c>
      <c r="C438" s="40">
        <v>0.625</v>
      </c>
      <c r="D438" s="41">
        <v>4946</v>
      </c>
      <c r="E438" s="41">
        <v>4947</v>
      </c>
      <c r="F438" s="41">
        <v>4938</v>
      </c>
      <c r="G438" s="41">
        <v>4938.5</v>
      </c>
      <c r="H438" s="41">
        <v>2516962125</v>
      </c>
      <c r="I438" s="42">
        <v>10185</v>
      </c>
    </row>
    <row r="439" spans="1:9" x14ac:dyDescent="0.25">
      <c r="A439" t="s">
        <v>9</v>
      </c>
      <c r="B439" s="39">
        <v>46147</v>
      </c>
      <c r="C439" s="40">
        <v>0.60416666666666663</v>
      </c>
      <c r="D439" s="41">
        <v>4946</v>
      </c>
      <c r="E439" s="41">
        <v>4947.5</v>
      </c>
      <c r="F439" s="41">
        <v>4944.5</v>
      </c>
      <c r="G439" s="41">
        <v>4946</v>
      </c>
      <c r="H439" s="41">
        <v>2269895500</v>
      </c>
      <c r="I439" s="42">
        <v>9180</v>
      </c>
    </row>
    <row r="440" spans="1:9" x14ac:dyDescent="0.25">
      <c r="A440" t="s">
        <v>9</v>
      </c>
      <c r="B440" s="39">
        <v>46147</v>
      </c>
      <c r="C440" s="40">
        <v>0.58333333333333337</v>
      </c>
      <c r="D440" s="41">
        <v>4944</v>
      </c>
      <c r="E440" s="41">
        <v>4947.5</v>
      </c>
      <c r="F440" s="41">
        <v>4943.5</v>
      </c>
      <c r="G440" s="41">
        <v>4946.5</v>
      </c>
      <c r="H440" s="41">
        <v>1294493125</v>
      </c>
      <c r="I440" s="42">
        <v>5235</v>
      </c>
    </row>
    <row r="441" spans="1:9" x14ac:dyDescent="0.25">
      <c r="A441" t="s">
        <v>9</v>
      </c>
      <c r="B441" s="39">
        <v>46147</v>
      </c>
      <c r="C441" s="40">
        <v>0.5625</v>
      </c>
      <c r="D441" s="41">
        <v>4947.5</v>
      </c>
      <c r="E441" s="41">
        <v>4947.5</v>
      </c>
      <c r="F441" s="41">
        <v>4940</v>
      </c>
      <c r="G441" s="41">
        <v>4943.5</v>
      </c>
      <c r="H441" s="41">
        <v>6480386125</v>
      </c>
      <c r="I441" s="42">
        <v>26220</v>
      </c>
    </row>
    <row r="442" spans="1:9" x14ac:dyDescent="0.25">
      <c r="A442" t="s">
        <v>9</v>
      </c>
      <c r="B442" s="39">
        <v>46147</v>
      </c>
      <c r="C442" s="40">
        <v>0.54166666666666663</v>
      </c>
      <c r="D442" s="41">
        <v>4942.5</v>
      </c>
      <c r="E442" s="41">
        <v>4948</v>
      </c>
      <c r="F442" s="41">
        <v>4941.5</v>
      </c>
      <c r="G442" s="41">
        <v>4947.5</v>
      </c>
      <c r="H442" s="41">
        <v>2383256125</v>
      </c>
      <c r="I442" s="42">
        <v>9640</v>
      </c>
    </row>
    <row r="443" spans="1:9" x14ac:dyDescent="0.25">
      <c r="A443" t="s">
        <v>9</v>
      </c>
      <c r="B443" s="39">
        <v>46147</v>
      </c>
      <c r="C443" s="40">
        <v>0.52083333333333337</v>
      </c>
      <c r="D443" s="41">
        <v>4948</v>
      </c>
      <c r="E443" s="41">
        <v>4948.5</v>
      </c>
      <c r="F443" s="41">
        <v>4942</v>
      </c>
      <c r="G443" s="41">
        <v>4942.5</v>
      </c>
      <c r="H443" s="41">
        <v>2948447000</v>
      </c>
      <c r="I443" s="42">
        <v>11925</v>
      </c>
    </row>
    <row r="444" spans="1:9" x14ac:dyDescent="0.25">
      <c r="A444" t="s">
        <v>9</v>
      </c>
      <c r="B444" s="39">
        <v>46147</v>
      </c>
      <c r="C444" s="40">
        <v>0.5</v>
      </c>
      <c r="D444" s="41">
        <v>4955.5</v>
      </c>
      <c r="E444" s="41">
        <v>4957</v>
      </c>
      <c r="F444" s="41">
        <v>4947</v>
      </c>
      <c r="G444" s="41">
        <v>4948.5</v>
      </c>
      <c r="H444" s="41">
        <v>4095300125</v>
      </c>
      <c r="I444" s="42">
        <v>16540</v>
      </c>
    </row>
    <row r="445" spans="1:9" x14ac:dyDescent="0.25">
      <c r="A445" t="s">
        <v>9</v>
      </c>
      <c r="B445" s="39">
        <v>46147</v>
      </c>
      <c r="C445" s="40">
        <v>0.47916666666666669</v>
      </c>
      <c r="D445" s="41">
        <v>4955</v>
      </c>
      <c r="E445" s="41">
        <v>4957.5</v>
      </c>
      <c r="F445" s="41">
        <v>4954</v>
      </c>
      <c r="G445" s="41">
        <v>4955.5</v>
      </c>
      <c r="H445" s="41">
        <v>4348804875</v>
      </c>
      <c r="I445" s="42">
        <v>17550</v>
      </c>
    </row>
    <row r="446" spans="1:9" x14ac:dyDescent="0.25">
      <c r="A446" t="s">
        <v>9</v>
      </c>
      <c r="B446" s="39">
        <v>46147</v>
      </c>
      <c r="C446" s="40">
        <v>0.45833333333333331</v>
      </c>
      <c r="D446" s="41">
        <v>4960.5</v>
      </c>
      <c r="E446" s="41">
        <v>4961</v>
      </c>
      <c r="F446" s="41">
        <v>4953</v>
      </c>
      <c r="G446" s="41">
        <v>4955</v>
      </c>
      <c r="H446" s="41">
        <v>6471911500</v>
      </c>
      <c r="I446" s="42">
        <v>26110</v>
      </c>
    </row>
    <row r="447" spans="1:9" x14ac:dyDescent="0.25">
      <c r="A447" t="s">
        <v>9</v>
      </c>
      <c r="B447" s="39">
        <v>46147</v>
      </c>
      <c r="C447" s="40">
        <v>0.4375</v>
      </c>
      <c r="D447" s="41">
        <v>4961</v>
      </c>
      <c r="E447" s="41">
        <v>4965</v>
      </c>
      <c r="F447" s="41">
        <v>4959</v>
      </c>
      <c r="G447" s="41">
        <v>4960.5</v>
      </c>
      <c r="H447" s="41">
        <v>4169543500</v>
      </c>
      <c r="I447" s="42">
        <v>16805</v>
      </c>
    </row>
    <row r="448" spans="1:9" x14ac:dyDescent="0.25">
      <c r="A448" t="s">
        <v>9</v>
      </c>
      <c r="B448" s="39">
        <v>46147</v>
      </c>
      <c r="C448" s="40">
        <v>0.41666666666666669</v>
      </c>
      <c r="D448" s="41">
        <v>4969</v>
      </c>
      <c r="E448" s="41">
        <v>4969.5</v>
      </c>
      <c r="F448" s="41">
        <v>4959</v>
      </c>
      <c r="G448" s="41">
        <v>4961</v>
      </c>
      <c r="H448" s="41">
        <v>7223704000</v>
      </c>
      <c r="I448" s="42">
        <v>29100</v>
      </c>
    </row>
    <row r="449" spans="1:9" x14ac:dyDescent="0.25">
      <c r="A449" t="s">
        <v>9</v>
      </c>
      <c r="B449" s="39">
        <v>46147</v>
      </c>
      <c r="C449" s="40">
        <v>0.39583333333333331</v>
      </c>
      <c r="D449" s="41">
        <v>4970.5</v>
      </c>
      <c r="E449" s="41">
        <v>4976</v>
      </c>
      <c r="F449" s="41">
        <v>4968.5</v>
      </c>
      <c r="G449" s="41">
        <v>4969.5</v>
      </c>
      <c r="H449" s="41">
        <v>2478492500</v>
      </c>
      <c r="I449" s="42">
        <v>9970</v>
      </c>
    </row>
    <row r="450" spans="1:9" x14ac:dyDescent="0.25">
      <c r="A450" t="s">
        <v>9</v>
      </c>
      <c r="B450" s="39">
        <v>46147</v>
      </c>
      <c r="C450" s="40">
        <v>0.375</v>
      </c>
      <c r="D450" s="41">
        <v>4980</v>
      </c>
      <c r="E450" s="41">
        <v>4985</v>
      </c>
      <c r="F450" s="41">
        <v>4969</v>
      </c>
      <c r="G450" s="41">
        <v>4970.5</v>
      </c>
      <c r="H450" s="41">
        <v>3402215500</v>
      </c>
      <c r="I450" s="42">
        <v>13665</v>
      </c>
    </row>
    <row r="451" spans="1:9" x14ac:dyDescent="0.25">
      <c r="A451" t="s">
        <v>9</v>
      </c>
      <c r="B451" s="39">
        <v>46146</v>
      </c>
      <c r="C451" s="40">
        <v>0.75</v>
      </c>
      <c r="D451" s="41">
        <v>4996.5</v>
      </c>
      <c r="E451" s="41">
        <v>4999</v>
      </c>
      <c r="F451" s="41">
        <v>4995</v>
      </c>
      <c r="G451" s="41">
        <v>4999</v>
      </c>
      <c r="H451" s="41">
        <v>390956250</v>
      </c>
      <c r="I451" s="42">
        <v>1565</v>
      </c>
    </row>
    <row r="452" spans="1:9" x14ac:dyDescent="0.25">
      <c r="A452" t="s">
        <v>9</v>
      </c>
      <c r="B452" s="39">
        <v>46146</v>
      </c>
      <c r="C452" s="40">
        <v>0.72916666666666663</v>
      </c>
      <c r="D452" s="41">
        <v>5004</v>
      </c>
      <c r="E452" s="41">
        <v>5005.5</v>
      </c>
      <c r="F452" s="41">
        <v>4996</v>
      </c>
      <c r="G452" s="41">
        <v>4996</v>
      </c>
      <c r="H452" s="41">
        <v>653764500</v>
      </c>
      <c r="I452" s="42">
        <v>2615</v>
      </c>
    </row>
    <row r="453" spans="1:9" x14ac:dyDescent="0.25">
      <c r="A453" t="s">
        <v>9</v>
      </c>
      <c r="B453" s="39">
        <v>46146</v>
      </c>
      <c r="C453" s="40">
        <v>0.70833333333333337</v>
      </c>
      <c r="D453" s="41">
        <v>5002</v>
      </c>
      <c r="E453" s="41">
        <v>5007</v>
      </c>
      <c r="F453" s="41">
        <v>4999.5</v>
      </c>
      <c r="G453" s="41">
        <v>5004</v>
      </c>
      <c r="H453" s="41">
        <v>1041773125</v>
      </c>
      <c r="I453" s="42">
        <v>4165</v>
      </c>
    </row>
    <row r="454" spans="1:9" x14ac:dyDescent="0.25">
      <c r="A454" t="s">
        <v>9</v>
      </c>
      <c r="B454" s="39">
        <v>46146</v>
      </c>
      <c r="C454" s="40">
        <v>0.6875</v>
      </c>
      <c r="D454" s="41">
        <v>5001.5</v>
      </c>
      <c r="E454" s="41">
        <v>5003</v>
      </c>
      <c r="F454" s="41">
        <v>5000</v>
      </c>
      <c r="G454" s="41">
        <v>5002</v>
      </c>
      <c r="H454" s="41">
        <v>2400665125</v>
      </c>
      <c r="I454" s="42">
        <v>9600</v>
      </c>
    </row>
    <row r="455" spans="1:9" x14ac:dyDescent="0.25">
      <c r="A455" t="s">
        <v>9</v>
      </c>
      <c r="B455" s="39">
        <v>46146</v>
      </c>
      <c r="C455" s="40">
        <v>0.66666666666666663</v>
      </c>
      <c r="D455" s="41">
        <v>5000.5</v>
      </c>
      <c r="E455" s="41">
        <v>5004</v>
      </c>
      <c r="F455" s="41">
        <v>4998.5</v>
      </c>
      <c r="G455" s="41">
        <v>5001.5</v>
      </c>
      <c r="H455" s="41">
        <v>1678002125</v>
      </c>
      <c r="I455" s="42">
        <v>6710</v>
      </c>
    </row>
    <row r="456" spans="1:9" x14ac:dyDescent="0.25">
      <c r="A456" t="s">
        <v>9</v>
      </c>
      <c r="B456" s="39">
        <v>46146</v>
      </c>
      <c r="C456" s="40">
        <v>0.64583333333333337</v>
      </c>
      <c r="D456" s="41">
        <v>5000.5</v>
      </c>
      <c r="E456" s="41">
        <v>5005</v>
      </c>
      <c r="F456" s="41">
        <v>5000</v>
      </c>
      <c r="G456" s="41">
        <v>5001.5</v>
      </c>
      <c r="H456" s="41">
        <v>1928613750</v>
      </c>
      <c r="I456" s="42">
        <v>7710</v>
      </c>
    </row>
    <row r="457" spans="1:9" x14ac:dyDescent="0.25">
      <c r="A457" t="s">
        <v>9</v>
      </c>
      <c r="B457" s="39">
        <v>46146</v>
      </c>
      <c r="C457" s="40">
        <v>0.625</v>
      </c>
      <c r="D457" s="41">
        <v>5001.5</v>
      </c>
      <c r="E457" s="41">
        <v>5004.5</v>
      </c>
      <c r="F457" s="41">
        <v>4998</v>
      </c>
      <c r="G457" s="41">
        <v>5000.5</v>
      </c>
      <c r="H457" s="41">
        <v>4333301625</v>
      </c>
      <c r="I457" s="42">
        <v>17325</v>
      </c>
    </row>
    <row r="458" spans="1:9" x14ac:dyDescent="0.25">
      <c r="A458" t="s">
        <v>9</v>
      </c>
      <c r="B458" s="39">
        <v>46146</v>
      </c>
      <c r="C458" s="40">
        <v>0.60416666666666663</v>
      </c>
      <c r="D458" s="41">
        <v>5005</v>
      </c>
      <c r="E458" s="41">
        <v>5006</v>
      </c>
      <c r="F458" s="41">
        <v>5000.5</v>
      </c>
      <c r="G458" s="41">
        <v>5002</v>
      </c>
      <c r="H458" s="41">
        <v>2975349125</v>
      </c>
      <c r="I458">
        <v>11895</v>
      </c>
    </row>
    <row r="459" spans="1:9" x14ac:dyDescent="0.25">
      <c r="A459" t="s">
        <v>9</v>
      </c>
      <c r="B459" s="39">
        <v>46146</v>
      </c>
      <c r="C459" s="40">
        <v>0.58333333333333337</v>
      </c>
      <c r="D459" s="41">
        <v>5016</v>
      </c>
      <c r="E459" s="41">
        <v>5016</v>
      </c>
      <c r="F459" s="41">
        <v>5002</v>
      </c>
      <c r="G459" s="41">
        <v>5004.5</v>
      </c>
      <c r="H459" s="41">
        <v>2223246750</v>
      </c>
      <c r="I459" s="42">
        <v>8880</v>
      </c>
    </row>
    <row r="460" spans="1:9" x14ac:dyDescent="0.25">
      <c r="A460" t="s">
        <v>9</v>
      </c>
      <c r="B460" s="39">
        <v>46146</v>
      </c>
      <c r="C460" s="40">
        <v>0.5625</v>
      </c>
      <c r="D460" s="41">
        <v>5006</v>
      </c>
      <c r="E460" s="41">
        <v>5017</v>
      </c>
      <c r="F460" s="41">
        <v>5003</v>
      </c>
      <c r="G460" s="41">
        <v>5016.5</v>
      </c>
      <c r="H460" s="41">
        <v>3961368500</v>
      </c>
      <c r="I460" s="42">
        <v>15815</v>
      </c>
    </row>
    <row r="461" spans="1:9" x14ac:dyDescent="0.25">
      <c r="A461" t="s">
        <v>9</v>
      </c>
      <c r="B461" s="39">
        <v>46146</v>
      </c>
      <c r="C461" s="40">
        <v>0.54166666666666663</v>
      </c>
      <c r="D461" s="41">
        <v>5001.5</v>
      </c>
      <c r="E461" s="41">
        <v>5012.5</v>
      </c>
      <c r="F461" s="41">
        <v>4999.5</v>
      </c>
      <c r="G461" s="41">
        <v>5006</v>
      </c>
      <c r="H461" s="41">
        <v>3971225625</v>
      </c>
      <c r="I461" s="42">
        <v>15865</v>
      </c>
    </row>
    <row r="462" spans="1:9" x14ac:dyDescent="0.25">
      <c r="A462" t="s">
        <v>9</v>
      </c>
      <c r="B462" s="39">
        <v>46146</v>
      </c>
      <c r="C462" s="40">
        <v>0.52083333333333337</v>
      </c>
      <c r="D462" s="41">
        <v>4987</v>
      </c>
      <c r="E462" s="41">
        <v>5003.5</v>
      </c>
      <c r="F462" s="41">
        <v>4987</v>
      </c>
      <c r="G462" s="41">
        <v>5002</v>
      </c>
      <c r="H462" s="41">
        <v>3834854750</v>
      </c>
      <c r="I462" s="42">
        <v>15355</v>
      </c>
    </row>
    <row r="463" spans="1:9" x14ac:dyDescent="0.25">
      <c r="A463" t="s">
        <v>9</v>
      </c>
      <c r="B463" s="39">
        <v>46146</v>
      </c>
      <c r="C463" s="40">
        <v>0.5</v>
      </c>
      <c r="D463" s="41">
        <v>4986</v>
      </c>
      <c r="E463" s="41">
        <v>4994.5</v>
      </c>
      <c r="F463" s="41">
        <v>4982</v>
      </c>
      <c r="G463" s="41">
        <v>4986.5</v>
      </c>
      <c r="H463" s="41">
        <v>4039779875</v>
      </c>
      <c r="I463" s="42">
        <v>16200</v>
      </c>
    </row>
    <row r="464" spans="1:9" x14ac:dyDescent="0.25">
      <c r="A464" t="s">
        <v>9</v>
      </c>
      <c r="B464" s="39">
        <v>46146</v>
      </c>
      <c r="C464" s="40">
        <v>0.47916666666666669</v>
      </c>
      <c r="D464" s="41">
        <v>4986.5</v>
      </c>
      <c r="E464" s="41">
        <v>4987</v>
      </c>
      <c r="F464" s="41">
        <v>4981.5</v>
      </c>
      <c r="G464" s="41">
        <v>4986</v>
      </c>
      <c r="H464" s="41">
        <v>4923127750</v>
      </c>
      <c r="I464" s="42">
        <v>19755</v>
      </c>
    </row>
    <row r="465" spans="1:9" x14ac:dyDescent="0.25">
      <c r="A465" t="s">
        <v>9</v>
      </c>
      <c r="B465" s="39">
        <v>46146</v>
      </c>
      <c r="C465" s="40">
        <v>0.45833333333333331</v>
      </c>
      <c r="D465" s="41">
        <v>4991</v>
      </c>
      <c r="E465" s="41">
        <v>4994.5</v>
      </c>
      <c r="F465" s="41">
        <v>4984</v>
      </c>
      <c r="G465" s="41">
        <v>4986.5</v>
      </c>
      <c r="H465" s="41">
        <v>2587180750</v>
      </c>
      <c r="I465" s="42">
        <v>10370</v>
      </c>
    </row>
    <row r="466" spans="1:9" x14ac:dyDescent="0.25">
      <c r="A466" t="s">
        <v>9</v>
      </c>
      <c r="B466" s="39">
        <v>46146</v>
      </c>
      <c r="C466" s="40">
        <v>0.4375</v>
      </c>
      <c r="D466" s="41">
        <v>4994.5</v>
      </c>
      <c r="E466" s="41">
        <v>4995.5</v>
      </c>
      <c r="F466" s="41">
        <v>4982</v>
      </c>
      <c r="G466" s="41">
        <v>4991.5</v>
      </c>
      <c r="H466" s="41">
        <v>2592412375</v>
      </c>
      <c r="I466" s="42">
        <v>10395</v>
      </c>
    </row>
    <row r="467" spans="1:9" x14ac:dyDescent="0.25">
      <c r="A467" t="s">
        <v>9</v>
      </c>
      <c r="B467" s="39">
        <v>46146</v>
      </c>
      <c r="C467" s="40">
        <v>0.41666666666666669</v>
      </c>
      <c r="D467" s="41">
        <v>4987</v>
      </c>
      <c r="E467" s="41">
        <v>4995</v>
      </c>
      <c r="F467" s="41">
        <v>4986</v>
      </c>
      <c r="G467" s="41">
        <v>4995</v>
      </c>
      <c r="H467" s="41">
        <v>2972762875</v>
      </c>
      <c r="I467" s="42">
        <v>11915</v>
      </c>
    </row>
    <row r="468" spans="1:9" x14ac:dyDescent="0.25">
      <c r="A468" t="s">
        <v>9</v>
      </c>
      <c r="B468" s="39">
        <v>46146</v>
      </c>
      <c r="C468" s="40">
        <v>0.39583333333333331</v>
      </c>
      <c r="D468" s="41">
        <v>4986</v>
      </c>
      <c r="E468" s="41">
        <v>4989.5</v>
      </c>
      <c r="F468" s="41">
        <v>4981.5</v>
      </c>
      <c r="G468" s="41">
        <v>4986.5</v>
      </c>
      <c r="H468" s="41">
        <v>1963480875</v>
      </c>
      <c r="I468" s="42">
        <v>7875</v>
      </c>
    </row>
    <row r="469" spans="1:9" x14ac:dyDescent="0.25">
      <c r="A469" t="s">
        <v>9</v>
      </c>
      <c r="B469" s="39">
        <v>46146</v>
      </c>
      <c r="C469" s="40">
        <v>0.375</v>
      </c>
      <c r="D469" s="41">
        <v>4996</v>
      </c>
      <c r="E469" s="41">
        <v>5002</v>
      </c>
      <c r="F469" s="41">
        <v>4983.5</v>
      </c>
      <c r="G469" s="41">
        <v>4985.5</v>
      </c>
      <c r="H469" s="41">
        <v>2329577625</v>
      </c>
      <c r="I469" s="42">
        <v>9330</v>
      </c>
    </row>
    <row r="470" spans="1:9" x14ac:dyDescent="0.25">
      <c r="A470" t="s">
        <v>9</v>
      </c>
      <c r="B470" s="39">
        <v>46142</v>
      </c>
      <c r="C470" s="40">
        <v>0.75</v>
      </c>
      <c r="D470" s="41">
        <v>4990</v>
      </c>
      <c r="E470" s="41">
        <v>4995</v>
      </c>
      <c r="F470" s="41">
        <v>4980.5</v>
      </c>
      <c r="G470" s="41">
        <v>4980.5</v>
      </c>
      <c r="H470" s="41">
        <v>2084028625</v>
      </c>
      <c r="I470" s="42">
        <v>8350</v>
      </c>
    </row>
    <row r="471" spans="1:9" x14ac:dyDescent="0.25">
      <c r="A471" t="s">
        <v>9</v>
      </c>
      <c r="B471" s="39">
        <v>46142</v>
      </c>
      <c r="C471" s="40">
        <v>0.72916666666666663</v>
      </c>
      <c r="D471" s="41">
        <v>4992</v>
      </c>
      <c r="E471" s="41">
        <v>4994.5</v>
      </c>
      <c r="F471" s="41">
        <v>4989.5</v>
      </c>
      <c r="G471" s="41">
        <v>4991</v>
      </c>
      <c r="H471" s="41">
        <v>2491356625</v>
      </c>
      <c r="I471" s="42">
        <v>9980</v>
      </c>
    </row>
    <row r="472" spans="1:9" x14ac:dyDescent="0.25">
      <c r="A472" t="s">
        <v>9</v>
      </c>
      <c r="B472" s="39">
        <v>46142</v>
      </c>
      <c r="C472" s="40">
        <v>0.70833333333333337</v>
      </c>
      <c r="D472" s="41">
        <v>4988.5</v>
      </c>
      <c r="E472" s="41">
        <v>4993</v>
      </c>
      <c r="F472" s="41">
        <v>4986.5</v>
      </c>
      <c r="G472" s="41">
        <v>4991</v>
      </c>
      <c r="H472" s="41">
        <v>1547826375</v>
      </c>
      <c r="I472" s="42">
        <v>6205</v>
      </c>
    </row>
    <row r="473" spans="1:9" x14ac:dyDescent="0.25">
      <c r="A473" t="s">
        <v>9</v>
      </c>
      <c r="B473" s="39">
        <v>46142</v>
      </c>
      <c r="C473" s="40">
        <v>0.6875</v>
      </c>
      <c r="D473" s="41">
        <v>4992.5</v>
      </c>
      <c r="E473" s="41">
        <v>4993</v>
      </c>
      <c r="F473" s="41">
        <v>4987</v>
      </c>
      <c r="G473" s="41">
        <v>4988.5</v>
      </c>
      <c r="H473" s="41">
        <v>1751691875</v>
      </c>
      <c r="I473" s="42">
        <v>7020</v>
      </c>
    </row>
    <row r="474" spans="1:9" x14ac:dyDescent="0.25">
      <c r="A474" t="s">
        <v>9</v>
      </c>
      <c r="B474" s="39">
        <v>46142</v>
      </c>
      <c r="C474" s="40">
        <v>0.66666666666666663</v>
      </c>
      <c r="D474" s="41">
        <v>4991.5</v>
      </c>
      <c r="E474" s="41">
        <v>4993</v>
      </c>
      <c r="F474" s="41">
        <v>4987.5</v>
      </c>
      <c r="G474" s="41">
        <v>4992</v>
      </c>
      <c r="H474" s="41">
        <v>3597113250</v>
      </c>
      <c r="I474" s="42">
        <v>14415</v>
      </c>
    </row>
    <row r="475" spans="1:9" x14ac:dyDescent="0.25">
      <c r="A475" t="s">
        <v>9</v>
      </c>
      <c r="B475" s="39">
        <v>46142</v>
      </c>
      <c r="C475" s="40">
        <v>0.64583333333333337</v>
      </c>
      <c r="D475" s="41">
        <v>4999</v>
      </c>
      <c r="E475" s="41">
        <v>4999</v>
      </c>
      <c r="F475" s="41">
        <v>4990</v>
      </c>
      <c r="G475" s="41">
        <v>4991.5</v>
      </c>
      <c r="H475" s="41">
        <v>4257448875</v>
      </c>
      <c r="I475" s="42">
        <v>17050</v>
      </c>
    </row>
    <row r="476" spans="1:9" x14ac:dyDescent="0.25">
      <c r="A476" t="s">
        <v>9</v>
      </c>
      <c r="B476" s="39">
        <v>46142</v>
      </c>
      <c r="C476" s="40">
        <v>0.625</v>
      </c>
      <c r="D476" s="41">
        <v>5001.5</v>
      </c>
      <c r="E476" s="41">
        <v>5001.5</v>
      </c>
      <c r="F476" s="41">
        <v>4997</v>
      </c>
      <c r="G476" s="41">
        <v>4999</v>
      </c>
      <c r="H476" s="41">
        <v>7308553125</v>
      </c>
      <c r="I476" s="42">
        <v>29245</v>
      </c>
    </row>
    <row r="477" spans="1:9" x14ac:dyDescent="0.25">
      <c r="A477" t="s">
        <v>9</v>
      </c>
      <c r="B477" s="39">
        <v>46142</v>
      </c>
      <c r="C477" s="40">
        <v>0.60416666666666663</v>
      </c>
      <c r="D477" s="41">
        <v>5005</v>
      </c>
      <c r="E477" s="41">
        <v>5005</v>
      </c>
      <c r="F477" s="41">
        <v>4998.5</v>
      </c>
      <c r="G477" s="41">
        <v>5002</v>
      </c>
      <c r="H477" s="41">
        <v>3247147375</v>
      </c>
      <c r="I477" s="42">
        <v>12985</v>
      </c>
    </row>
    <row r="478" spans="1:9" x14ac:dyDescent="0.25">
      <c r="A478" t="s">
        <v>9</v>
      </c>
      <c r="B478" s="39">
        <v>46142</v>
      </c>
      <c r="C478" s="40">
        <v>0.58333333333333337</v>
      </c>
      <c r="D478" s="41">
        <v>5013</v>
      </c>
      <c r="E478" s="41">
        <v>5014</v>
      </c>
      <c r="F478" s="41">
        <v>5003.5</v>
      </c>
      <c r="G478" s="41">
        <v>5005</v>
      </c>
      <c r="H478" s="41">
        <v>1874012500</v>
      </c>
      <c r="I478" s="42">
        <v>7485</v>
      </c>
    </row>
    <row r="479" spans="1:9" x14ac:dyDescent="0.25">
      <c r="A479" t="s">
        <v>9</v>
      </c>
      <c r="B479" s="39">
        <v>46142</v>
      </c>
      <c r="C479" s="40">
        <v>0.5625</v>
      </c>
      <c r="D479" s="41">
        <v>5017</v>
      </c>
      <c r="E479" s="41">
        <v>5017.5</v>
      </c>
      <c r="F479" s="41">
        <v>5011</v>
      </c>
      <c r="G479" s="41">
        <v>5013</v>
      </c>
      <c r="H479" s="41">
        <v>1554478125</v>
      </c>
      <c r="I479" s="42">
        <v>6200</v>
      </c>
    </row>
    <row r="480" spans="1:9" x14ac:dyDescent="0.25">
      <c r="A480" t="s">
        <v>9</v>
      </c>
      <c r="B480" s="39">
        <v>46142</v>
      </c>
      <c r="C480" s="40">
        <v>0.54166666666666663</v>
      </c>
      <c r="D480" s="41">
        <v>5015.5</v>
      </c>
      <c r="E480" s="41">
        <v>5021.5</v>
      </c>
      <c r="F480" s="41">
        <v>5015</v>
      </c>
      <c r="G480" s="41">
        <v>5017.5</v>
      </c>
      <c r="H480" s="41">
        <v>1756350500</v>
      </c>
      <c r="I480" s="42">
        <v>7000</v>
      </c>
    </row>
    <row r="481" spans="1:9" x14ac:dyDescent="0.25">
      <c r="A481" t="s">
        <v>9</v>
      </c>
      <c r="B481" s="39">
        <v>46142</v>
      </c>
      <c r="C481" s="40">
        <v>0.52083333333333337</v>
      </c>
      <c r="D481" s="41">
        <v>5011</v>
      </c>
      <c r="E481" s="41">
        <v>5015.5</v>
      </c>
      <c r="F481" s="41">
        <v>5006.5</v>
      </c>
      <c r="G481" s="41">
        <v>5015.5</v>
      </c>
      <c r="H481" s="41">
        <v>4434572375</v>
      </c>
      <c r="I481" s="42">
        <v>17700</v>
      </c>
    </row>
    <row r="482" spans="1:9" x14ac:dyDescent="0.25">
      <c r="A482" t="s">
        <v>9</v>
      </c>
      <c r="B482" s="39">
        <v>46142</v>
      </c>
      <c r="C482" s="40">
        <v>0.5</v>
      </c>
      <c r="D482" s="41">
        <v>5018.5</v>
      </c>
      <c r="E482" s="41">
        <v>5020.5</v>
      </c>
      <c r="F482" s="41">
        <v>5008.5</v>
      </c>
      <c r="G482" s="41">
        <v>5011</v>
      </c>
      <c r="H482" s="41">
        <v>5195783625</v>
      </c>
      <c r="I482" s="42">
        <v>20720</v>
      </c>
    </row>
    <row r="483" spans="1:9" x14ac:dyDescent="0.25">
      <c r="A483" t="s">
        <v>9</v>
      </c>
      <c r="B483" s="39">
        <v>46142</v>
      </c>
      <c r="C483" s="40">
        <v>0.47916666666666669</v>
      </c>
      <c r="D483" s="41">
        <v>5017</v>
      </c>
      <c r="E483" s="41">
        <v>5023.5</v>
      </c>
      <c r="F483" s="41">
        <v>5010</v>
      </c>
      <c r="G483" s="41">
        <v>5018.5</v>
      </c>
      <c r="H483" s="41">
        <v>5092344125</v>
      </c>
      <c r="I483" s="42">
        <v>20305</v>
      </c>
    </row>
    <row r="484" spans="1:9" x14ac:dyDescent="0.25">
      <c r="A484" t="s">
        <v>9</v>
      </c>
      <c r="B484" s="39">
        <v>46142</v>
      </c>
      <c r="C484" s="40">
        <v>0.45833333333333331</v>
      </c>
      <c r="D484" s="41">
        <v>5032</v>
      </c>
      <c r="E484" s="41">
        <v>5035</v>
      </c>
      <c r="F484" s="41">
        <v>5016</v>
      </c>
      <c r="G484" s="41">
        <v>5017</v>
      </c>
      <c r="H484" s="41">
        <v>5746003625</v>
      </c>
      <c r="I484" s="42">
        <v>22850</v>
      </c>
    </row>
    <row r="485" spans="1:9" x14ac:dyDescent="0.25">
      <c r="A485" t="s">
        <v>9</v>
      </c>
      <c r="B485" s="39">
        <v>46142</v>
      </c>
      <c r="C485" s="40">
        <v>0.4375</v>
      </c>
      <c r="D485" s="41">
        <v>5023</v>
      </c>
      <c r="E485" s="41">
        <v>5031.5</v>
      </c>
      <c r="F485" s="41">
        <v>5018.5</v>
      </c>
      <c r="G485" s="41">
        <v>5031.5</v>
      </c>
      <c r="H485" s="41">
        <v>7487251500</v>
      </c>
      <c r="I485" s="42">
        <v>29795</v>
      </c>
    </row>
    <row r="486" spans="1:9" x14ac:dyDescent="0.25">
      <c r="A486" t="s">
        <v>9</v>
      </c>
      <c r="B486" s="39">
        <v>46142</v>
      </c>
      <c r="C486" s="40">
        <v>0.41666666666666669</v>
      </c>
      <c r="D486" s="41">
        <v>5025</v>
      </c>
      <c r="E486" s="41">
        <v>5030</v>
      </c>
      <c r="F486" s="41">
        <v>5020.5</v>
      </c>
      <c r="G486" s="41">
        <v>5022.5</v>
      </c>
      <c r="H486" s="41">
        <v>6224579500</v>
      </c>
      <c r="I486" s="42">
        <v>24770</v>
      </c>
    </row>
    <row r="487" spans="1:9" x14ac:dyDescent="0.25">
      <c r="A487" t="s">
        <v>9</v>
      </c>
      <c r="B487" s="39">
        <v>46142</v>
      </c>
      <c r="C487" s="40">
        <v>0.39583333333333331</v>
      </c>
      <c r="D487" s="41">
        <v>5019</v>
      </c>
      <c r="E487" s="41">
        <v>5025.5</v>
      </c>
      <c r="F487" s="41">
        <v>5012</v>
      </c>
      <c r="G487" s="41">
        <v>5025</v>
      </c>
      <c r="H487" s="41">
        <v>5409814625</v>
      </c>
      <c r="I487" s="42">
        <v>21560</v>
      </c>
    </row>
    <row r="488" spans="1:9" x14ac:dyDescent="0.25">
      <c r="A488" t="s">
        <v>9</v>
      </c>
      <c r="B488" s="39">
        <v>46142</v>
      </c>
      <c r="C488" s="40">
        <v>0.375</v>
      </c>
      <c r="D488" s="41">
        <v>5028</v>
      </c>
      <c r="E488" s="41">
        <v>5030</v>
      </c>
      <c r="F488" s="41">
        <v>5008</v>
      </c>
      <c r="G488" s="41">
        <v>5019.5</v>
      </c>
      <c r="H488" s="41">
        <v>3638202750</v>
      </c>
      <c r="I488" s="42">
        <v>14505</v>
      </c>
    </row>
    <row r="489" spans="1:9" x14ac:dyDescent="0.25">
      <c r="A489" t="s">
        <v>9</v>
      </c>
      <c r="B489" s="39">
        <v>46141</v>
      </c>
      <c r="C489" s="40">
        <v>0.75</v>
      </c>
      <c r="D489" s="41">
        <v>5000</v>
      </c>
      <c r="E489" s="41">
        <v>5005</v>
      </c>
      <c r="F489" s="41">
        <v>4991</v>
      </c>
      <c r="G489" s="41">
        <v>4994</v>
      </c>
      <c r="H489" s="41">
        <v>553612375</v>
      </c>
      <c r="I489" s="42">
        <v>2215</v>
      </c>
    </row>
    <row r="490" spans="1:9" x14ac:dyDescent="0.25">
      <c r="A490" t="s">
        <v>9</v>
      </c>
      <c r="B490" s="39">
        <v>46141</v>
      </c>
      <c r="C490" s="40">
        <v>0.72916666666666663</v>
      </c>
      <c r="D490" s="41">
        <v>5006</v>
      </c>
      <c r="E490" s="41">
        <v>5006</v>
      </c>
      <c r="F490" s="41">
        <v>4996</v>
      </c>
      <c r="G490" s="41">
        <v>4999</v>
      </c>
      <c r="H490" s="41">
        <v>991547875</v>
      </c>
      <c r="I490" s="42">
        <v>3965</v>
      </c>
    </row>
    <row r="491" spans="1:9" x14ac:dyDescent="0.25">
      <c r="A491" t="s">
        <v>9</v>
      </c>
      <c r="B491" s="39">
        <v>46141</v>
      </c>
      <c r="C491" s="40">
        <v>0.70833333333333337</v>
      </c>
      <c r="D491" s="41">
        <v>5004.5</v>
      </c>
      <c r="E491" s="41">
        <v>5011.5</v>
      </c>
      <c r="F491" s="41">
        <v>5000.5</v>
      </c>
      <c r="G491" s="41">
        <v>5006.5</v>
      </c>
      <c r="H491" s="41">
        <v>1188880000</v>
      </c>
      <c r="I491" s="42">
        <v>4750</v>
      </c>
    </row>
    <row r="492" spans="1:9" x14ac:dyDescent="0.25">
      <c r="A492" t="s">
        <v>9</v>
      </c>
      <c r="B492" s="39">
        <v>46141</v>
      </c>
      <c r="C492" s="40">
        <v>0.6875</v>
      </c>
      <c r="D492" s="41">
        <v>5009</v>
      </c>
      <c r="E492" s="41">
        <v>5010.5</v>
      </c>
      <c r="F492" s="41">
        <v>5003</v>
      </c>
      <c r="G492" s="41">
        <v>5004.5</v>
      </c>
      <c r="H492" s="41">
        <v>7911204625</v>
      </c>
      <c r="I492" s="42">
        <v>31600</v>
      </c>
    </row>
    <row r="493" spans="1:9" x14ac:dyDescent="0.25">
      <c r="A493" t="s">
        <v>9</v>
      </c>
      <c r="B493" s="39">
        <v>46141</v>
      </c>
      <c r="C493" s="40">
        <v>0.66666666666666663</v>
      </c>
      <c r="D493" s="41">
        <v>5011</v>
      </c>
      <c r="E493" s="41">
        <v>5015.5</v>
      </c>
      <c r="F493" s="41">
        <v>5005.5</v>
      </c>
      <c r="G493" s="41">
        <v>5009</v>
      </c>
      <c r="H493" s="41">
        <v>4115157500</v>
      </c>
      <c r="I493" s="42">
        <v>16420</v>
      </c>
    </row>
    <row r="494" spans="1:9" x14ac:dyDescent="0.25">
      <c r="A494" t="s">
        <v>9</v>
      </c>
      <c r="B494" s="39">
        <v>46141</v>
      </c>
      <c r="C494" s="40">
        <v>0.64583333333333337</v>
      </c>
      <c r="D494" s="41">
        <v>5004.5</v>
      </c>
      <c r="E494" s="41">
        <v>5016</v>
      </c>
      <c r="F494" s="41">
        <v>4998.5</v>
      </c>
      <c r="G494" s="41">
        <v>5011.5</v>
      </c>
      <c r="H494" s="41">
        <v>7243941375</v>
      </c>
      <c r="I494" s="42">
        <v>28930</v>
      </c>
    </row>
    <row r="495" spans="1:9" x14ac:dyDescent="0.25">
      <c r="A495" t="s">
        <v>9</v>
      </c>
      <c r="B495" s="39">
        <v>46141</v>
      </c>
      <c r="C495" s="40">
        <v>0.625</v>
      </c>
      <c r="D495" s="41">
        <v>4999</v>
      </c>
      <c r="E495" s="41">
        <v>5008</v>
      </c>
      <c r="F495" s="41">
        <v>4997.5</v>
      </c>
      <c r="G495" s="41">
        <v>5005</v>
      </c>
      <c r="H495" s="41">
        <v>4646464750</v>
      </c>
      <c r="I495" s="42">
        <v>18570</v>
      </c>
    </row>
    <row r="496" spans="1:9" x14ac:dyDescent="0.25">
      <c r="A496" t="s">
        <v>9</v>
      </c>
      <c r="B496" s="39">
        <v>46141</v>
      </c>
      <c r="C496" s="40">
        <v>0.60416666666666663</v>
      </c>
      <c r="D496" s="41">
        <v>5001</v>
      </c>
      <c r="E496" s="41">
        <v>5002.5</v>
      </c>
      <c r="F496" s="41">
        <v>4995.5</v>
      </c>
      <c r="G496" s="41">
        <v>4998</v>
      </c>
      <c r="H496" s="41">
        <v>6454764875</v>
      </c>
      <c r="I496" s="42">
        <v>25825</v>
      </c>
    </row>
    <row r="497" spans="1:9" x14ac:dyDescent="0.25">
      <c r="A497" t="s">
        <v>9</v>
      </c>
      <c r="B497" s="39">
        <v>46141</v>
      </c>
      <c r="C497" s="40">
        <v>0.58333333333333337</v>
      </c>
      <c r="D497" s="41">
        <v>5005</v>
      </c>
      <c r="E497" s="41">
        <v>5006</v>
      </c>
      <c r="F497" s="41">
        <v>4999.5</v>
      </c>
      <c r="G497" s="41">
        <v>5001</v>
      </c>
      <c r="H497" s="41">
        <v>3059487125</v>
      </c>
      <c r="I497" s="42">
        <v>12230</v>
      </c>
    </row>
    <row r="498" spans="1:9" x14ac:dyDescent="0.25">
      <c r="A498" t="s">
        <v>9</v>
      </c>
      <c r="B498" s="39">
        <v>46141</v>
      </c>
      <c r="C498" s="40">
        <v>0.5625</v>
      </c>
      <c r="D498" s="41">
        <v>5002.5</v>
      </c>
      <c r="E498" s="41">
        <v>5006.5</v>
      </c>
      <c r="F498" s="41">
        <v>5002</v>
      </c>
      <c r="G498" s="41">
        <v>5005.5</v>
      </c>
      <c r="H498" s="41">
        <v>1875377250</v>
      </c>
      <c r="I498" s="42">
        <v>7495</v>
      </c>
    </row>
    <row r="499" spans="1:9" x14ac:dyDescent="0.25">
      <c r="A499" t="s">
        <v>9</v>
      </c>
      <c r="B499" s="39">
        <v>46141</v>
      </c>
      <c r="C499" s="40">
        <v>0.54166666666666663</v>
      </c>
      <c r="D499" s="41">
        <v>5001.5</v>
      </c>
      <c r="E499" s="41">
        <v>5003</v>
      </c>
      <c r="F499" s="41">
        <v>4999</v>
      </c>
      <c r="G499" s="41">
        <v>5002</v>
      </c>
      <c r="H499" s="41">
        <v>3273356000</v>
      </c>
      <c r="I499" s="42">
        <v>13090</v>
      </c>
    </row>
    <row r="500" spans="1:9" x14ac:dyDescent="0.25">
      <c r="A500" t="s">
        <v>9</v>
      </c>
      <c r="B500" s="39">
        <v>46141</v>
      </c>
      <c r="C500" s="40">
        <v>0.52083333333333337</v>
      </c>
      <c r="D500" s="41">
        <v>5000.5</v>
      </c>
      <c r="E500" s="41">
        <v>5007.5</v>
      </c>
      <c r="F500" s="41">
        <v>4997.5</v>
      </c>
      <c r="G500" s="41">
        <v>5001</v>
      </c>
      <c r="H500" s="41">
        <v>2414624375</v>
      </c>
      <c r="I500" s="42">
        <v>9655</v>
      </c>
    </row>
    <row r="501" spans="1:9" x14ac:dyDescent="0.25">
      <c r="A501" t="s">
        <v>9</v>
      </c>
      <c r="B501" s="39">
        <v>46141</v>
      </c>
      <c r="C501" s="40">
        <v>0.5</v>
      </c>
      <c r="D501" s="41">
        <v>4997.5</v>
      </c>
      <c r="E501" s="41">
        <v>5005</v>
      </c>
      <c r="F501" s="41">
        <v>4996.5</v>
      </c>
      <c r="G501" s="41">
        <v>5000.5</v>
      </c>
      <c r="H501" s="41">
        <v>3184205375</v>
      </c>
      <c r="I501" s="42">
        <v>12735</v>
      </c>
    </row>
    <row r="502" spans="1:9" x14ac:dyDescent="0.25">
      <c r="A502" t="s">
        <v>9</v>
      </c>
      <c r="B502" s="39">
        <v>46141</v>
      </c>
      <c r="C502" s="40">
        <v>0.47916666666666669</v>
      </c>
      <c r="D502" s="41">
        <v>5001.5</v>
      </c>
      <c r="E502" s="41">
        <v>5003</v>
      </c>
      <c r="F502" s="41">
        <v>4997</v>
      </c>
      <c r="G502" s="41">
        <v>4997.5</v>
      </c>
      <c r="H502" s="41">
        <v>2208675750</v>
      </c>
      <c r="I502" s="42">
        <v>8835</v>
      </c>
    </row>
    <row r="503" spans="1:9" x14ac:dyDescent="0.25">
      <c r="A503" t="s">
        <v>9</v>
      </c>
      <c r="B503" s="39">
        <v>46141</v>
      </c>
      <c r="C503" s="40">
        <v>0.45833333333333331</v>
      </c>
      <c r="D503" s="41">
        <v>5005</v>
      </c>
      <c r="E503" s="41">
        <v>5008.5</v>
      </c>
      <c r="F503" s="41">
        <v>4996</v>
      </c>
      <c r="G503" s="41">
        <v>5001</v>
      </c>
      <c r="H503" s="41">
        <v>6753205625</v>
      </c>
      <c r="I503" s="42">
        <v>27005</v>
      </c>
    </row>
    <row r="504" spans="1:9" x14ac:dyDescent="0.25">
      <c r="A504" t="s">
        <v>9</v>
      </c>
      <c r="B504" s="39">
        <v>46141</v>
      </c>
      <c r="C504" s="40">
        <v>0.4375</v>
      </c>
      <c r="D504" s="41">
        <v>5000</v>
      </c>
      <c r="E504" s="41">
        <v>5006.5</v>
      </c>
      <c r="F504" s="41">
        <v>4999</v>
      </c>
      <c r="G504" s="41">
        <v>5005</v>
      </c>
      <c r="H504" s="41">
        <v>7909360500</v>
      </c>
      <c r="I504" s="42">
        <v>31615</v>
      </c>
    </row>
    <row r="505" spans="1:9" x14ac:dyDescent="0.25">
      <c r="A505" t="s">
        <v>9</v>
      </c>
      <c r="B505" s="39">
        <v>46141</v>
      </c>
      <c r="C505" s="40">
        <v>0.41666666666666669</v>
      </c>
      <c r="D505" s="41">
        <v>4996</v>
      </c>
      <c r="E505" s="41">
        <v>5000</v>
      </c>
      <c r="F505" s="41">
        <v>4992.5</v>
      </c>
      <c r="G505" s="41">
        <v>5000</v>
      </c>
      <c r="H505" s="41">
        <v>2018531000</v>
      </c>
      <c r="I505" s="42">
        <v>8080</v>
      </c>
    </row>
    <row r="506" spans="1:9" x14ac:dyDescent="0.25">
      <c r="A506" t="s">
        <v>9</v>
      </c>
      <c r="B506" s="39">
        <v>46141</v>
      </c>
      <c r="C506" s="40">
        <v>0.39583333333333331</v>
      </c>
      <c r="D506" s="41">
        <v>4992.5</v>
      </c>
      <c r="E506" s="41">
        <v>5003</v>
      </c>
      <c r="F506" s="41">
        <v>4992.5</v>
      </c>
      <c r="G506" s="41">
        <v>4996.5</v>
      </c>
      <c r="H506" s="41">
        <v>4082254125</v>
      </c>
      <c r="I506" s="42">
        <v>16335</v>
      </c>
    </row>
    <row r="507" spans="1:9" x14ac:dyDescent="0.25">
      <c r="A507" t="s">
        <v>9</v>
      </c>
      <c r="B507" s="39">
        <v>46141</v>
      </c>
      <c r="C507" s="40">
        <v>0.375</v>
      </c>
      <c r="D507" s="41">
        <v>4982.5</v>
      </c>
      <c r="E507" s="41">
        <v>4993.5</v>
      </c>
      <c r="F507" s="41">
        <v>4978</v>
      </c>
      <c r="G507" s="41">
        <v>4993</v>
      </c>
      <c r="H507" s="41">
        <v>1757952625</v>
      </c>
      <c r="I507" s="42">
        <v>7050</v>
      </c>
    </row>
    <row r="508" spans="1:9" x14ac:dyDescent="0.25">
      <c r="A508" t="s">
        <v>9</v>
      </c>
      <c r="B508" s="39">
        <v>46140</v>
      </c>
      <c r="C508" s="40">
        <v>0.75</v>
      </c>
      <c r="D508" s="41">
        <v>4978</v>
      </c>
      <c r="E508" s="41">
        <v>4981</v>
      </c>
      <c r="F508" s="41">
        <v>4975.5</v>
      </c>
      <c r="G508" s="41">
        <v>4976.5</v>
      </c>
      <c r="H508" s="41">
        <v>1526789500</v>
      </c>
      <c r="I508" s="42">
        <v>6135</v>
      </c>
    </row>
    <row r="509" spans="1:9" x14ac:dyDescent="0.25">
      <c r="A509" t="s">
        <v>9</v>
      </c>
      <c r="B509" s="39">
        <v>46140</v>
      </c>
      <c r="C509" s="40">
        <v>0.72916666666666663</v>
      </c>
      <c r="D509" s="41">
        <v>4979</v>
      </c>
      <c r="E509" s="41">
        <v>4981</v>
      </c>
      <c r="F509" s="41">
        <v>4976</v>
      </c>
      <c r="G509" s="41">
        <v>4979</v>
      </c>
      <c r="H509" s="41">
        <v>1753416125</v>
      </c>
      <c r="I509" s="42">
        <v>7045</v>
      </c>
    </row>
    <row r="510" spans="1:9" x14ac:dyDescent="0.25">
      <c r="A510" t="s">
        <v>9</v>
      </c>
      <c r="B510" s="39">
        <v>46140</v>
      </c>
      <c r="C510" s="40">
        <v>0.70833333333333337</v>
      </c>
      <c r="D510" s="41">
        <v>4985</v>
      </c>
      <c r="E510" s="41">
        <v>4986</v>
      </c>
      <c r="F510" s="41">
        <v>4979</v>
      </c>
      <c r="G510" s="41">
        <v>4979</v>
      </c>
      <c r="H510" s="41">
        <v>2122917500</v>
      </c>
      <c r="I510" s="42">
        <v>8520</v>
      </c>
    </row>
    <row r="511" spans="1:9" x14ac:dyDescent="0.25">
      <c r="A511" t="s">
        <v>9</v>
      </c>
      <c r="B511" s="39">
        <v>46140</v>
      </c>
      <c r="C511" s="40">
        <v>0.6875</v>
      </c>
      <c r="D511" s="41">
        <v>4982.5</v>
      </c>
      <c r="E511" s="41">
        <v>4985.5</v>
      </c>
      <c r="F511" s="41">
        <v>4982</v>
      </c>
      <c r="G511" s="41">
        <v>4984.5</v>
      </c>
      <c r="H511" s="41">
        <v>1500066500</v>
      </c>
      <c r="I511" s="42">
        <v>6020</v>
      </c>
    </row>
    <row r="512" spans="1:9" x14ac:dyDescent="0.25">
      <c r="A512" t="s">
        <v>9</v>
      </c>
      <c r="B512" s="39">
        <v>46140</v>
      </c>
      <c r="C512" s="40">
        <v>0.66666666666666663</v>
      </c>
      <c r="D512" s="41">
        <v>4980.5</v>
      </c>
      <c r="E512" s="41">
        <v>4983.5</v>
      </c>
      <c r="F512" s="41">
        <v>4980</v>
      </c>
      <c r="G512" s="41">
        <v>4983</v>
      </c>
      <c r="H512" s="41">
        <v>2748859625</v>
      </c>
      <c r="I512" s="42">
        <v>11035</v>
      </c>
    </row>
    <row r="513" spans="1:9" x14ac:dyDescent="0.25">
      <c r="A513" t="s">
        <v>9</v>
      </c>
      <c r="B513" s="39">
        <v>46140</v>
      </c>
      <c r="C513" s="40">
        <v>0.64583333333333337</v>
      </c>
      <c r="D513" s="41">
        <v>4977</v>
      </c>
      <c r="E513" s="41">
        <v>4981.5</v>
      </c>
      <c r="F513" s="41">
        <v>4975</v>
      </c>
      <c r="G513" s="41">
        <v>4981</v>
      </c>
      <c r="H513" s="41">
        <v>4540339750</v>
      </c>
      <c r="I513" s="42">
        <v>18240</v>
      </c>
    </row>
    <row r="514" spans="1:9" x14ac:dyDescent="0.25">
      <c r="A514" t="s">
        <v>9</v>
      </c>
      <c r="B514" s="39">
        <v>46140</v>
      </c>
      <c r="C514" s="40">
        <v>0.625</v>
      </c>
      <c r="D514" s="41">
        <v>4986.5</v>
      </c>
      <c r="E514" s="41">
        <v>4988</v>
      </c>
      <c r="F514" s="41">
        <v>4976.5</v>
      </c>
      <c r="G514" s="41">
        <v>4977</v>
      </c>
      <c r="H514" s="41">
        <v>7235811500</v>
      </c>
      <c r="I514" s="42">
        <v>29045</v>
      </c>
    </row>
    <row r="515" spans="1:9" x14ac:dyDescent="0.25">
      <c r="A515" t="s">
        <v>9</v>
      </c>
      <c r="B515" s="39">
        <v>46140</v>
      </c>
      <c r="C515" s="40">
        <v>0.60416666666666663</v>
      </c>
      <c r="D515" s="41">
        <v>4985</v>
      </c>
      <c r="E515" s="41">
        <v>4987</v>
      </c>
      <c r="F515" s="41">
        <v>4982</v>
      </c>
      <c r="G515" s="41">
        <v>4986.5</v>
      </c>
      <c r="H515" s="41">
        <v>2568052875</v>
      </c>
      <c r="I515" s="42">
        <v>10305</v>
      </c>
    </row>
    <row r="516" spans="1:9" x14ac:dyDescent="0.25">
      <c r="A516" t="s">
        <v>9</v>
      </c>
      <c r="B516" s="39">
        <v>46140</v>
      </c>
      <c r="C516" s="40">
        <v>0.58333333333333337</v>
      </c>
      <c r="D516" s="41">
        <v>4981.5</v>
      </c>
      <c r="E516" s="41">
        <v>4987.5</v>
      </c>
      <c r="F516" s="41">
        <v>4980.5</v>
      </c>
      <c r="G516" s="41">
        <v>4985.5</v>
      </c>
      <c r="H516" s="41">
        <v>3329496750</v>
      </c>
      <c r="I516" s="42">
        <v>13360</v>
      </c>
    </row>
    <row r="517" spans="1:9" x14ac:dyDescent="0.25">
      <c r="A517" t="s">
        <v>9</v>
      </c>
      <c r="B517" s="39">
        <v>46140</v>
      </c>
      <c r="C517" s="40">
        <v>0.5625</v>
      </c>
      <c r="D517" s="41">
        <v>4986.5</v>
      </c>
      <c r="E517" s="41">
        <v>4989</v>
      </c>
      <c r="F517" s="41">
        <v>4980</v>
      </c>
      <c r="G517" s="41">
        <v>4981.5</v>
      </c>
      <c r="H517" s="41">
        <v>3716589750</v>
      </c>
      <c r="I517" s="42">
        <v>14920</v>
      </c>
    </row>
    <row r="518" spans="1:9" x14ac:dyDescent="0.25">
      <c r="A518" t="s">
        <v>9</v>
      </c>
      <c r="B518" s="39">
        <v>46140</v>
      </c>
      <c r="C518" s="40">
        <v>0.54166666666666663</v>
      </c>
      <c r="D518" s="41">
        <v>4990</v>
      </c>
      <c r="E518" s="41">
        <v>4991</v>
      </c>
      <c r="F518" s="41">
        <v>4983</v>
      </c>
      <c r="G518" s="41">
        <v>4987</v>
      </c>
      <c r="H518" s="41">
        <v>2708020000</v>
      </c>
      <c r="I518" s="42">
        <v>10860</v>
      </c>
    </row>
    <row r="519" spans="1:9" x14ac:dyDescent="0.25">
      <c r="A519" t="s">
        <v>9</v>
      </c>
      <c r="B519" s="39">
        <v>46140</v>
      </c>
      <c r="C519" s="40">
        <v>0.52083333333333337</v>
      </c>
      <c r="D519" s="41">
        <v>5000.5</v>
      </c>
      <c r="E519" s="41">
        <v>5002</v>
      </c>
      <c r="F519" s="41">
        <v>4990</v>
      </c>
      <c r="G519" s="41">
        <v>4990</v>
      </c>
      <c r="H519" s="41">
        <v>2802701250</v>
      </c>
      <c r="I519" s="42">
        <v>11220</v>
      </c>
    </row>
    <row r="520" spans="1:9" x14ac:dyDescent="0.25">
      <c r="A520" t="s">
        <v>9</v>
      </c>
      <c r="B520" s="39">
        <v>46140</v>
      </c>
      <c r="C520" s="40">
        <v>0.5</v>
      </c>
      <c r="D520" s="41">
        <v>5014.5</v>
      </c>
      <c r="E520" s="41">
        <v>5014.5</v>
      </c>
      <c r="F520" s="41">
        <v>4997.5</v>
      </c>
      <c r="G520" s="41">
        <v>5000</v>
      </c>
      <c r="H520" s="41">
        <v>3543505500</v>
      </c>
      <c r="I520" s="42">
        <v>14155</v>
      </c>
    </row>
    <row r="521" spans="1:9" x14ac:dyDescent="0.25">
      <c r="A521" t="s">
        <v>9</v>
      </c>
      <c r="B521" s="39">
        <v>46140</v>
      </c>
      <c r="C521" s="40">
        <v>0.47916666666666669</v>
      </c>
      <c r="D521" s="41">
        <v>5001.5</v>
      </c>
      <c r="E521" s="41">
        <v>5018.5</v>
      </c>
      <c r="F521" s="41">
        <v>4996.5</v>
      </c>
      <c r="G521" s="41">
        <v>5014</v>
      </c>
      <c r="H521" s="41">
        <v>8022731625</v>
      </c>
      <c r="I521" s="42">
        <v>32045</v>
      </c>
    </row>
    <row r="522" spans="1:9" x14ac:dyDescent="0.25">
      <c r="A522" t="s">
        <v>9</v>
      </c>
      <c r="B522" s="39">
        <v>46140</v>
      </c>
      <c r="C522" s="40">
        <v>0.45833333333333331</v>
      </c>
      <c r="D522" s="41">
        <v>4990</v>
      </c>
      <c r="E522" s="41">
        <v>5002.5</v>
      </c>
      <c r="F522" s="41">
        <v>4987.5</v>
      </c>
      <c r="G522" s="41">
        <v>5001.5</v>
      </c>
      <c r="H522" s="41">
        <v>8593148750</v>
      </c>
      <c r="I522" s="42">
        <v>34420</v>
      </c>
    </row>
    <row r="523" spans="1:9" x14ac:dyDescent="0.25">
      <c r="A523" t="s">
        <v>9</v>
      </c>
      <c r="B523" s="39">
        <v>46140</v>
      </c>
      <c r="C523" s="40">
        <v>0.4375</v>
      </c>
      <c r="D523" s="41">
        <v>4988</v>
      </c>
      <c r="E523" s="41">
        <v>4994.5</v>
      </c>
      <c r="F523" s="41">
        <v>4986.5</v>
      </c>
      <c r="G523" s="41">
        <v>4989.5</v>
      </c>
      <c r="H523" s="41">
        <v>4477566750</v>
      </c>
      <c r="I523" s="42">
        <v>17950</v>
      </c>
    </row>
    <row r="524" spans="1:9" x14ac:dyDescent="0.25">
      <c r="A524" t="s">
        <v>9</v>
      </c>
      <c r="B524" s="39">
        <v>46140</v>
      </c>
      <c r="C524" s="40">
        <v>0.41666666666666669</v>
      </c>
      <c r="D524" s="41">
        <v>4983.5</v>
      </c>
      <c r="E524" s="41">
        <v>4994.5</v>
      </c>
      <c r="F524" s="41">
        <v>4983.5</v>
      </c>
      <c r="G524" s="41">
        <v>4988</v>
      </c>
      <c r="H524" s="41">
        <v>6433869250</v>
      </c>
      <c r="I524" s="42">
        <v>25795</v>
      </c>
    </row>
    <row r="525" spans="1:9" x14ac:dyDescent="0.25">
      <c r="A525" t="s">
        <v>9</v>
      </c>
      <c r="B525" s="39">
        <v>46140</v>
      </c>
      <c r="C525" s="40">
        <v>0.39583333333333331</v>
      </c>
      <c r="D525" s="41">
        <v>4999</v>
      </c>
      <c r="E525" s="41">
        <v>5003.5</v>
      </c>
      <c r="F525" s="41">
        <v>4983.5</v>
      </c>
      <c r="G525" s="41">
        <v>4983.5</v>
      </c>
      <c r="H525" s="41">
        <v>2813556750</v>
      </c>
      <c r="I525" s="42">
        <v>11275</v>
      </c>
    </row>
    <row r="526" spans="1:9" x14ac:dyDescent="0.25">
      <c r="A526" t="s">
        <v>9</v>
      </c>
      <c r="B526" s="39">
        <v>46140</v>
      </c>
      <c r="C526" s="40">
        <v>0.375</v>
      </c>
      <c r="D526" s="41">
        <v>4999</v>
      </c>
      <c r="E526" s="41">
        <v>5012</v>
      </c>
      <c r="F526" s="41">
        <v>4996.5</v>
      </c>
      <c r="G526" s="41">
        <v>4999</v>
      </c>
      <c r="H526" s="41">
        <v>2951725375</v>
      </c>
      <c r="I526" s="42">
        <v>11795</v>
      </c>
    </row>
    <row r="527" spans="1:9" x14ac:dyDescent="0.25">
      <c r="A527" t="s">
        <v>9</v>
      </c>
      <c r="B527" s="39">
        <v>46139</v>
      </c>
      <c r="C527" s="40">
        <v>0.75</v>
      </c>
      <c r="D527" s="41">
        <v>4987.5</v>
      </c>
      <c r="E527" s="41">
        <v>4988.5</v>
      </c>
      <c r="F527" s="41">
        <v>4984.5</v>
      </c>
      <c r="G527" s="41">
        <v>4987.5</v>
      </c>
      <c r="H527" s="41">
        <v>360238625</v>
      </c>
      <c r="I527" s="42">
        <v>1445</v>
      </c>
    </row>
    <row r="528" spans="1:9" x14ac:dyDescent="0.25">
      <c r="A528" t="s">
        <v>9</v>
      </c>
      <c r="B528" s="39">
        <v>46139</v>
      </c>
      <c r="C528" s="40">
        <v>0.72916666666666663</v>
      </c>
      <c r="D528" s="41">
        <v>4987</v>
      </c>
      <c r="E528" s="41">
        <v>4989</v>
      </c>
      <c r="F528" s="41">
        <v>4986.5</v>
      </c>
      <c r="G528" s="41">
        <v>4987.5</v>
      </c>
      <c r="H528" s="41">
        <v>1402736125</v>
      </c>
      <c r="I528" s="42">
        <v>5625</v>
      </c>
    </row>
    <row r="529" spans="1:9" x14ac:dyDescent="0.25">
      <c r="A529" t="s">
        <v>9</v>
      </c>
      <c r="B529" s="39">
        <v>46139</v>
      </c>
      <c r="C529" s="40">
        <v>0.70833333333333337</v>
      </c>
      <c r="D529" s="41">
        <v>4987</v>
      </c>
      <c r="E529" s="41">
        <v>4988.5</v>
      </c>
      <c r="F529" s="41">
        <v>4984.5</v>
      </c>
      <c r="G529" s="41">
        <v>4988</v>
      </c>
      <c r="H529" s="41">
        <v>1789180875</v>
      </c>
      <c r="I529" s="42">
        <v>7175</v>
      </c>
    </row>
    <row r="530" spans="1:9" x14ac:dyDescent="0.25">
      <c r="A530" t="s">
        <v>9</v>
      </c>
      <c r="B530" s="39">
        <v>46139</v>
      </c>
      <c r="C530" s="40">
        <v>0.6875</v>
      </c>
      <c r="D530" s="41">
        <v>4984.5</v>
      </c>
      <c r="E530" s="41">
        <v>4987.5</v>
      </c>
      <c r="F530" s="41">
        <v>4984.5</v>
      </c>
      <c r="G530" s="41">
        <v>4987</v>
      </c>
      <c r="H530" s="41">
        <v>1813809125</v>
      </c>
      <c r="I530" s="42">
        <v>7275</v>
      </c>
    </row>
    <row r="531" spans="1:9" x14ac:dyDescent="0.25">
      <c r="A531" t="s">
        <v>9</v>
      </c>
      <c r="B531" s="39">
        <v>46139</v>
      </c>
      <c r="C531" s="40">
        <v>0.66666666666666663</v>
      </c>
      <c r="D531" s="41">
        <v>4981.5</v>
      </c>
      <c r="E531" s="41">
        <v>4985</v>
      </c>
      <c r="F531" s="41">
        <v>4980</v>
      </c>
      <c r="G531" s="41">
        <v>4984.5</v>
      </c>
      <c r="H531" s="41">
        <v>2902461125</v>
      </c>
      <c r="I531" s="42">
        <v>11650</v>
      </c>
    </row>
    <row r="532" spans="1:9" x14ac:dyDescent="0.25">
      <c r="A532" t="s">
        <v>9</v>
      </c>
      <c r="B532" s="39">
        <v>46139</v>
      </c>
      <c r="C532" s="40">
        <v>0.64583333333333337</v>
      </c>
      <c r="D532" s="41">
        <v>4972.5</v>
      </c>
      <c r="E532" s="41">
        <v>4982.5</v>
      </c>
      <c r="F532" s="41">
        <v>4972.5</v>
      </c>
      <c r="G532" s="41">
        <v>4981</v>
      </c>
      <c r="H532" s="41">
        <v>2264373375</v>
      </c>
      <c r="I532" s="42">
        <v>9095</v>
      </c>
    </row>
    <row r="533" spans="1:9" x14ac:dyDescent="0.25">
      <c r="A533" t="s">
        <v>9</v>
      </c>
      <c r="B533" s="39">
        <v>46139</v>
      </c>
      <c r="C533" s="40">
        <v>0.625</v>
      </c>
      <c r="D533" s="41">
        <v>4976.5</v>
      </c>
      <c r="E533" s="41">
        <v>4977</v>
      </c>
      <c r="F533" s="41">
        <v>4971.5</v>
      </c>
      <c r="G533" s="41">
        <v>4973</v>
      </c>
      <c r="H533" s="41">
        <v>1973287875</v>
      </c>
      <c r="I533" s="42">
        <v>7935</v>
      </c>
    </row>
    <row r="534" spans="1:9" x14ac:dyDescent="0.25">
      <c r="A534" t="s">
        <v>9</v>
      </c>
      <c r="B534" s="39">
        <v>46139</v>
      </c>
      <c r="C534" s="40">
        <v>0.60416666666666663</v>
      </c>
      <c r="D534" s="41">
        <v>4978</v>
      </c>
      <c r="E534" s="41">
        <v>4978</v>
      </c>
      <c r="F534" s="41">
        <v>4975</v>
      </c>
      <c r="G534" s="41">
        <v>4976.5</v>
      </c>
      <c r="H534" s="41">
        <v>1520382375</v>
      </c>
      <c r="I534" s="42">
        <v>6110</v>
      </c>
    </row>
    <row r="535" spans="1:9" x14ac:dyDescent="0.25">
      <c r="A535" t="s">
        <v>9</v>
      </c>
      <c r="B535" s="39">
        <v>46139</v>
      </c>
      <c r="C535" s="40">
        <v>0.58333333333333337</v>
      </c>
      <c r="D535" s="41">
        <v>4978</v>
      </c>
      <c r="E535" s="41">
        <v>4982.5</v>
      </c>
      <c r="F535" s="41">
        <v>4977.5</v>
      </c>
      <c r="G535" s="41">
        <v>4978</v>
      </c>
      <c r="H535" s="41">
        <v>3096705500</v>
      </c>
      <c r="I535" s="42">
        <v>12435</v>
      </c>
    </row>
    <row r="536" spans="1:9" x14ac:dyDescent="0.25">
      <c r="A536" t="s">
        <v>9</v>
      </c>
      <c r="B536" s="39">
        <v>46139</v>
      </c>
      <c r="C536" s="40">
        <v>0.5625</v>
      </c>
      <c r="D536" s="41">
        <v>4974</v>
      </c>
      <c r="E536" s="41">
        <v>4979.5</v>
      </c>
      <c r="F536" s="41">
        <v>4972</v>
      </c>
      <c r="G536" s="41">
        <v>4978.5</v>
      </c>
      <c r="H536" s="41">
        <v>1545120750</v>
      </c>
      <c r="I536" s="42">
        <v>6210</v>
      </c>
    </row>
    <row r="537" spans="1:9" x14ac:dyDescent="0.25">
      <c r="A537" t="s">
        <v>9</v>
      </c>
      <c r="B537" s="39">
        <v>46139</v>
      </c>
      <c r="C537" s="40">
        <v>0.54166666666666663</v>
      </c>
      <c r="D537" s="41">
        <v>4974.5</v>
      </c>
      <c r="E537" s="41">
        <v>4976</v>
      </c>
      <c r="F537" s="41">
        <v>4973.5</v>
      </c>
      <c r="G537" s="41">
        <v>4974</v>
      </c>
      <c r="H537" s="41">
        <v>3599572000</v>
      </c>
      <c r="I537" s="42">
        <v>14470</v>
      </c>
    </row>
    <row r="538" spans="1:9" x14ac:dyDescent="0.25">
      <c r="A538" t="s">
        <v>9</v>
      </c>
      <c r="B538" s="39">
        <v>46139</v>
      </c>
      <c r="C538" s="40">
        <v>0.52083333333333337</v>
      </c>
      <c r="D538" s="41">
        <v>4977.5</v>
      </c>
      <c r="E538" s="41">
        <v>4979</v>
      </c>
      <c r="F538" s="41">
        <v>4974</v>
      </c>
      <c r="G538" s="41">
        <v>4974.5</v>
      </c>
      <c r="H538" s="41">
        <v>1731951125</v>
      </c>
      <c r="I538" s="42">
        <v>6960</v>
      </c>
    </row>
    <row r="539" spans="1:9" x14ac:dyDescent="0.25">
      <c r="A539" t="s">
        <v>9</v>
      </c>
      <c r="B539" s="39">
        <v>46139</v>
      </c>
      <c r="C539" s="40">
        <v>0.5</v>
      </c>
      <c r="D539" s="41">
        <v>4972.5</v>
      </c>
      <c r="E539" s="41">
        <v>4979</v>
      </c>
      <c r="F539" s="41">
        <v>4972</v>
      </c>
      <c r="G539" s="41">
        <v>4977.5</v>
      </c>
      <c r="H539" s="41">
        <v>4360945750</v>
      </c>
      <c r="I539" s="42">
        <v>17530</v>
      </c>
    </row>
    <row r="540" spans="1:9" x14ac:dyDescent="0.25">
      <c r="A540" t="s">
        <v>9</v>
      </c>
      <c r="B540" s="39">
        <v>46139</v>
      </c>
      <c r="C540" s="40">
        <v>0.47916666666666669</v>
      </c>
      <c r="D540" s="41">
        <v>4978</v>
      </c>
      <c r="E540" s="41">
        <v>4980.5</v>
      </c>
      <c r="F540" s="41">
        <v>4972.5</v>
      </c>
      <c r="G540" s="41">
        <v>4972.5</v>
      </c>
      <c r="H540" s="41">
        <v>4978147125</v>
      </c>
      <c r="I540" s="42">
        <v>20010</v>
      </c>
    </row>
    <row r="541" spans="1:9" x14ac:dyDescent="0.25">
      <c r="A541" t="s">
        <v>9</v>
      </c>
      <c r="B541" s="39">
        <v>46139</v>
      </c>
      <c r="C541" s="40">
        <v>0.45833333333333331</v>
      </c>
      <c r="D541" s="41">
        <v>4977</v>
      </c>
      <c r="E541" s="41">
        <v>4981</v>
      </c>
      <c r="F541" s="41">
        <v>4976.5</v>
      </c>
      <c r="G541" s="41">
        <v>4978</v>
      </c>
      <c r="H541" s="41">
        <v>5799362875</v>
      </c>
      <c r="I541" s="42">
        <v>23295</v>
      </c>
    </row>
    <row r="542" spans="1:9" x14ac:dyDescent="0.25">
      <c r="A542" t="s">
        <v>9</v>
      </c>
      <c r="B542" s="39">
        <v>46139</v>
      </c>
      <c r="C542" s="40">
        <v>0.4375</v>
      </c>
      <c r="D542" s="41">
        <v>4974.5</v>
      </c>
      <c r="E542" s="41">
        <v>4981.5</v>
      </c>
      <c r="F542" s="41">
        <v>4973</v>
      </c>
      <c r="G542" s="41">
        <v>4976.5</v>
      </c>
      <c r="H542" s="41">
        <v>4379152000</v>
      </c>
      <c r="I542" s="42">
        <v>17595</v>
      </c>
    </row>
    <row r="543" spans="1:9" x14ac:dyDescent="0.25">
      <c r="A543" t="s">
        <v>9</v>
      </c>
      <c r="B543" s="39">
        <v>46139</v>
      </c>
      <c r="C543" s="40">
        <v>0.41666666666666669</v>
      </c>
      <c r="D543" s="41">
        <v>4978</v>
      </c>
      <c r="E543" s="41">
        <v>4979.5</v>
      </c>
      <c r="F543" s="41">
        <v>4968.5</v>
      </c>
      <c r="G543" s="41">
        <v>4974</v>
      </c>
      <c r="H543" s="41">
        <v>8402827125</v>
      </c>
      <c r="I543" s="42">
        <v>33795</v>
      </c>
    </row>
    <row r="544" spans="1:9" x14ac:dyDescent="0.25">
      <c r="A544" t="s">
        <v>9</v>
      </c>
      <c r="B544" s="39">
        <v>46139</v>
      </c>
      <c r="C544" s="40">
        <v>0.39583333333333331</v>
      </c>
      <c r="D544" s="41">
        <v>4973</v>
      </c>
      <c r="E544" s="41">
        <v>4979.5</v>
      </c>
      <c r="F544" s="41">
        <v>4971</v>
      </c>
      <c r="G544" s="41">
        <v>4978.5</v>
      </c>
      <c r="H544" s="41">
        <v>8591850250</v>
      </c>
      <c r="I544" s="42">
        <v>34550</v>
      </c>
    </row>
    <row r="545" spans="1:9" x14ac:dyDescent="0.25">
      <c r="A545" t="s">
        <v>9</v>
      </c>
      <c r="B545" s="39">
        <v>46139</v>
      </c>
      <c r="C545" s="40">
        <v>0.375</v>
      </c>
      <c r="D545" s="41">
        <v>4989</v>
      </c>
      <c r="E545" s="41">
        <v>4989</v>
      </c>
      <c r="F545" s="41">
        <v>4970</v>
      </c>
      <c r="G545" s="41">
        <v>4973</v>
      </c>
      <c r="H545" s="41">
        <v>3211840250</v>
      </c>
      <c r="I545" s="42">
        <v>12905</v>
      </c>
    </row>
    <row r="546" spans="1:9" x14ac:dyDescent="0.25">
      <c r="A546" t="s">
        <v>9</v>
      </c>
      <c r="B546" s="39">
        <v>46136</v>
      </c>
      <c r="C546" s="40">
        <v>0.75</v>
      </c>
      <c r="D546" s="41">
        <v>4988</v>
      </c>
      <c r="E546" s="41">
        <v>4996</v>
      </c>
      <c r="F546" s="41">
        <v>4985</v>
      </c>
      <c r="G546" s="41">
        <v>4995.5</v>
      </c>
      <c r="H546" s="41">
        <v>2540058625</v>
      </c>
      <c r="I546" s="42">
        <v>10185</v>
      </c>
    </row>
    <row r="547" spans="1:9" x14ac:dyDescent="0.25">
      <c r="A547" t="s">
        <v>9</v>
      </c>
      <c r="B547" s="39">
        <v>46136</v>
      </c>
      <c r="C547" s="40">
        <v>0.72916666666666663</v>
      </c>
      <c r="D547" s="41">
        <v>4999.5</v>
      </c>
      <c r="E547" s="41">
        <v>4999.5</v>
      </c>
      <c r="F547" s="41">
        <v>4985</v>
      </c>
      <c r="G547" s="41">
        <v>4987</v>
      </c>
      <c r="H547" s="41">
        <v>2330290625</v>
      </c>
      <c r="I547" s="42">
        <v>9340</v>
      </c>
    </row>
    <row r="548" spans="1:9" x14ac:dyDescent="0.25">
      <c r="A548" t="s">
        <v>9</v>
      </c>
      <c r="B548" s="39">
        <v>46136</v>
      </c>
      <c r="C548" s="40">
        <v>0.70833333333333337</v>
      </c>
      <c r="D548" s="41">
        <v>5006</v>
      </c>
      <c r="E548" s="41">
        <v>5006.5</v>
      </c>
      <c r="F548" s="41">
        <v>4997</v>
      </c>
      <c r="G548" s="41">
        <v>4999.5</v>
      </c>
      <c r="H548" s="41">
        <v>2718326750</v>
      </c>
      <c r="I548" s="42">
        <v>10870</v>
      </c>
    </row>
    <row r="549" spans="1:9" x14ac:dyDescent="0.25">
      <c r="A549" t="s">
        <v>9</v>
      </c>
      <c r="B549" s="39">
        <v>46136</v>
      </c>
      <c r="C549" s="40">
        <v>0.6875</v>
      </c>
      <c r="D549" s="41">
        <v>5005.5</v>
      </c>
      <c r="E549" s="41">
        <v>5007.5</v>
      </c>
      <c r="F549" s="41">
        <v>5003</v>
      </c>
      <c r="G549" s="41">
        <v>5006</v>
      </c>
      <c r="H549" s="41">
        <v>1731673375</v>
      </c>
      <c r="I549" s="42">
        <v>6920</v>
      </c>
    </row>
    <row r="550" spans="1:9" x14ac:dyDescent="0.25">
      <c r="A550" t="s">
        <v>9</v>
      </c>
      <c r="B550" s="39">
        <v>46136</v>
      </c>
      <c r="C550" s="40">
        <v>0.66666666666666663</v>
      </c>
      <c r="D550" s="41">
        <v>5008</v>
      </c>
      <c r="E550" s="41">
        <v>5008</v>
      </c>
      <c r="F550" s="41">
        <v>5001</v>
      </c>
      <c r="G550" s="41">
        <v>5005.5</v>
      </c>
      <c r="H550" s="41">
        <v>2298214000</v>
      </c>
      <c r="I550" s="42">
        <v>9185</v>
      </c>
    </row>
    <row r="551" spans="1:9" x14ac:dyDescent="0.25">
      <c r="A551" t="s">
        <v>9</v>
      </c>
      <c r="B551" s="39">
        <v>46136</v>
      </c>
      <c r="C551" s="40">
        <v>0.64583333333333337</v>
      </c>
      <c r="D551" s="41">
        <v>5015.5</v>
      </c>
      <c r="E551" s="41">
        <v>5015.5</v>
      </c>
      <c r="F551" s="41">
        <v>5006.5</v>
      </c>
      <c r="G551" s="41">
        <v>5008.5</v>
      </c>
      <c r="H551" s="41">
        <v>2360743375</v>
      </c>
      <c r="I551" s="42">
        <v>9425</v>
      </c>
    </row>
    <row r="552" spans="1:9" x14ac:dyDescent="0.25">
      <c r="A552" t="s">
        <v>9</v>
      </c>
      <c r="B552" s="39">
        <v>46136</v>
      </c>
      <c r="C552" s="40">
        <v>0.625</v>
      </c>
      <c r="D552" s="41">
        <v>5015</v>
      </c>
      <c r="E552" s="41">
        <v>5018</v>
      </c>
      <c r="F552" s="41">
        <v>5013</v>
      </c>
      <c r="G552" s="41">
        <v>5016</v>
      </c>
      <c r="H552" s="41">
        <v>4025235500</v>
      </c>
      <c r="I552" s="42">
        <v>16055</v>
      </c>
    </row>
    <row r="553" spans="1:9" x14ac:dyDescent="0.25">
      <c r="A553" t="s">
        <v>9</v>
      </c>
      <c r="B553" s="39">
        <v>46136</v>
      </c>
      <c r="C553" s="40">
        <v>0.60416666666666663</v>
      </c>
      <c r="D553" s="41">
        <v>5014</v>
      </c>
      <c r="E553" s="41">
        <v>5015</v>
      </c>
      <c r="F553" s="41">
        <v>5010</v>
      </c>
      <c r="G553" s="41">
        <v>5015</v>
      </c>
      <c r="H553" s="41">
        <v>1359680250</v>
      </c>
      <c r="I553" s="42">
        <v>5425</v>
      </c>
    </row>
    <row r="554" spans="1:9" x14ac:dyDescent="0.25">
      <c r="A554" t="s">
        <v>9</v>
      </c>
      <c r="B554" s="39">
        <v>46136</v>
      </c>
      <c r="C554" s="40">
        <v>0.58333333333333337</v>
      </c>
      <c r="D554" s="41">
        <v>5016</v>
      </c>
      <c r="E554" s="41">
        <v>5017</v>
      </c>
      <c r="F554" s="41">
        <v>5012</v>
      </c>
      <c r="G554" s="41">
        <v>5014</v>
      </c>
      <c r="H554" s="41">
        <v>1172066000</v>
      </c>
      <c r="I554" s="42">
        <v>4675</v>
      </c>
    </row>
    <row r="555" spans="1:9" x14ac:dyDescent="0.25">
      <c r="A555" t="s">
        <v>9</v>
      </c>
      <c r="B555" s="39">
        <v>46136</v>
      </c>
      <c r="C555" s="40">
        <v>0.5625</v>
      </c>
      <c r="D555" s="41">
        <v>5012</v>
      </c>
      <c r="E555" s="41">
        <v>5020</v>
      </c>
      <c r="F555" s="41">
        <v>5010</v>
      </c>
      <c r="G555" s="41">
        <v>5016</v>
      </c>
      <c r="H555" s="41">
        <v>2001652750</v>
      </c>
      <c r="I555" s="42">
        <v>7980</v>
      </c>
    </row>
    <row r="556" spans="1:9" x14ac:dyDescent="0.25">
      <c r="A556" t="s">
        <v>9</v>
      </c>
      <c r="B556" s="39">
        <v>46136</v>
      </c>
      <c r="C556" s="40">
        <v>0.54166666666666663</v>
      </c>
      <c r="D556" s="41">
        <v>5006</v>
      </c>
      <c r="E556" s="41">
        <v>5016.5</v>
      </c>
      <c r="F556" s="41">
        <v>5003.5</v>
      </c>
      <c r="G556" s="41">
        <v>5012.5</v>
      </c>
      <c r="H556" s="41">
        <v>3345260000</v>
      </c>
      <c r="I556" s="42">
        <v>13360</v>
      </c>
    </row>
    <row r="557" spans="1:9" x14ac:dyDescent="0.25">
      <c r="A557" t="s">
        <v>9</v>
      </c>
      <c r="B557" s="39">
        <v>46136</v>
      </c>
      <c r="C557" s="40">
        <v>0.52083333333333337</v>
      </c>
      <c r="D557" s="41">
        <v>5012</v>
      </c>
      <c r="E557" s="41">
        <v>5013</v>
      </c>
      <c r="F557" s="41">
        <v>5004</v>
      </c>
      <c r="G557" s="41">
        <v>5005.5</v>
      </c>
      <c r="H557" s="41">
        <v>5221421125</v>
      </c>
      <c r="I557" s="42">
        <v>20850</v>
      </c>
    </row>
    <row r="558" spans="1:9" x14ac:dyDescent="0.25">
      <c r="A558" t="s">
        <v>9</v>
      </c>
      <c r="B558" s="39">
        <v>46136</v>
      </c>
      <c r="C558" s="40">
        <v>0.5</v>
      </c>
      <c r="D558" s="41">
        <v>5020</v>
      </c>
      <c r="E558" s="41">
        <v>5020.5</v>
      </c>
      <c r="F558" s="41">
        <v>5011.5</v>
      </c>
      <c r="G558" s="41">
        <v>5011.5</v>
      </c>
      <c r="H558" s="41">
        <v>3426802625</v>
      </c>
      <c r="I558" s="42">
        <v>13665</v>
      </c>
    </row>
    <row r="559" spans="1:9" x14ac:dyDescent="0.25">
      <c r="A559" t="s">
        <v>9</v>
      </c>
      <c r="B559" s="39">
        <v>46136</v>
      </c>
      <c r="C559" s="40">
        <v>0.47916666666666669</v>
      </c>
      <c r="D559" s="41">
        <v>5027.5</v>
      </c>
      <c r="E559" s="41">
        <v>5027.5</v>
      </c>
      <c r="F559" s="41">
        <v>5020</v>
      </c>
      <c r="G559" s="41">
        <v>5020</v>
      </c>
      <c r="H559" s="41">
        <v>2965973500</v>
      </c>
      <c r="I559" s="42">
        <v>11810</v>
      </c>
    </row>
    <row r="560" spans="1:9" x14ac:dyDescent="0.25">
      <c r="A560" t="s">
        <v>9</v>
      </c>
      <c r="B560" s="39">
        <v>46136</v>
      </c>
      <c r="C560" s="40">
        <v>0.45833333333333331</v>
      </c>
      <c r="D560" s="41">
        <v>5024.5</v>
      </c>
      <c r="E560" s="41">
        <v>5028</v>
      </c>
      <c r="F560" s="41">
        <v>5018</v>
      </c>
      <c r="G560" s="41">
        <v>5027.5</v>
      </c>
      <c r="H560" s="41">
        <v>7657440875</v>
      </c>
      <c r="I560" s="42">
        <v>30485</v>
      </c>
    </row>
    <row r="561" spans="1:9" x14ac:dyDescent="0.25">
      <c r="A561" t="s">
        <v>9</v>
      </c>
      <c r="B561" s="39">
        <v>46136</v>
      </c>
      <c r="C561" s="40">
        <v>0.4375</v>
      </c>
      <c r="D561" s="41">
        <v>5020.5</v>
      </c>
      <c r="E561" s="41">
        <v>5032</v>
      </c>
      <c r="F561" s="41">
        <v>5019.5</v>
      </c>
      <c r="G561" s="41">
        <v>5024</v>
      </c>
      <c r="H561" s="41">
        <v>4472995000</v>
      </c>
      <c r="I561" s="42">
        <v>17800</v>
      </c>
    </row>
    <row r="562" spans="1:9" x14ac:dyDescent="0.25">
      <c r="A562" t="s">
        <v>9</v>
      </c>
      <c r="B562" s="39">
        <v>46136</v>
      </c>
      <c r="C562" s="40">
        <v>0.41666666666666669</v>
      </c>
      <c r="D562" s="41">
        <v>5012.5</v>
      </c>
      <c r="E562" s="41">
        <v>5021.5</v>
      </c>
      <c r="F562" s="41">
        <v>5010.5</v>
      </c>
      <c r="G562" s="41">
        <v>5021</v>
      </c>
      <c r="H562" s="41">
        <v>3453712875</v>
      </c>
      <c r="I562" s="42">
        <v>13775</v>
      </c>
    </row>
    <row r="563" spans="1:9" x14ac:dyDescent="0.25">
      <c r="A563" t="s">
        <v>9</v>
      </c>
      <c r="B563" s="39">
        <v>46136</v>
      </c>
      <c r="C563" s="40">
        <v>0.39583333333333331</v>
      </c>
      <c r="D563" s="41">
        <v>5008</v>
      </c>
      <c r="E563" s="41">
        <v>5027</v>
      </c>
      <c r="F563" s="41">
        <v>5007.5</v>
      </c>
      <c r="G563" s="41">
        <v>5013</v>
      </c>
      <c r="H563" s="41">
        <v>4507896875</v>
      </c>
      <c r="I563" s="42">
        <v>17965</v>
      </c>
    </row>
    <row r="564" spans="1:9" x14ac:dyDescent="0.25">
      <c r="A564" t="s">
        <v>9</v>
      </c>
      <c r="B564" s="39">
        <v>46136</v>
      </c>
      <c r="C564" s="40">
        <v>0.375</v>
      </c>
      <c r="D564" s="41">
        <v>5011</v>
      </c>
      <c r="E564" s="41">
        <v>5019</v>
      </c>
      <c r="F564" s="41">
        <v>5001.5</v>
      </c>
      <c r="G564" s="41">
        <v>5007.5</v>
      </c>
      <c r="H564" s="41">
        <v>4818015875</v>
      </c>
      <c r="I564" s="42">
        <v>19240</v>
      </c>
    </row>
    <row r="565" spans="1:9" x14ac:dyDescent="0.25">
      <c r="A565" t="s">
        <v>9</v>
      </c>
      <c r="B565" s="39">
        <v>46135</v>
      </c>
      <c r="C565" s="40">
        <v>0.75</v>
      </c>
      <c r="D565" s="41">
        <v>5027.5</v>
      </c>
      <c r="E565" s="41">
        <v>5040.5</v>
      </c>
      <c r="F565" s="41">
        <v>5024.5</v>
      </c>
      <c r="G565" s="41">
        <v>5039</v>
      </c>
      <c r="H565" s="41">
        <v>1305018875</v>
      </c>
      <c r="I565" s="42">
        <v>5185</v>
      </c>
    </row>
    <row r="566" spans="1:9" x14ac:dyDescent="0.25">
      <c r="A566" t="s">
        <v>9</v>
      </c>
      <c r="B566" s="39">
        <v>46135</v>
      </c>
      <c r="C566" s="40">
        <v>0.72916666666666663</v>
      </c>
      <c r="D566" s="41">
        <v>5017.5</v>
      </c>
      <c r="E566" s="41">
        <v>5031.5</v>
      </c>
      <c r="F566" s="41">
        <v>5016</v>
      </c>
      <c r="G566" s="41">
        <v>5028.5</v>
      </c>
      <c r="H566" s="41">
        <v>3267536000</v>
      </c>
      <c r="I566" s="42">
        <v>13015</v>
      </c>
    </row>
    <row r="567" spans="1:9" x14ac:dyDescent="0.25">
      <c r="A567" t="s">
        <v>9</v>
      </c>
      <c r="B567" s="39">
        <v>46135</v>
      </c>
      <c r="C567" s="40">
        <v>0.70833333333333337</v>
      </c>
      <c r="D567" s="41">
        <v>5011.5</v>
      </c>
      <c r="E567" s="41">
        <v>5018.5</v>
      </c>
      <c r="F567" s="41">
        <v>5003.5</v>
      </c>
      <c r="G567" s="41">
        <v>5018</v>
      </c>
      <c r="H567" s="41">
        <v>3597922375</v>
      </c>
      <c r="I567" s="42">
        <v>14360</v>
      </c>
    </row>
    <row r="568" spans="1:9" x14ac:dyDescent="0.25">
      <c r="A568" t="s">
        <v>9</v>
      </c>
      <c r="B568" s="39">
        <v>46135</v>
      </c>
      <c r="C568" s="40">
        <v>0.6875</v>
      </c>
      <c r="D568" s="41">
        <v>5016.5</v>
      </c>
      <c r="E568" s="41">
        <v>5025.5</v>
      </c>
      <c r="F568" s="41">
        <v>5010.5</v>
      </c>
      <c r="G568" s="41">
        <v>5011</v>
      </c>
      <c r="H568" s="41">
        <v>2992956250</v>
      </c>
      <c r="I568" s="42">
        <v>11930</v>
      </c>
    </row>
    <row r="569" spans="1:9" x14ac:dyDescent="0.25">
      <c r="A569" t="s">
        <v>9</v>
      </c>
      <c r="B569" s="39">
        <v>46135</v>
      </c>
      <c r="C569" s="40">
        <v>0.66666666666666663</v>
      </c>
      <c r="D569" s="41">
        <v>4997.5</v>
      </c>
      <c r="E569" s="41">
        <v>5017.5</v>
      </c>
      <c r="F569" s="41">
        <v>4996.5</v>
      </c>
      <c r="G569" s="41">
        <v>5016.5</v>
      </c>
      <c r="H569" s="41">
        <v>5597213625</v>
      </c>
      <c r="I569" s="42">
        <v>22365</v>
      </c>
    </row>
    <row r="570" spans="1:9" x14ac:dyDescent="0.25">
      <c r="A570" t="s">
        <v>9</v>
      </c>
      <c r="B570" s="39">
        <v>46135</v>
      </c>
      <c r="C570" s="40">
        <v>0.64583333333333337</v>
      </c>
      <c r="D570" s="41">
        <v>4980</v>
      </c>
      <c r="E570" s="41">
        <v>4999</v>
      </c>
      <c r="F570" s="41">
        <v>4980</v>
      </c>
      <c r="G570" s="41">
        <v>4997</v>
      </c>
      <c r="H570" s="41">
        <v>4511017625</v>
      </c>
      <c r="I570" s="42">
        <v>18085</v>
      </c>
    </row>
    <row r="571" spans="1:9" x14ac:dyDescent="0.25">
      <c r="A571" t="s">
        <v>9</v>
      </c>
      <c r="B571" s="39">
        <v>46135</v>
      </c>
      <c r="C571" s="40">
        <v>0.625</v>
      </c>
      <c r="D571" s="41">
        <v>4987</v>
      </c>
      <c r="E571" s="41">
        <v>4989.5</v>
      </c>
      <c r="F571" s="41">
        <v>4979</v>
      </c>
      <c r="G571" s="41">
        <v>4980</v>
      </c>
      <c r="H571" s="41">
        <v>4310209750</v>
      </c>
      <c r="I571" s="42">
        <v>17300</v>
      </c>
    </row>
    <row r="572" spans="1:9" x14ac:dyDescent="0.25">
      <c r="A572" t="s">
        <v>9</v>
      </c>
      <c r="B572" s="39">
        <v>46135</v>
      </c>
      <c r="C572" s="40">
        <v>0.60416666666666663</v>
      </c>
      <c r="D572" s="41">
        <v>4976.5</v>
      </c>
      <c r="E572" s="41">
        <v>5002</v>
      </c>
      <c r="F572" s="41">
        <v>4973.5</v>
      </c>
      <c r="G572" s="41">
        <v>4987.5</v>
      </c>
      <c r="H572" s="41">
        <v>10250022000</v>
      </c>
      <c r="I572" s="42">
        <v>41085</v>
      </c>
    </row>
    <row r="573" spans="1:9" x14ac:dyDescent="0.25">
      <c r="A573" t="s">
        <v>9</v>
      </c>
      <c r="B573" s="39">
        <v>46135</v>
      </c>
      <c r="C573" s="40">
        <v>0.58333333333333337</v>
      </c>
      <c r="D573" s="41">
        <v>4964</v>
      </c>
      <c r="E573" s="41">
        <v>4984</v>
      </c>
      <c r="F573" s="41">
        <v>4963.5</v>
      </c>
      <c r="G573" s="41">
        <v>4977</v>
      </c>
      <c r="H573" s="41">
        <v>7161374625</v>
      </c>
      <c r="I573" s="42">
        <v>28790</v>
      </c>
    </row>
    <row r="574" spans="1:9" x14ac:dyDescent="0.25">
      <c r="A574" t="s">
        <v>9</v>
      </c>
      <c r="B574" s="39">
        <v>46135</v>
      </c>
      <c r="C574" s="40">
        <v>0.5625</v>
      </c>
      <c r="D574" s="41">
        <v>4964</v>
      </c>
      <c r="E574" s="41">
        <v>4966</v>
      </c>
      <c r="F574" s="41">
        <v>4962</v>
      </c>
      <c r="G574" s="41">
        <v>4964</v>
      </c>
      <c r="H574" s="41">
        <v>1941157000</v>
      </c>
      <c r="I574" s="42">
        <v>7820</v>
      </c>
    </row>
    <row r="575" spans="1:9" x14ac:dyDescent="0.25">
      <c r="A575" t="s">
        <v>9</v>
      </c>
      <c r="B575" s="39">
        <v>46135</v>
      </c>
      <c r="C575" s="40">
        <v>0.54166666666666663</v>
      </c>
      <c r="D575" s="41">
        <v>4962</v>
      </c>
      <c r="E575" s="41">
        <v>4965</v>
      </c>
      <c r="F575" s="41">
        <v>4960.5</v>
      </c>
      <c r="G575" s="41">
        <v>4963.5</v>
      </c>
      <c r="H575" s="41">
        <v>12669956130</v>
      </c>
      <c r="I575" s="42">
        <v>51065</v>
      </c>
    </row>
    <row r="576" spans="1:9" x14ac:dyDescent="0.25">
      <c r="A576" t="s">
        <v>9</v>
      </c>
      <c r="B576" s="39">
        <v>46135</v>
      </c>
      <c r="C576" s="40">
        <v>0.52083333333333337</v>
      </c>
      <c r="D576" s="41">
        <v>4949</v>
      </c>
      <c r="E576" s="41">
        <v>4962.5</v>
      </c>
      <c r="F576" s="41">
        <v>4949</v>
      </c>
      <c r="G576" s="41">
        <v>4962</v>
      </c>
      <c r="H576" s="41">
        <v>8899808000</v>
      </c>
      <c r="I576" s="42">
        <v>35930</v>
      </c>
    </row>
    <row r="577" spans="1:9" x14ac:dyDescent="0.25">
      <c r="A577" t="s">
        <v>9</v>
      </c>
      <c r="B577" s="39">
        <v>46135</v>
      </c>
      <c r="C577" s="40">
        <v>0.5</v>
      </c>
      <c r="D577" s="41">
        <v>4962.5</v>
      </c>
      <c r="E577" s="41">
        <v>4962.5</v>
      </c>
      <c r="F577" s="41">
        <v>4947.5</v>
      </c>
      <c r="G577" s="41">
        <v>4949</v>
      </c>
      <c r="H577" s="41">
        <v>16943300380</v>
      </c>
      <c r="I577" s="42">
        <v>68430</v>
      </c>
    </row>
    <row r="578" spans="1:9" x14ac:dyDescent="0.25">
      <c r="A578" t="s">
        <v>9</v>
      </c>
      <c r="B578" s="39">
        <v>46135</v>
      </c>
      <c r="C578" s="40">
        <v>0.47916666666666669</v>
      </c>
      <c r="D578" s="41">
        <v>4959.5</v>
      </c>
      <c r="E578" s="41">
        <v>4966.5</v>
      </c>
      <c r="F578" s="41">
        <v>4958.5</v>
      </c>
      <c r="G578" s="41">
        <v>4962</v>
      </c>
      <c r="H578" s="41">
        <v>7657682500</v>
      </c>
      <c r="I578" s="42">
        <v>30865</v>
      </c>
    </row>
    <row r="579" spans="1:9" x14ac:dyDescent="0.25">
      <c r="A579" t="s">
        <v>9</v>
      </c>
      <c r="B579" s="39">
        <v>46135</v>
      </c>
      <c r="C579" s="40">
        <v>0.45833333333333331</v>
      </c>
      <c r="D579" s="41">
        <v>4962</v>
      </c>
      <c r="E579" s="41">
        <v>4966.5</v>
      </c>
      <c r="F579" s="41">
        <v>4955.5</v>
      </c>
      <c r="G579" s="41">
        <v>4959.5</v>
      </c>
      <c r="H579" s="41">
        <v>8053615875</v>
      </c>
      <c r="I579" s="42">
        <v>32470</v>
      </c>
    </row>
    <row r="580" spans="1:9" x14ac:dyDescent="0.25">
      <c r="A580" t="s">
        <v>9</v>
      </c>
      <c r="B580" s="39">
        <v>46135</v>
      </c>
      <c r="C580" s="40">
        <v>0.4375</v>
      </c>
      <c r="D580" s="41">
        <v>4966</v>
      </c>
      <c r="E580" s="41">
        <v>4967.5</v>
      </c>
      <c r="F580" s="41">
        <v>4958.5</v>
      </c>
      <c r="G580" s="41">
        <v>4961.5</v>
      </c>
      <c r="H580" s="41">
        <v>6382029875</v>
      </c>
      <c r="I580" s="42">
        <v>25720</v>
      </c>
    </row>
    <row r="581" spans="1:9" x14ac:dyDescent="0.25">
      <c r="A581" t="s">
        <v>9</v>
      </c>
      <c r="B581" s="39">
        <v>46135</v>
      </c>
      <c r="C581" s="40">
        <v>0.41666666666666669</v>
      </c>
      <c r="D581" s="41">
        <v>4960</v>
      </c>
      <c r="E581" s="41">
        <v>4971</v>
      </c>
      <c r="F581" s="41">
        <v>4959</v>
      </c>
      <c r="G581" s="41">
        <v>4965.5</v>
      </c>
      <c r="H581" s="41">
        <v>12107447130</v>
      </c>
      <c r="I581" s="42">
        <v>48765</v>
      </c>
    </row>
    <row r="582" spans="1:9" x14ac:dyDescent="0.25">
      <c r="A582" t="s">
        <v>9</v>
      </c>
      <c r="B582" s="39">
        <v>46135</v>
      </c>
      <c r="C582" s="40">
        <v>0.39583333333333331</v>
      </c>
      <c r="D582" s="41">
        <v>4969</v>
      </c>
      <c r="E582" s="41">
        <v>4970</v>
      </c>
      <c r="F582" s="41">
        <v>4954</v>
      </c>
      <c r="G582" s="41">
        <v>4959.5</v>
      </c>
      <c r="H582" s="41">
        <v>13037070500</v>
      </c>
      <c r="I582" s="42">
        <v>52570</v>
      </c>
    </row>
    <row r="583" spans="1:9" x14ac:dyDescent="0.25">
      <c r="A583" t="s">
        <v>9</v>
      </c>
      <c r="B583" s="39">
        <v>46135</v>
      </c>
      <c r="C583" s="40">
        <v>0.375</v>
      </c>
      <c r="D583" s="41">
        <v>4974</v>
      </c>
      <c r="E583" s="41">
        <v>4980.5</v>
      </c>
      <c r="F583" s="41">
        <v>4965</v>
      </c>
      <c r="G583" s="41">
        <v>4968.5</v>
      </c>
      <c r="H583" s="41">
        <v>4718768750</v>
      </c>
      <c r="I583" s="42">
        <v>18980</v>
      </c>
    </row>
    <row r="584" spans="1:9" x14ac:dyDescent="0.25">
      <c r="A584" t="s">
        <v>9</v>
      </c>
      <c r="B584" s="39">
        <v>46134</v>
      </c>
      <c r="C584" s="40">
        <v>0.75</v>
      </c>
      <c r="D584" s="41">
        <v>4972.5</v>
      </c>
      <c r="E584" s="41">
        <v>4976.5</v>
      </c>
      <c r="F584" s="41">
        <v>4972.5</v>
      </c>
      <c r="G584" s="41">
        <v>4972.5</v>
      </c>
      <c r="H584" s="41">
        <v>478866875</v>
      </c>
      <c r="I584" s="42">
        <v>1925</v>
      </c>
    </row>
    <row r="585" spans="1:9" x14ac:dyDescent="0.25">
      <c r="A585" t="s">
        <v>9</v>
      </c>
      <c r="B585" s="39">
        <v>46134</v>
      </c>
      <c r="C585" s="40">
        <v>0.72916666666666663</v>
      </c>
      <c r="D585" s="41">
        <v>4982</v>
      </c>
      <c r="E585" s="41">
        <v>4982</v>
      </c>
      <c r="F585" s="41">
        <v>4969</v>
      </c>
      <c r="G585" s="41">
        <v>4971.5</v>
      </c>
      <c r="H585" s="41">
        <v>3010211500</v>
      </c>
      <c r="I585" s="42">
        <v>12100</v>
      </c>
    </row>
    <row r="586" spans="1:9" x14ac:dyDescent="0.25">
      <c r="A586" t="s">
        <v>9</v>
      </c>
      <c r="B586" s="39">
        <v>46134</v>
      </c>
      <c r="C586" s="40">
        <v>0.70833333333333337</v>
      </c>
      <c r="D586" s="41">
        <v>4982</v>
      </c>
      <c r="E586" s="41">
        <v>4986.5</v>
      </c>
      <c r="F586" s="41">
        <v>4981.5</v>
      </c>
      <c r="G586" s="41">
        <v>4982</v>
      </c>
      <c r="H586" s="41">
        <v>1619512000</v>
      </c>
      <c r="I586" s="42">
        <v>6500</v>
      </c>
    </row>
    <row r="587" spans="1:9" x14ac:dyDescent="0.25">
      <c r="A587" t="s">
        <v>9</v>
      </c>
      <c r="B587" s="39">
        <v>46134</v>
      </c>
      <c r="C587" s="40">
        <v>0.6875</v>
      </c>
      <c r="D587" s="41">
        <v>4981</v>
      </c>
      <c r="E587" s="41">
        <v>4983</v>
      </c>
      <c r="F587" s="41">
        <v>4980</v>
      </c>
      <c r="G587" s="41">
        <v>4982</v>
      </c>
      <c r="H587" s="41">
        <v>1890398375</v>
      </c>
      <c r="I587" s="42">
        <v>7590</v>
      </c>
    </row>
    <row r="588" spans="1:9" x14ac:dyDescent="0.25">
      <c r="A588" t="s">
        <v>9</v>
      </c>
      <c r="B588" s="39">
        <v>46134</v>
      </c>
      <c r="C588" s="40">
        <v>0.66666666666666663</v>
      </c>
      <c r="D588" s="41">
        <v>4976</v>
      </c>
      <c r="E588" s="41">
        <v>4980.5</v>
      </c>
      <c r="F588" s="41">
        <v>4976</v>
      </c>
      <c r="G588" s="41">
        <v>4980.5</v>
      </c>
      <c r="H588" s="41">
        <v>5708868000</v>
      </c>
      <c r="I588" s="42">
        <v>22935</v>
      </c>
    </row>
    <row r="589" spans="1:9" x14ac:dyDescent="0.25">
      <c r="A589" t="s">
        <v>9</v>
      </c>
      <c r="B589" s="39">
        <v>46134</v>
      </c>
      <c r="C589" s="40">
        <v>0.64583333333333337</v>
      </c>
      <c r="D589" s="41">
        <v>4975</v>
      </c>
      <c r="E589" s="41">
        <v>4977.5</v>
      </c>
      <c r="F589" s="41">
        <v>4974.5</v>
      </c>
      <c r="G589" s="41">
        <v>4975.5</v>
      </c>
      <c r="H589" s="41">
        <v>1882181625</v>
      </c>
      <c r="I589" s="42">
        <v>7565</v>
      </c>
    </row>
    <row r="590" spans="1:9" x14ac:dyDescent="0.25">
      <c r="A590" t="s">
        <v>9</v>
      </c>
      <c r="B590" s="39">
        <v>46134</v>
      </c>
      <c r="C590" s="40">
        <v>0.625</v>
      </c>
      <c r="D590" s="41">
        <v>4974.5</v>
      </c>
      <c r="E590" s="41">
        <v>4975.5</v>
      </c>
      <c r="F590" s="41">
        <v>4971.5</v>
      </c>
      <c r="G590" s="41">
        <v>4975</v>
      </c>
      <c r="H590" s="41">
        <v>1668555750</v>
      </c>
      <c r="I590" s="42">
        <v>6710</v>
      </c>
    </row>
    <row r="591" spans="1:9" x14ac:dyDescent="0.25">
      <c r="A591" t="s">
        <v>9</v>
      </c>
      <c r="B591" s="39">
        <v>46134</v>
      </c>
      <c r="C591" s="40">
        <v>0.60416666666666663</v>
      </c>
      <c r="D591" s="41">
        <v>4973.5</v>
      </c>
      <c r="E591" s="41">
        <v>4975</v>
      </c>
      <c r="F591" s="41">
        <v>4972</v>
      </c>
      <c r="G591" s="41">
        <v>4974</v>
      </c>
      <c r="H591" s="41">
        <v>1324194750</v>
      </c>
      <c r="I591" s="42">
        <v>5325</v>
      </c>
    </row>
    <row r="592" spans="1:9" x14ac:dyDescent="0.25">
      <c r="A592" t="s">
        <v>9</v>
      </c>
      <c r="B592" s="39">
        <v>46134</v>
      </c>
      <c r="C592" s="40">
        <v>0.58333333333333337</v>
      </c>
      <c r="D592" s="41">
        <v>4981.5</v>
      </c>
      <c r="E592" s="41">
        <v>4981.5</v>
      </c>
      <c r="F592" s="41">
        <v>4973.5</v>
      </c>
      <c r="G592" s="41">
        <v>4973.5</v>
      </c>
      <c r="H592" s="41">
        <v>3806245375</v>
      </c>
      <c r="I592" s="42">
        <v>15290</v>
      </c>
    </row>
    <row r="593" spans="1:9" x14ac:dyDescent="0.25">
      <c r="A593" t="s">
        <v>9</v>
      </c>
      <c r="B593" s="39">
        <v>46134</v>
      </c>
      <c r="C593" s="40">
        <v>0.5625</v>
      </c>
      <c r="D593" s="41">
        <v>4979</v>
      </c>
      <c r="E593" s="41">
        <v>4983</v>
      </c>
      <c r="F593" s="41">
        <v>4978.5</v>
      </c>
      <c r="G593" s="41">
        <v>4981.5</v>
      </c>
      <c r="H593" s="41">
        <v>2404326750</v>
      </c>
      <c r="I593" s="42">
        <v>9655</v>
      </c>
    </row>
    <row r="594" spans="1:9" x14ac:dyDescent="0.25">
      <c r="A594" t="s">
        <v>9</v>
      </c>
      <c r="B594" s="39">
        <v>46134</v>
      </c>
      <c r="C594" s="40">
        <v>0.54166666666666663</v>
      </c>
      <c r="D594" s="41">
        <v>4975.5</v>
      </c>
      <c r="E594" s="41">
        <v>4979</v>
      </c>
      <c r="F594" s="41">
        <v>4972</v>
      </c>
      <c r="G594" s="41">
        <v>4979</v>
      </c>
      <c r="H594" s="41">
        <v>3765965875</v>
      </c>
      <c r="I594" s="42">
        <v>15140</v>
      </c>
    </row>
    <row r="595" spans="1:9" x14ac:dyDescent="0.25">
      <c r="A595" t="s">
        <v>9</v>
      </c>
      <c r="B595" s="39">
        <v>46134</v>
      </c>
      <c r="C595" s="40">
        <v>0.52083333333333337</v>
      </c>
      <c r="D595" s="41">
        <v>4976</v>
      </c>
      <c r="E595" s="41">
        <v>4981</v>
      </c>
      <c r="F595" s="41">
        <v>4975</v>
      </c>
      <c r="G595" s="41">
        <v>4976</v>
      </c>
      <c r="H595" s="41">
        <v>2622831500</v>
      </c>
      <c r="I595" s="42">
        <v>10540</v>
      </c>
    </row>
    <row r="596" spans="1:9" x14ac:dyDescent="0.25">
      <c r="A596" t="s">
        <v>9</v>
      </c>
      <c r="B596" s="39">
        <v>46134</v>
      </c>
      <c r="C596" s="40">
        <v>0.5</v>
      </c>
      <c r="D596" s="41">
        <v>4974</v>
      </c>
      <c r="E596" s="41">
        <v>4978.5</v>
      </c>
      <c r="F596" s="41">
        <v>4972.5</v>
      </c>
      <c r="G596" s="41">
        <v>4976</v>
      </c>
      <c r="H596" s="41">
        <v>4516129125</v>
      </c>
      <c r="I596" s="42">
        <v>18155</v>
      </c>
    </row>
    <row r="597" spans="1:9" x14ac:dyDescent="0.25">
      <c r="A597" t="s">
        <v>9</v>
      </c>
      <c r="B597" s="39">
        <v>46134</v>
      </c>
      <c r="C597" s="40">
        <v>0.47916666666666669</v>
      </c>
      <c r="D597" s="41">
        <v>4966.5</v>
      </c>
      <c r="E597" s="41">
        <v>4980</v>
      </c>
      <c r="F597" s="41">
        <v>4966</v>
      </c>
      <c r="G597" s="41">
        <v>4974</v>
      </c>
      <c r="H597" s="41">
        <v>3639908625</v>
      </c>
      <c r="I597" s="42">
        <v>14635</v>
      </c>
    </row>
    <row r="598" spans="1:9" x14ac:dyDescent="0.25">
      <c r="A598" t="s">
        <v>9</v>
      </c>
      <c r="B598" s="39">
        <v>46134</v>
      </c>
      <c r="C598" s="40">
        <v>0.45833333333333331</v>
      </c>
      <c r="D598" s="41">
        <v>4967.5</v>
      </c>
      <c r="E598" s="41">
        <v>4969.5</v>
      </c>
      <c r="F598" s="41">
        <v>4963.5</v>
      </c>
      <c r="G598" s="41">
        <v>4967</v>
      </c>
      <c r="H598" s="41">
        <v>3581846875</v>
      </c>
      <c r="I598" s="42">
        <v>14425</v>
      </c>
    </row>
    <row r="599" spans="1:9" x14ac:dyDescent="0.25">
      <c r="A599" t="s">
        <v>9</v>
      </c>
      <c r="B599" s="39">
        <v>46134</v>
      </c>
      <c r="C599" s="40">
        <v>0.4375</v>
      </c>
      <c r="D599" s="41">
        <v>4969.5</v>
      </c>
      <c r="E599" s="41">
        <v>4974.5</v>
      </c>
      <c r="F599" s="41">
        <v>4967</v>
      </c>
      <c r="G599" s="41">
        <v>4967.5</v>
      </c>
      <c r="H599" s="41">
        <v>4025810625</v>
      </c>
      <c r="I599" s="42">
        <v>16200</v>
      </c>
    </row>
    <row r="600" spans="1:9" x14ac:dyDescent="0.25">
      <c r="A600" t="s">
        <v>9</v>
      </c>
      <c r="B600" s="39">
        <v>46134</v>
      </c>
      <c r="C600" s="40">
        <v>0.41666666666666669</v>
      </c>
      <c r="D600" s="41">
        <v>4981.5</v>
      </c>
      <c r="E600" s="41">
        <v>4985.5</v>
      </c>
      <c r="F600" s="41">
        <v>4966</v>
      </c>
      <c r="G600" s="41">
        <v>4970</v>
      </c>
      <c r="H600" s="41">
        <v>7209531500</v>
      </c>
      <c r="I600" s="42">
        <v>28975</v>
      </c>
    </row>
    <row r="601" spans="1:9" x14ac:dyDescent="0.25">
      <c r="A601" t="s">
        <v>9</v>
      </c>
      <c r="B601" s="39">
        <v>46134</v>
      </c>
      <c r="C601" s="40">
        <v>0.39583333333333331</v>
      </c>
      <c r="D601" s="41">
        <v>4991</v>
      </c>
      <c r="E601" s="41">
        <v>4992.5</v>
      </c>
      <c r="F601" s="41">
        <v>4979.5</v>
      </c>
      <c r="G601" s="41">
        <v>4981.5</v>
      </c>
      <c r="H601" s="41">
        <v>3629191125</v>
      </c>
      <c r="I601" s="42">
        <v>14560</v>
      </c>
    </row>
    <row r="602" spans="1:9" x14ac:dyDescent="0.25">
      <c r="A602" t="s">
        <v>9</v>
      </c>
      <c r="B602" s="39">
        <v>46134</v>
      </c>
      <c r="C602" s="40">
        <v>0.375</v>
      </c>
      <c r="D602" s="41">
        <v>4976</v>
      </c>
      <c r="E602" s="41">
        <v>4998</v>
      </c>
      <c r="F602" s="41">
        <v>4973</v>
      </c>
      <c r="G602" s="41">
        <v>4991.5</v>
      </c>
      <c r="H602" s="41">
        <v>4025349875</v>
      </c>
      <c r="I602" s="42">
        <v>16145</v>
      </c>
    </row>
    <row r="603" spans="1:9" x14ac:dyDescent="0.25">
      <c r="A603" t="s">
        <v>9</v>
      </c>
      <c r="B603" s="39">
        <v>46132</v>
      </c>
      <c r="C603" s="40">
        <v>0.75</v>
      </c>
      <c r="D603" s="41">
        <v>4975</v>
      </c>
      <c r="E603" s="41">
        <v>4975</v>
      </c>
      <c r="F603" s="41">
        <v>4960.5</v>
      </c>
      <c r="G603" s="41">
        <v>4962.5</v>
      </c>
      <c r="H603" s="41">
        <v>785046375</v>
      </c>
      <c r="I603" s="42">
        <v>3160</v>
      </c>
    </row>
    <row r="604" spans="1:9" x14ac:dyDescent="0.25">
      <c r="A604" t="s">
        <v>9</v>
      </c>
      <c r="B604" s="39">
        <v>46132</v>
      </c>
      <c r="C604" s="40">
        <v>0.72916666666666663</v>
      </c>
      <c r="D604" s="41">
        <v>4983</v>
      </c>
      <c r="E604" s="41">
        <v>4983.5</v>
      </c>
      <c r="F604" s="41">
        <v>4974.5</v>
      </c>
      <c r="G604" s="41">
        <v>4975.5</v>
      </c>
      <c r="H604" s="41">
        <v>2741323375</v>
      </c>
      <c r="I604" s="42">
        <v>11010</v>
      </c>
    </row>
    <row r="605" spans="1:9" x14ac:dyDescent="0.25">
      <c r="A605" t="s">
        <v>9</v>
      </c>
      <c r="B605" s="39">
        <v>46132</v>
      </c>
      <c r="C605" s="40">
        <v>0.70833333333333337</v>
      </c>
      <c r="D605" s="41">
        <v>4984.5</v>
      </c>
      <c r="E605" s="41">
        <v>4985</v>
      </c>
      <c r="F605" s="41">
        <v>4983</v>
      </c>
      <c r="G605" s="41">
        <v>4983</v>
      </c>
      <c r="H605" s="41">
        <v>851007625</v>
      </c>
      <c r="I605" s="42">
        <v>3415</v>
      </c>
    </row>
    <row r="606" spans="1:9" x14ac:dyDescent="0.25">
      <c r="A606" t="s">
        <v>9</v>
      </c>
      <c r="B606" s="39">
        <v>46132</v>
      </c>
      <c r="C606" s="40">
        <v>0.6875</v>
      </c>
      <c r="D606" s="41">
        <v>4984.5</v>
      </c>
      <c r="E606" s="41">
        <v>4986</v>
      </c>
      <c r="F606" s="41">
        <v>4983.5</v>
      </c>
      <c r="G606" s="41">
        <v>4984.5</v>
      </c>
      <c r="H606" s="41">
        <v>1016845000</v>
      </c>
      <c r="I606" s="42">
        <v>4080</v>
      </c>
    </row>
    <row r="607" spans="1:9" x14ac:dyDescent="0.25">
      <c r="A607" t="s">
        <v>9</v>
      </c>
      <c r="B607" s="39">
        <v>46132</v>
      </c>
      <c r="C607" s="40">
        <v>0.66666666666666663</v>
      </c>
      <c r="D607" s="41">
        <v>4987.5</v>
      </c>
      <c r="E607" s="41">
        <v>4987.5</v>
      </c>
      <c r="F607" s="41">
        <v>4982</v>
      </c>
      <c r="G607" s="41">
        <v>4985</v>
      </c>
      <c r="H607" s="41">
        <v>2086109125</v>
      </c>
      <c r="I607" s="42">
        <v>8370</v>
      </c>
    </row>
    <row r="608" spans="1:9" x14ac:dyDescent="0.25">
      <c r="A608" t="s">
        <v>9</v>
      </c>
      <c r="B608" s="39">
        <v>46132</v>
      </c>
      <c r="C608" s="40">
        <v>0.64583333333333337</v>
      </c>
      <c r="D608" s="41">
        <v>4982.5</v>
      </c>
      <c r="E608" s="41">
        <v>4988</v>
      </c>
      <c r="F608" s="41">
        <v>4982</v>
      </c>
      <c r="G608" s="41">
        <v>4987</v>
      </c>
      <c r="H608" s="41">
        <v>3046562625</v>
      </c>
      <c r="I608" s="42">
        <v>12225</v>
      </c>
    </row>
    <row r="609" spans="1:9" x14ac:dyDescent="0.25">
      <c r="A609" t="s">
        <v>9</v>
      </c>
      <c r="B609" s="39">
        <v>46132</v>
      </c>
      <c r="C609" s="40">
        <v>0.625</v>
      </c>
      <c r="D609" s="41">
        <v>4990.5</v>
      </c>
      <c r="E609" s="41">
        <v>4990.5</v>
      </c>
      <c r="F609" s="41">
        <v>4981.5</v>
      </c>
      <c r="G609" s="41">
        <v>4983</v>
      </c>
      <c r="H609" s="41">
        <v>6399892375</v>
      </c>
      <c r="I609" s="42">
        <v>25680</v>
      </c>
    </row>
    <row r="610" spans="1:9" x14ac:dyDescent="0.25">
      <c r="A610" t="s">
        <v>9</v>
      </c>
      <c r="B610" s="39">
        <v>46132</v>
      </c>
      <c r="C610" s="40">
        <v>0.60416666666666663</v>
      </c>
      <c r="D610" s="41">
        <v>4994.5</v>
      </c>
      <c r="E610" s="41">
        <v>4995.5</v>
      </c>
      <c r="F610" s="41">
        <v>4991</v>
      </c>
      <c r="G610" s="41">
        <v>4991</v>
      </c>
      <c r="H610" s="41">
        <v>3127113250</v>
      </c>
      <c r="I610" s="42">
        <v>12525</v>
      </c>
    </row>
    <row r="611" spans="1:9" x14ac:dyDescent="0.25">
      <c r="A611" t="s">
        <v>9</v>
      </c>
      <c r="B611" s="39">
        <v>46132</v>
      </c>
      <c r="C611" s="40">
        <v>0.58333333333333337</v>
      </c>
      <c r="D611" s="41">
        <v>4994.5</v>
      </c>
      <c r="E611" s="41">
        <v>4995.5</v>
      </c>
      <c r="F611" s="41">
        <v>4992</v>
      </c>
      <c r="G611" s="41">
        <v>4994</v>
      </c>
      <c r="H611" s="41">
        <v>2026269750</v>
      </c>
      <c r="I611" s="42">
        <v>8115</v>
      </c>
    </row>
    <row r="612" spans="1:9" x14ac:dyDescent="0.25">
      <c r="A612" t="s">
        <v>9</v>
      </c>
      <c r="B612" s="39">
        <v>46132</v>
      </c>
      <c r="C612" s="40">
        <v>0.5625</v>
      </c>
      <c r="D612" s="41">
        <v>4993</v>
      </c>
      <c r="E612" s="41">
        <v>4996</v>
      </c>
      <c r="F612" s="41">
        <v>4993</v>
      </c>
      <c r="G612" s="41">
        <v>4995</v>
      </c>
      <c r="H612" s="41">
        <v>1439675875</v>
      </c>
      <c r="I612" s="42">
        <v>5765</v>
      </c>
    </row>
    <row r="613" spans="1:9" x14ac:dyDescent="0.25">
      <c r="A613" t="s">
        <v>9</v>
      </c>
      <c r="B613" s="39">
        <v>46132</v>
      </c>
      <c r="C613" s="40">
        <v>0.54166666666666663</v>
      </c>
      <c r="D613" s="41">
        <v>4993</v>
      </c>
      <c r="E613" s="41">
        <v>4995.5</v>
      </c>
      <c r="F613" s="41">
        <v>4992.5</v>
      </c>
      <c r="G613" s="41">
        <v>4993</v>
      </c>
      <c r="H613" s="41">
        <v>1478081875</v>
      </c>
      <c r="I613" s="42">
        <v>5920</v>
      </c>
    </row>
    <row r="614" spans="1:9" x14ac:dyDescent="0.25">
      <c r="A614" t="s">
        <v>9</v>
      </c>
      <c r="B614" s="39">
        <v>46132</v>
      </c>
      <c r="C614" s="40">
        <v>0.52083333333333337</v>
      </c>
      <c r="D614" s="41">
        <v>4991.5</v>
      </c>
      <c r="E614" s="41">
        <v>4994.5</v>
      </c>
      <c r="F614" s="41">
        <v>4988.5</v>
      </c>
      <c r="G614" s="41">
        <v>4992.5</v>
      </c>
      <c r="H614" s="41">
        <v>1544985625</v>
      </c>
      <c r="I614" s="42">
        <v>6190</v>
      </c>
    </row>
    <row r="615" spans="1:9" x14ac:dyDescent="0.25">
      <c r="A615" t="s">
        <v>9</v>
      </c>
      <c r="B615" s="39">
        <v>46132</v>
      </c>
      <c r="C615" s="40">
        <v>0.5</v>
      </c>
      <c r="D615" s="41">
        <v>4994.5</v>
      </c>
      <c r="E615" s="41">
        <v>4997.5</v>
      </c>
      <c r="F615" s="41">
        <v>4989.5</v>
      </c>
      <c r="G615" s="41">
        <v>4991</v>
      </c>
      <c r="H615" s="41">
        <v>3223082750</v>
      </c>
      <c r="I615" s="42">
        <v>12910</v>
      </c>
    </row>
    <row r="616" spans="1:9" x14ac:dyDescent="0.25">
      <c r="A616" t="s">
        <v>9</v>
      </c>
      <c r="B616" s="39">
        <v>46132</v>
      </c>
      <c r="C616" s="40">
        <v>0.47916666666666669</v>
      </c>
      <c r="D616" s="41">
        <v>4993</v>
      </c>
      <c r="E616" s="41">
        <v>4999.5</v>
      </c>
      <c r="F616" s="41">
        <v>4992</v>
      </c>
      <c r="G616" s="41">
        <v>4995</v>
      </c>
      <c r="H616" s="41">
        <v>3528774750</v>
      </c>
      <c r="I616" s="42">
        <v>14130</v>
      </c>
    </row>
    <row r="617" spans="1:9" x14ac:dyDescent="0.25">
      <c r="A617" t="s">
        <v>9</v>
      </c>
      <c r="B617" s="39">
        <v>46132</v>
      </c>
      <c r="C617" s="40">
        <v>0.45833333333333331</v>
      </c>
      <c r="D617" s="41">
        <v>4991.5</v>
      </c>
      <c r="E617" s="41">
        <v>4997.5</v>
      </c>
      <c r="F617" s="41">
        <v>4990.5</v>
      </c>
      <c r="G617" s="41">
        <v>4994</v>
      </c>
      <c r="H617" s="41">
        <v>3900752875</v>
      </c>
      <c r="I617" s="42">
        <v>15620</v>
      </c>
    </row>
    <row r="618" spans="1:9" x14ac:dyDescent="0.25">
      <c r="A618" t="s">
        <v>9</v>
      </c>
      <c r="B618" s="39">
        <v>46132</v>
      </c>
      <c r="C618" s="40">
        <v>0.4375</v>
      </c>
      <c r="D618" s="41">
        <v>4985</v>
      </c>
      <c r="E618" s="41">
        <v>4993.5</v>
      </c>
      <c r="F618" s="41">
        <v>4984</v>
      </c>
      <c r="G618" s="41">
        <v>4991</v>
      </c>
      <c r="H618" s="41">
        <v>2072897750</v>
      </c>
      <c r="I618" s="42">
        <v>8310</v>
      </c>
    </row>
    <row r="619" spans="1:9" x14ac:dyDescent="0.25">
      <c r="A619" t="s">
        <v>9</v>
      </c>
      <c r="B619" s="39">
        <v>46132</v>
      </c>
      <c r="C619" s="40">
        <v>0.41666666666666669</v>
      </c>
      <c r="D619" s="41">
        <v>4994.5</v>
      </c>
      <c r="E619" s="41">
        <v>4999</v>
      </c>
      <c r="F619" s="41">
        <v>4984.5</v>
      </c>
      <c r="G619" s="41">
        <v>4985</v>
      </c>
      <c r="H619" s="41">
        <v>1661372000</v>
      </c>
      <c r="I619" s="42">
        <v>6655</v>
      </c>
    </row>
    <row r="620" spans="1:9" x14ac:dyDescent="0.25">
      <c r="A620" t="s">
        <v>9</v>
      </c>
      <c r="B620" s="39">
        <v>46132</v>
      </c>
      <c r="C620" s="40">
        <v>0.39583333333333331</v>
      </c>
      <c r="D620" s="41">
        <v>4995.5</v>
      </c>
      <c r="E620" s="41">
        <v>4998</v>
      </c>
      <c r="F620" s="41">
        <v>4991.5</v>
      </c>
      <c r="G620" s="41">
        <v>4994</v>
      </c>
      <c r="H620" s="41">
        <v>2158851875</v>
      </c>
      <c r="I620" s="42">
        <v>8645</v>
      </c>
    </row>
    <row r="621" spans="1:9" x14ac:dyDescent="0.25">
      <c r="A621" t="s">
        <v>9</v>
      </c>
      <c r="B621" s="39">
        <v>46132</v>
      </c>
      <c r="C621" s="40">
        <v>0.375</v>
      </c>
      <c r="D621" s="41">
        <v>4991</v>
      </c>
      <c r="E621" s="41">
        <v>4997.5</v>
      </c>
      <c r="F621" s="41">
        <v>4989.5</v>
      </c>
      <c r="G621" s="41">
        <v>4996</v>
      </c>
      <c r="H621" s="41">
        <v>1560423250</v>
      </c>
      <c r="I621" s="42">
        <v>6250</v>
      </c>
    </row>
    <row r="622" spans="1:9" x14ac:dyDescent="0.25">
      <c r="A622" t="s">
        <v>9</v>
      </c>
      <c r="B622" s="39">
        <v>46129</v>
      </c>
      <c r="C622" s="40">
        <v>0.75</v>
      </c>
      <c r="D622" s="41">
        <v>4991</v>
      </c>
      <c r="E622" s="41">
        <v>4994</v>
      </c>
      <c r="F622" s="41">
        <v>4990</v>
      </c>
      <c r="G622" s="41">
        <v>4990</v>
      </c>
      <c r="H622" s="41">
        <v>660131375</v>
      </c>
      <c r="I622" s="42">
        <v>2645</v>
      </c>
    </row>
    <row r="623" spans="1:9" x14ac:dyDescent="0.25">
      <c r="A623" t="s">
        <v>9</v>
      </c>
      <c r="B623" s="39">
        <v>46129</v>
      </c>
      <c r="C623" s="40">
        <v>0.72916666666666663</v>
      </c>
      <c r="D623" s="41">
        <v>4991</v>
      </c>
      <c r="E623" s="41">
        <v>4992</v>
      </c>
      <c r="F623" s="41">
        <v>4989.5</v>
      </c>
      <c r="G623" s="41">
        <v>4991</v>
      </c>
      <c r="H623" s="41">
        <v>1185328000</v>
      </c>
      <c r="I623" s="42">
        <v>4750</v>
      </c>
    </row>
    <row r="624" spans="1:9" x14ac:dyDescent="0.25">
      <c r="A624" t="s">
        <v>9</v>
      </c>
      <c r="B624" s="39">
        <v>46129</v>
      </c>
      <c r="C624" s="40">
        <v>0.70833333333333337</v>
      </c>
      <c r="D624" s="41">
        <v>4995.5</v>
      </c>
      <c r="E624" s="41">
        <v>4998</v>
      </c>
      <c r="F624" s="41">
        <v>4989.5</v>
      </c>
      <c r="G624" s="41">
        <v>4991</v>
      </c>
      <c r="H624" s="41">
        <v>3444605750</v>
      </c>
      <c r="I624" s="42">
        <v>13800</v>
      </c>
    </row>
    <row r="625" spans="1:9" x14ac:dyDescent="0.25">
      <c r="A625" t="s">
        <v>9</v>
      </c>
      <c r="B625" s="39">
        <v>46129</v>
      </c>
      <c r="C625" s="40">
        <v>0.6875</v>
      </c>
      <c r="D625" s="41">
        <v>4995</v>
      </c>
      <c r="E625" s="41">
        <v>4996</v>
      </c>
      <c r="F625" s="41">
        <v>4992.5</v>
      </c>
      <c r="G625" s="41">
        <v>4996</v>
      </c>
      <c r="H625" s="41">
        <v>1126156125</v>
      </c>
      <c r="I625" s="42">
        <v>4510</v>
      </c>
    </row>
    <row r="626" spans="1:9" x14ac:dyDescent="0.25">
      <c r="A626" t="s">
        <v>9</v>
      </c>
      <c r="B626" s="39">
        <v>46129</v>
      </c>
      <c r="C626" s="40">
        <v>0.66666666666666663</v>
      </c>
      <c r="D626" s="41">
        <v>4998.5</v>
      </c>
      <c r="E626" s="41">
        <v>4999.5</v>
      </c>
      <c r="F626" s="41">
        <v>4993</v>
      </c>
      <c r="G626" s="41">
        <v>4995.5</v>
      </c>
      <c r="H626" s="41">
        <v>1351277375</v>
      </c>
      <c r="I626" s="42">
        <v>5410</v>
      </c>
    </row>
    <row r="627" spans="1:9" x14ac:dyDescent="0.25">
      <c r="A627" t="s">
        <v>9</v>
      </c>
      <c r="B627" s="39">
        <v>46129</v>
      </c>
      <c r="C627" s="40">
        <v>0.64583333333333337</v>
      </c>
      <c r="D627" s="41">
        <v>5001.5</v>
      </c>
      <c r="E627" s="41">
        <v>5004</v>
      </c>
      <c r="F627" s="41">
        <v>4997</v>
      </c>
      <c r="G627" s="41">
        <v>4997.5</v>
      </c>
      <c r="H627" s="41">
        <v>3943832000</v>
      </c>
      <c r="I627" s="42">
        <v>15770</v>
      </c>
    </row>
    <row r="628" spans="1:9" x14ac:dyDescent="0.25">
      <c r="A628" t="s">
        <v>9</v>
      </c>
      <c r="B628" s="39">
        <v>46129</v>
      </c>
      <c r="C628" s="40">
        <v>0.625</v>
      </c>
      <c r="D628" s="41">
        <v>4999</v>
      </c>
      <c r="E628" s="41">
        <v>5003</v>
      </c>
      <c r="F628" s="41">
        <v>4998.5</v>
      </c>
      <c r="G628" s="41">
        <v>5001.5</v>
      </c>
      <c r="H628" s="41">
        <v>2067828875</v>
      </c>
      <c r="I628" s="42">
        <v>8270</v>
      </c>
    </row>
    <row r="629" spans="1:9" x14ac:dyDescent="0.25">
      <c r="A629" t="s">
        <v>9</v>
      </c>
      <c r="B629" s="39">
        <v>46129</v>
      </c>
      <c r="C629" s="40">
        <v>0.60416666666666663</v>
      </c>
      <c r="D629" s="41">
        <v>4999.5</v>
      </c>
      <c r="E629" s="41">
        <v>5002.5</v>
      </c>
      <c r="F629" s="41">
        <v>4999</v>
      </c>
      <c r="G629" s="41">
        <v>4999</v>
      </c>
      <c r="H629" s="41">
        <v>922647500</v>
      </c>
      <c r="I629">
        <v>3690</v>
      </c>
    </row>
    <row r="630" spans="1:9" x14ac:dyDescent="0.25">
      <c r="A630" t="s">
        <v>9</v>
      </c>
      <c r="B630" s="39">
        <v>46129</v>
      </c>
      <c r="C630" s="40">
        <v>0.58333333333333337</v>
      </c>
      <c r="D630" s="41">
        <v>4997</v>
      </c>
      <c r="E630" s="41">
        <v>5004.5</v>
      </c>
      <c r="F630" s="41">
        <v>4997</v>
      </c>
      <c r="G630" s="41">
        <v>5000</v>
      </c>
      <c r="H630" s="41">
        <v>2970113000</v>
      </c>
      <c r="I630" s="42">
        <v>11880</v>
      </c>
    </row>
    <row r="631" spans="1:9" x14ac:dyDescent="0.25">
      <c r="A631" t="s">
        <v>9</v>
      </c>
      <c r="B631" s="39">
        <v>46129</v>
      </c>
      <c r="C631" s="40">
        <v>0.5625</v>
      </c>
      <c r="D631" s="41">
        <v>4994.5</v>
      </c>
      <c r="E631" s="41">
        <v>4998.5</v>
      </c>
      <c r="F631" s="41">
        <v>4994</v>
      </c>
      <c r="G631" s="41">
        <v>4997</v>
      </c>
      <c r="H631" s="41">
        <v>998124625</v>
      </c>
      <c r="I631" s="42">
        <v>3995</v>
      </c>
    </row>
    <row r="632" spans="1:9" x14ac:dyDescent="0.25">
      <c r="A632" t="s">
        <v>9</v>
      </c>
      <c r="B632" s="39">
        <v>46129</v>
      </c>
      <c r="C632" s="40">
        <v>0.54166666666666663</v>
      </c>
      <c r="D632" s="41">
        <v>4994</v>
      </c>
      <c r="E632" s="41">
        <v>4996</v>
      </c>
      <c r="F632" s="41">
        <v>4992</v>
      </c>
      <c r="G632" s="41">
        <v>4995</v>
      </c>
      <c r="H632" s="41">
        <v>1951239000</v>
      </c>
      <c r="I632" s="42">
        <v>7815</v>
      </c>
    </row>
    <row r="633" spans="1:9" x14ac:dyDescent="0.25">
      <c r="A633" t="s">
        <v>9</v>
      </c>
      <c r="B633" s="39">
        <v>46129</v>
      </c>
      <c r="C633" s="40">
        <v>0.52083333333333337</v>
      </c>
      <c r="D633" s="41">
        <v>5000.5</v>
      </c>
      <c r="E633" s="41">
        <v>5000.5</v>
      </c>
      <c r="F633" s="41">
        <v>4992.5</v>
      </c>
      <c r="G633" s="41">
        <v>4995</v>
      </c>
      <c r="H633" s="41">
        <v>2530271500</v>
      </c>
      <c r="I633" s="42">
        <v>10130</v>
      </c>
    </row>
    <row r="634" spans="1:9" x14ac:dyDescent="0.25">
      <c r="A634" t="s">
        <v>9</v>
      </c>
      <c r="B634" s="39">
        <v>46129</v>
      </c>
      <c r="C634" s="40">
        <v>0.5</v>
      </c>
      <c r="D634" s="41">
        <v>4991</v>
      </c>
      <c r="E634" s="41">
        <v>5004</v>
      </c>
      <c r="F634" s="41">
        <v>4988</v>
      </c>
      <c r="G634" s="41">
        <v>5000</v>
      </c>
      <c r="H634" s="41">
        <v>4040484750</v>
      </c>
      <c r="I634" s="42">
        <v>16170</v>
      </c>
    </row>
    <row r="635" spans="1:9" x14ac:dyDescent="0.25">
      <c r="A635" t="s">
        <v>9</v>
      </c>
      <c r="B635" s="39">
        <v>46129</v>
      </c>
      <c r="C635" s="40">
        <v>0.47916666666666669</v>
      </c>
      <c r="D635" s="41">
        <v>4978</v>
      </c>
      <c r="E635" s="41">
        <v>4991.5</v>
      </c>
      <c r="F635" s="41">
        <v>4977</v>
      </c>
      <c r="G635" s="41">
        <v>4990.5</v>
      </c>
      <c r="H635" s="41">
        <v>6232355375</v>
      </c>
      <c r="I635" s="42">
        <v>25010</v>
      </c>
    </row>
    <row r="636" spans="1:9" x14ac:dyDescent="0.25">
      <c r="A636" t="s">
        <v>9</v>
      </c>
      <c r="B636" s="39">
        <v>46129</v>
      </c>
      <c r="C636" s="40">
        <v>0.45833333333333331</v>
      </c>
      <c r="D636" s="41">
        <v>4974.5</v>
      </c>
      <c r="E636" s="41">
        <v>4980</v>
      </c>
      <c r="F636" s="41">
        <v>4971</v>
      </c>
      <c r="G636" s="41">
        <v>4977.5</v>
      </c>
      <c r="H636" s="41">
        <v>4129617875</v>
      </c>
      <c r="I636" s="42">
        <v>16600</v>
      </c>
    </row>
    <row r="637" spans="1:9" x14ac:dyDescent="0.25">
      <c r="A637" t="s">
        <v>9</v>
      </c>
      <c r="B637" s="39">
        <v>46129</v>
      </c>
      <c r="C637" s="40">
        <v>0.4375</v>
      </c>
      <c r="D637" s="41">
        <v>4976</v>
      </c>
      <c r="E637" s="41">
        <v>4983</v>
      </c>
      <c r="F637" s="41">
        <v>4973</v>
      </c>
      <c r="G637" s="41">
        <v>4974.5</v>
      </c>
      <c r="H637" s="41">
        <v>6691032250</v>
      </c>
      <c r="I637" s="42">
        <v>26880</v>
      </c>
    </row>
    <row r="638" spans="1:9" x14ac:dyDescent="0.25">
      <c r="A638" t="s">
        <v>9</v>
      </c>
      <c r="B638" s="39">
        <v>46129</v>
      </c>
      <c r="C638" s="40">
        <v>0.41666666666666669</v>
      </c>
      <c r="D638" s="41">
        <v>4967</v>
      </c>
      <c r="E638" s="41">
        <v>4978.5</v>
      </c>
      <c r="F638" s="41">
        <v>4962.5</v>
      </c>
      <c r="G638" s="41">
        <v>4976</v>
      </c>
      <c r="H638" s="41">
        <v>11671947880</v>
      </c>
      <c r="I638" s="42">
        <v>47005</v>
      </c>
    </row>
    <row r="639" spans="1:9" x14ac:dyDescent="0.25">
      <c r="A639" t="s">
        <v>9</v>
      </c>
      <c r="B639" s="39">
        <v>46129</v>
      </c>
      <c r="C639" s="40">
        <v>0.39583333333333331</v>
      </c>
      <c r="D639" s="41">
        <v>4975.5</v>
      </c>
      <c r="E639" s="41">
        <v>4977.5</v>
      </c>
      <c r="F639" s="41">
        <v>4965.5</v>
      </c>
      <c r="G639" s="41">
        <v>4967</v>
      </c>
      <c r="H639" s="41">
        <v>8536879125</v>
      </c>
      <c r="I639" s="42">
        <v>34335</v>
      </c>
    </row>
    <row r="640" spans="1:9" x14ac:dyDescent="0.25">
      <c r="A640" t="s">
        <v>9</v>
      </c>
      <c r="B640" s="39">
        <v>46129</v>
      </c>
      <c r="C640" s="40">
        <v>0.375</v>
      </c>
      <c r="D640" s="41">
        <v>4999.5</v>
      </c>
      <c r="E640" s="41">
        <v>4999.5</v>
      </c>
      <c r="F640" s="41">
        <v>4974</v>
      </c>
      <c r="G640" s="41">
        <v>4976</v>
      </c>
      <c r="H640" s="41">
        <v>6634950750</v>
      </c>
      <c r="I640" s="42">
        <v>26625</v>
      </c>
    </row>
    <row r="641" spans="1:9" x14ac:dyDescent="0.25">
      <c r="A641" t="s">
        <v>9</v>
      </c>
      <c r="B641" s="39">
        <v>46128</v>
      </c>
      <c r="C641" s="40">
        <v>0.75</v>
      </c>
      <c r="D641" s="41">
        <v>5006.5</v>
      </c>
      <c r="E641" s="41">
        <v>5008</v>
      </c>
      <c r="F641" s="41">
        <v>5004</v>
      </c>
      <c r="G641" s="41">
        <v>5007</v>
      </c>
      <c r="H641" s="41">
        <v>200241875</v>
      </c>
      <c r="I641" s="42">
        <v>800</v>
      </c>
    </row>
    <row r="642" spans="1:9" x14ac:dyDescent="0.25">
      <c r="A642" t="s">
        <v>9</v>
      </c>
      <c r="B642" s="39">
        <v>46128</v>
      </c>
      <c r="C642" s="40">
        <v>0.72916666666666663</v>
      </c>
      <c r="D642" s="41">
        <v>5008</v>
      </c>
      <c r="E642" s="41">
        <v>5008</v>
      </c>
      <c r="F642" s="41">
        <v>5005</v>
      </c>
      <c r="G642" s="41">
        <v>5005.5</v>
      </c>
      <c r="H642" s="41">
        <v>723406250</v>
      </c>
      <c r="I642" s="42">
        <v>2890</v>
      </c>
    </row>
    <row r="643" spans="1:9" x14ac:dyDescent="0.25">
      <c r="A643" t="s">
        <v>9</v>
      </c>
      <c r="B643" s="39">
        <v>46128</v>
      </c>
      <c r="C643" s="40">
        <v>0.70833333333333337</v>
      </c>
      <c r="D643" s="41">
        <v>5006</v>
      </c>
      <c r="E643" s="41">
        <v>5008.5</v>
      </c>
      <c r="F643" s="41">
        <v>5006</v>
      </c>
      <c r="G643" s="41">
        <v>5008</v>
      </c>
      <c r="H643" s="41">
        <v>1032768875</v>
      </c>
      <c r="I643" s="42">
        <v>4125</v>
      </c>
    </row>
    <row r="644" spans="1:9" x14ac:dyDescent="0.25">
      <c r="A644" t="s">
        <v>9</v>
      </c>
      <c r="B644" s="39">
        <v>46128</v>
      </c>
      <c r="C644" s="40">
        <v>0.6875</v>
      </c>
      <c r="D644" s="41">
        <v>5006.5</v>
      </c>
      <c r="E644" s="41">
        <v>5007</v>
      </c>
      <c r="F644" s="41">
        <v>5004.5</v>
      </c>
      <c r="G644" s="41">
        <v>5006.5</v>
      </c>
      <c r="H644" s="41">
        <v>1844631500</v>
      </c>
      <c r="I644" s="42">
        <v>7370</v>
      </c>
    </row>
    <row r="645" spans="1:9" x14ac:dyDescent="0.25">
      <c r="A645" t="s">
        <v>9</v>
      </c>
      <c r="B645" s="39">
        <v>46128</v>
      </c>
      <c r="C645" s="40">
        <v>0.66666666666666663</v>
      </c>
      <c r="D645" s="41">
        <v>5007</v>
      </c>
      <c r="E645" s="41">
        <v>5007.5</v>
      </c>
      <c r="F645" s="41">
        <v>5004</v>
      </c>
      <c r="G645" s="41">
        <v>5007</v>
      </c>
      <c r="H645" s="41">
        <v>3038637250</v>
      </c>
      <c r="I645" s="42">
        <v>12140</v>
      </c>
    </row>
    <row r="646" spans="1:9" x14ac:dyDescent="0.25">
      <c r="A646" t="s">
        <v>9</v>
      </c>
      <c r="B646" s="39">
        <v>46128</v>
      </c>
      <c r="C646" s="40">
        <v>0.64583333333333337</v>
      </c>
      <c r="D646" s="41">
        <v>5008</v>
      </c>
      <c r="E646" s="41">
        <v>5010</v>
      </c>
      <c r="F646" s="41">
        <v>5005</v>
      </c>
      <c r="G646" s="41">
        <v>5007.5</v>
      </c>
      <c r="H646" s="41">
        <v>2333302250</v>
      </c>
      <c r="I646" s="42">
        <v>9320</v>
      </c>
    </row>
    <row r="647" spans="1:9" x14ac:dyDescent="0.25">
      <c r="A647" t="s">
        <v>9</v>
      </c>
      <c r="B647" s="39">
        <v>46128</v>
      </c>
      <c r="C647" s="40">
        <v>0.625</v>
      </c>
      <c r="D647" s="41">
        <v>5015.5</v>
      </c>
      <c r="E647" s="41">
        <v>5016</v>
      </c>
      <c r="F647" s="41">
        <v>5006</v>
      </c>
      <c r="G647" s="41">
        <v>5008.5</v>
      </c>
      <c r="H647" s="41">
        <v>3370174750</v>
      </c>
      <c r="I647" s="42">
        <v>13450</v>
      </c>
    </row>
    <row r="648" spans="1:9" x14ac:dyDescent="0.25">
      <c r="A648" t="s">
        <v>9</v>
      </c>
      <c r="B648" s="39">
        <v>46128</v>
      </c>
      <c r="C648" s="40">
        <v>0.60416666666666663</v>
      </c>
      <c r="D648" s="41">
        <v>5018</v>
      </c>
      <c r="E648" s="41">
        <v>5019.5</v>
      </c>
      <c r="F648" s="41">
        <v>5015</v>
      </c>
      <c r="G648" s="41">
        <v>5015</v>
      </c>
      <c r="H648" s="41">
        <v>3958639000</v>
      </c>
      <c r="I648" s="42">
        <v>15780</v>
      </c>
    </row>
    <row r="649" spans="1:9" x14ac:dyDescent="0.25">
      <c r="A649" t="s">
        <v>9</v>
      </c>
      <c r="B649" s="39">
        <v>46128</v>
      </c>
      <c r="C649" s="40">
        <v>0.58333333333333337</v>
      </c>
      <c r="D649" s="41">
        <v>5020</v>
      </c>
      <c r="E649" s="41">
        <v>5024</v>
      </c>
      <c r="F649" s="41">
        <v>5017.5</v>
      </c>
      <c r="G649" s="41">
        <v>5018.5</v>
      </c>
      <c r="H649" s="41">
        <v>2130436125</v>
      </c>
      <c r="I649" s="42">
        <v>8485</v>
      </c>
    </row>
    <row r="650" spans="1:9" x14ac:dyDescent="0.25">
      <c r="A650" t="s">
        <v>9</v>
      </c>
      <c r="B650" s="39">
        <v>46128</v>
      </c>
      <c r="C650" s="40">
        <v>0.5625</v>
      </c>
      <c r="D650" s="41">
        <v>5014.5</v>
      </c>
      <c r="E650" s="41">
        <v>5022</v>
      </c>
      <c r="F650" s="41">
        <v>5014.5</v>
      </c>
      <c r="G650" s="41">
        <v>5019.5</v>
      </c>
      <c r="H650" s="41">
        <v>2780368375</v>
      </c>
      <c r="I650" s="42">
        <v>11080</v>
      </c>
    </row>
    <row r="651" spans="1:9" x14ac:dyDescent="0.25">
      <c r="A651" t="s">
        <v>9</v>
      </c>
      <c r="B651" s="39">
        <v>46128</v>
      </c>
      <c r="C651" s="40">
        <v>0.54166666666666663</v>
      </c>
      <c r="D651" s="41">
        <v>5015.5</v>
      </c>
      <c r="E651" s="41">
        <v>5016</v>
      </c>
      <c r="F651" s="41">
        <v>5010.5</v>
      </c>
      <c r="G651" s="41">
        <v>5014</v>
      </c>
      <c r="H651" s="41">
        <v>2638715125</v>
      </c>
      <c r="I651" s="42">
        <v>10525</v>
      </c>
    </row>
    <row r="652" spans="1:9" x14ac:dyDescent="0.25">
      <c r="A652" t="s">
        <v>9</v>
      </c>
      <c r="B652" s="39">
        <v>46128</v>
      </c>
      <c r="C652" s="40">
        <v>0.52083333333333337</v>
      </c>
      <c r="D652" s="41">
        <v>5023.5</v>
      </c>
      <c r="E652" s="41">
        <v>5023.5</v>
      </c>
      <c r="F652" s="41">
        <v>5015</v>
      </c>
      <c r="G652" s="41">
        <v>5015.5</v>
      </c>
      <c r="H652" s="41">
        <v>4831636125</v>
      </c>
      <c r="I652" s="42">
        <v>19255</v>
      </c>
    </row>
    <row r="653" spans="1:9" x14ac:dyDescent="0.25">
      <c r="A653" t="s">
        <v>9</v>
      </c>
      <c r="B653" s="39">
        <v>46128</v>
      </c>
      <c r="C653" s="40">
        <v>0.5</v>
      </c>
      <c r="D653" s="41">
        <v>5025.5</v>
      </c>
      <c r="E653" s="41">
        <v>5026</v>
      </c>
      <c r="F653" s="41">
        <v>5020</v>
      </c>
      <c r="G653" s="41">
        <v>5023</v>
      </c>
      <c r="H653" s="41">
        <v>2580505500</v>
      </c>
      <c r="I653" s="42">
        <v>10275</v>
      </c>
    </row>
    <row r="654" spans="1:9" x14ac:dyDescent="0.25">
      <c r="A654" t="s">
        <v>9</v>
      </c>
      <c r="B654" s="39">
        <v>46128</v>
      </c>
      <c r="C654" s="40">
        <v>0.47916666666666669</v>
      </c>
      <c r="D654" s="41">
        <v>5020.5</v>
      </c>
      <c r="E654" s="41">
        <v>5028.5</v>
      </c>
      <c r="F654" s="41">
        <v>5017.5</v>
      </c>
      <c r="G654" s="41">
        <v>5025.5</v>
      </c>
      <c r="H654" s="41">
        <v>2950185375</v>
      </c>
      <c r="I654" s="42">
        <v>11750</v>
      </c>
    </row>
    <row r="655" spans="1:9" x14ac:dyDescent="0.25">
      <c r="A655" t="s">
        <v>9</v>
      </c>
      <c r="B655" s="39">
        <v>46128</v>
      </c>
      <c r="C655" s="40">
        <v>0.45833333333333331</v>
      </c>
      <c r="D655" s="41">
        <v>5010.5</v>
      </c>
      <c r="E655" s="41">
        <v>5022.5</v>
      </c>
      <c r="F655" s="41">
        <v>5007.5</v>
      </c>
      <c r="G655" s="41">
        <v>5020.5</v>
      </c>
      <c r="H655" s="41">
        <v>3939585875</v>
      </c>
      <c r="I655" s="42">
        <v>15710</v>
      </c>
    </row>
    <row r="656" spans="1:9" x14ac:dyDescent="0.25">
      <c r="A656" t="s">
        <v>9</v>
      </c>
      <c r="B656" s="39">
        <v>46128</v>
      </c>
      <c r="C656" s="40">
        <v>0.4375</v>
      </c>
      <c r="D656" s="41">
        <v>5006.5</v>
      </c>
      <c r="E656" s="41">
        <v>5013.5</v>
      </c>
      <c r="F656" s="41">
        <v>5001.5</v>
      </c>
      <c r="G656" s="41">
        <v>5010</v>
      </c>
      <c r="H656" s="41">
        <v>4057185500</v>
      </c>
      <c r="I656" s="42">
        <v>16200</v>
      </c>
    </row>
    <row r="657" spans="1:9" x14ac:dyDescent="0.25">
      <c r="A657" t="s">
        <v>9</v>
      </c>
      <c r="B657" s="39">
        <v>46128</v>
      </c>
      <c r="C657" s="40">
        <v>0.41666666666666669</v>
      </c>
      <c r="D657" s="41">
        <v>5007.5</v>
      </c>
      <c r="E657" s="41">
        <v>5009.5</v>
      </c>
      <c r="F657" s="41">
        <v>5002.5</v>
      </c>
      <c r="G657" s="41">
        <v>5006.5</v>
      </c>
      <c r="H657" s="41">
        <v>3656512250</v>
      </c>
      <c r="I657" s="42">
        <v>14610</v>
      </c>
    </row>
    <row r="658" spans="1:9" x14ac:dyDescent="0.25">
      <c r="A658" t="s">
        <v>9</v>
      </c>
      <c r="B658" s="39">
        <v>46128</v>
      </c>
      <c r="C658" s="40">
        <v>0.39583333333333331</v>
      </c>
      <c r="D658" s="41">
        <v>5006.5</v>
      </c>
      <c r="E658" s="41">
        <v>5008</v>
      </c>
      <c r="F658" s="41">
        <v>4999.5</v>
      </c>
      <c r="G658" s="41">
        <v>5007.5</v>
      </c>
      <c r="H658" s="41">
        <v>2754152875</v>
      </c>
      <c r="I658" s="42">
        <v>11010</v>
      </c>
    </row>
    <row r="659" spans="1:9" x14ac:dyDescent="0.25">
      <c r="A659" t="s">
        <v>9</v>
      </c>
      <c r="B659" s="39">
        <v>46128</v>
      </c>
      <c r="C659" s="40">
        <v>0.375</v>
      </c>
      <c r="D659" s="41">
        <v>5010</v>
      </c>
      <c r="E659" s="41">
        <v>5010</v>
      </c>
      <c r="F659" s="41">
        <v>4999.5</v>
      </c>
      <c r="G659" s="41">
        <v>5006.5</v>
      </c>
      <c r="H659" s="41">
        <v>1585786625</v>
      </c>
      <c r="I659" s="42">
        <v>6335</v>
      </c>
    </row>
    <row r="660" spans="1:9" x14ac:dyDescent="0.25">
      <c r="A660" t="s">
        <v>9</v>
      </c>
      <c r="B660" s="39">
        <v>46127</v>
      </c>
      <c r="C660" s="40">
        <v>0.75</v>
      </c>
      <c r="D660" s="41">
        <v>5008</v>
      </c>
      <c r="E660" s="41">
        <v>5008.5</v>
      </c>
      <c r="F660" s="41">
        <v>5004.5</v>
      </c>
      <c r="G660" s="41">
        <v>5004.5</v>
      </c>
      <c r="H660" s="41">
        <v>236553000</v>
      </c>
      <c r="I660" s="42">
        <v>945</v>
      </c>
    </row>
    <row r="661" spans="1:9" x14ac:dyDescent="0.25">
      <c r="A661" t="s">
        <v>9</v>
      </c>
      <c r="B661" s="39">
        <v>46127</v>
      </c>
      <c r="C661" s="40">
        <v>0.72916666666666663</v>
      </c>
      <c r="D661" s="41">
        <v>5008</v>
      </c>
      <c r="E661" s="41">
        <v>5008.5</v>
      </c>
      <c r="F661" s="41">
        <v>5005.5</v>
      </c>
      <c r="G661" s="41">
        <v>5008</v>
      </c>
      <c r="H661" s="41">
        <v>1039043875</v>
      </c>
      <c r="I661" s="42">
        <v>4150</v>
      </c>
    </row>
    <row r="662" spans="1:9" x14ac:dyDescent="0.25">
      <c r="A662" t="s">
        <v>9</v>
      </c>
      <c r="B662" s="39">
        <v>46127</v>
      </c>
      <c r="C662" s="40">
        <v>0.70833333333333337</v>
      </c>
      <c r="D662" s="41">
        <v>5006.5</v>
      </c>
      <c r="E662" s="41">
        <v>5009.5</v>
      </c>
      <c r="F662" s="41">
        <v>5006</v>
      </c>
      <c r="G662" s="41">
        <v>5008</v>
      </c>
      <c r="H662" s="41">
        <v>966506500</v>
      </c>
      <c r="I662" s="42">
        <v>3860</v>
      </c>
    </row>
    <row r="663" spans="1:9" x14ac:dyDescent="0.25">
      <c r="A663" t="s">
        <v>9</v>
      </c>
      <c r="B663" s="39">
        <v>46127</v>
      </c>
      <c r="C663" s="40">
        <v>0.6875</v>
      </c>
      <c r="D663" s="41">
        <v>5007</v>
      </c>
      <c r="E663" s="41">
        <v>5008</v>
      </c>
      <c r="F663" s="41">
        <v>5003.5</v>
      </c>
      <c r="G663" s="41">
        <v>5007</v>
      </c>
      <c r="H663" s="41">
        <v>1547949625</v>
      </c>
      <c r="I663" s="42">
        <v>6185</v>
      </c>
    </row>
    <row r="664" spans="1:9" x14ac:dyDescent="0.25">
      <c r="A664" t="s">
        <v>9</v>
      </c>
      <c r="B664" s="39">
        <v>46127</v>
      </c>
      <c r="C664" s="40">
        <v>0.66666666666666663</v>
      </c>
      <c r="D664" s="41">
        <v>5005</v>
      </c>
      <c r="E664" s="41">
        <v>5008</v>
      </c>
      <c r="F664" s="41">
        <v>5004.5</v>
      </c>
      <c r="G664" s="41">
        <v>5006.5</v>
      </c>
      <c r="H664" s="41">
        <v>1986357250</v>
      </c>
      <c r="I664" s="42">
        <v>7935</v>
      </c>
    </row>
    <row r="665" spans="1:9" x14ac:dyDescent="0.25">
      <c r="A665" t="s">
        <v>9</v>
      </c>
      <c r="B665" s="39">
        <v>46127</v>
      </c>
      <c r="C665" s="40">
        <v>0.64583333333333337</v>
      </c>
      <c r="D665" s="41">
        <v>5008.5</v>
      </c>
      <c r="E665" s="41">
        <v>5009</v>
      </c>
      <c r="F665" s="41">
        <v>5004.5</v>
      </c>
      <c r="G665" s="41">
        <v>5005</v>
      </c>
      <c r="H665" s="41">
        <v>2203030625</v>
      </c>
      <c r="I665" s="42">
        <v>8800</v>
      </c>
    </row>
    <row r="666" spans="1:9" x14ac:dyDescent="0.25">
      <c r="A666" t="s">
        <v>9</v>
      </c>
      <c r="B666" s="39">
        <v>46127</v>
      </c>
      <c r="C666" s="40">
        <v>0.625</v>
      </c>
      <c r="D666" s="41">
        <v>5011</v>
      </c>
      <c r="E666" s="41">
        <v>5013</v>
      </c>
      <c r="F666" s="41">
        <v>5006</v>
      </c>
      <c r="G666" s="41">
        <v>5009</v>
      </c>
      <c r="H666" s="41">
        <v>3223036375</v>
      </c>
      <c r="I666" s="42">
        <v>12870</v>
      </c>
    </row>
    <row r="667" spans="1:9" x14ac:dyDescent="0.25">
      <c r="A667" t="s">
        <v>9</v>
      </c>
      <c r="B667" s="39">
        <v>46127</v>
      </c>
      <c r="C667" s="40">
        <v>0.60416666666666663</v>
      </c>
      <c r="D667" s="41">
        <v>5010.5</v>
      </c>
      <c r="E667" s="41">
        <v>5012.5</v>
      </c>
      <c r="F667" s="41">
        <v>5008</v>
      </c>
      <c r="G667" s="41">
        <v>5011</v>
      </c>
      <c r="H667" s="41">
        <v>1946534750</v>
      </c>
      <c r="I667" s="42">
        <v>7770</v>
      </c>
    </row>
    <row r="668" spans="1:9" x14ac:dyDescent="0.25">
      <c r="A668" t="s">
        <v>9</v>
      </c>
      <c r="B668" s="39">
        <v>46127</v>
      </c>
      <c r="C668" s="40">
        <v>0.58333333333333337</v>
      </c>
      <c r="D668" s="41">
        <v>5009.5</v>
      </c>
      <c r="E668" s="41">
        <v>5013</v>
      </c>
      <c r="F668" s="41">
        <v>5008</v>
      </c>
      <c r="G668" s="41">
        <v>5010.5</v>
      </c>
      <c r="H668" s="41">
        <v>1898636500</v>
      </c>
      <c r="I668" s="42">
        <v>7580</v>
      </c>
    </row>
    <row r="669" spans="1:9" x14ac:dyDescent="0.25">
      <c r="A669" t="s">
        <v>9</v>
      </c>
      <c r="B669" s="39">
        <v>46127</v>
      </c>
      <c r="C669" s="40">
        <v>0.5625</v>
      </c>
      <c r="D669" s="41">
        <v>5007</v>
      </c>
      <c r="E669" s="41">
        <v>5012.5</v>
      </c>
      <c r="F669" s="41">
        <v>5006.5</v>
      </c>
      <c r="G669" s="41">
        <v>5009</v>
      </c>
      <c r="H669" s="41">
        <v>2771385375</v>
      </c>
      <c r="I669" s="42">
        <v>11065</v>
      </c>
    </row>
    <row r="670" spans="1:9" x14ac:dyDescent="0.25">
      <c r="A670" t="s">
        <v>9</v>
      </c>
      <c r="B670" s="39">
        <v>46127</v>
      </c>
      <c r="C670" s="40">
        <v>0.54166666666666663</v>
      </c>
      <c r="D670" s="41">
        <v>5012</v>
      </c>
      <c r="E670" s="41">
        <v>5012.5</v>
      </c>
      <c r="F670" s="41">
        <v>5007</v>
      </c>
      <c r="G670" s="41">
        <v>5007</v>
      </c>
      <c r="H670" s="41">
        <v>1303773375</v>
      </c>
      <c r="I670" s="42">
        <v>5205</v>
      </c>
    </row>
    <row r="671" spans="1:9" x14ac:dyDescent="0.25">
      <c r="A671" t="s">
        <v>9</v>
      </c>
      <c r="B671" s="39">
        <v>46127</v>
      </c>
      <c r="C671" s="40">
        <v>0.52083333333333337</v>
      </c>
      <c r="D671" s="41">
        <v>5009.5</v>
      </c>
      <c r="E671" s="41">
        <v>5015</v>
      </c>
      <c r="F671" s="41">
        <v>5008.5</v>
      </c>
      <c r="G671" s="41">
        <v>5012</v>
      </c>
      <c r="H671" s="41">
        <v>1585050500</v>
      </c>
      <c r="I671" s="42">
        <v>6325</v>
      </c>
    </row>
    <row r="672" spans="1:9" x14ac:dyDescent="0.25">
      <c r="A672" t="s">
        <v>9</v>
      </c>
      <c r="B672" s="39">
        <v>46127</v>
      </c>
      <c r="C672" s="40">
        <v>0.5</v>
      </c>
      <c r="D672" s="41">
        <v>5007.5</v>
      </c>
      <c r="E672" s="41">
        <v>5009.5</v>
      </c>
      <c r="F672" s="41">
        <v>5003.5</v>
      </c>
      <c r="G672" s="41">
        <v>5009</v>
      </c>
      <c r="H672" s="41">
        <v>4339960000</v>
      </c>
      <c r="I672" s="42">
        <v>17335</v>
      </c>
    </row>
    <row r="673" spans="1:9" x14ac:dyDescent="0.25">
      <c r="A673" t="s">
        <v>9</v>
      </c>
      <c r="B673" s="39">
        <v>46127</v>
      </c>
      <c r="C673" s="40">
        <v>0.47916666666666669</v>
      </c>
      <c r="D673" s="41">
        <v>5003</v>
      </c>
      <c r="E673" s="41">
        <v>5010.5</v>
      </c>
      <c r="F673" s="41">
        <v>5003</v>
      </c>
      <c r="G673" s="41">
        <v>5007.5</v>
      </c>
      <c r="H673" s="41">
        <v>1875068125</v>
      </c>
      <c r="I673" s="42">
        <v>7490</v>
      </c>
    </row>
    <row r="674" spans="1:9" x14ac:dyDescent="0.25">
      <c r="A674" t="s">
        <v>9</v>
      </c>
      <c r="B674" s="39">
        <v>46127</v>
      </c>
      <c r="C674" s="40">
        <v>0.45833333333333331</v>
      </c>
      <c r="D674" s="41">
        <v>5006.5</v>
      </c>
      <c r="E674" s="41">
        <v>5009.5</v>
      </c>
      <c r="F674" s="41">
        <v>5002.5</v>
      </c>
      <c r="G674" s="41">
        <v>5003.5</v>
      </c>
      <c r="H674" s="41">
        <v>2784385500</v>
      </c>
      <c r="I674" s="42">
        <v>11125</v>
      </c>
    </row>
    <row r="675" spans="1:9" x14ac:dyDescent="0.25">
      <c r="A675" t="s">
        <v>9</v>
      </c>
      <c r="B675" s="39">
        <v>46127</v>
      </c>
      <c r="C675" s="40">
        <v>0.4375</v>
      </c>
      <c r="D675" s="41">
        <v>5000</v>
      </c>
      <c r="E675" s="41">
        <v>5011</v>
      </c>
      <c r="F675" s="41">
        <v>4999.5</v>
      </c>
      <c r="G675" s="41">
        <v>5006</v>
      </c>
      <c r="H675" s="41">
        <v>2126263000</v>
      </c>
      <c r="I675" s="42">
        <v>8495</v>
      </c>
    </row>
    <row r="676" spans="1:9" x14ac:dyDescent="0.25">
      <c r="A676" t="s">
        <v>9</v>
      </c>
      <c r="B676" s="39">
        <v>46127</v>
      </c>
      <c r="C676" s="40">
        <v>0.41666666666666669</v>
      </c>
      <c r="D676" s="41">
        <v>5008</v>
      </c>
      <c r="E676" s="41">
        <v>5009</v>
      </c>
      <c r="F676" s="41">
        <v>4999</v>
      </c>
      <c r="G676" s="41">
        <v>5000.5</v>
      </c>
      <c r="H676" s="41">
        <v>3741195250</v>
      </c>
      <c r="I676" s="42">
        <v>14950</v>
      </c>
    </row>
    <row r="677" spans="1:9" x14ac:dyDescent="0.25">
      <c r="A677" t="s">
        <v>9</v>
      </c>
      <c r="B677" s="39">
        <v>46127</v>
      </c>
      <c r="C677" s="40">
        <v>0.39583333333333331</v>
      </c>
      <c r="D677" s="41">
        <v>5014.5</v>
      </c>
      <c r="E677" s="41">
        <v>5014.5</v>
      </c>
      <c r="F677" s="41">
        <v>5003.5</v>
      </c>
      <c r="G677" s="41">
        <v>5008</v>
      </c>
      <c r="H677" s="41">
        <v>2108294625</v>
      </c>
      <c r="I677" s="42">
        <v>8420</v>
      </c>
    </row>
    <row r="678" spans="1:9" x14ac:dyDescent="0.25">
      <c r="A678" t="s">
        <v>9</v>
      </c>
      <c r="B678" s="39">
        <v>46127</v>
      </c>
      <c r="C678" s="40">
        <v>0.375</v>
      </c>
      <c r="D678" s="41">
        <v>5008.5</v>
      </c>
      <c r="E678" s="41">
        <v>5016.5</v>
      </c>
      <c r="F678" s="41">
        <v>5005</v>
      </c>
      <c r="G678" s="41">
        <v>5014</v>
      </c>
      <c r="H678" s="41">
        <v>1755580250</v>
      </c>
      <c r="I678" s="42">
        <v>7005</v>
      </c>
    </row>
    <row r="679" spans="1:9" x14ac:dyDescent="0.25">
      <c r="A679" t="s">
        <v>9</v>
      </c>
      <c r="B679" s="39">
        <v>46126</v>
      </c>
      <c r="C679" s="40">
        <v>0.75</v>
      </c>
      <c r="D679" s="41">
        <v>5005</v>
      </c>
      <c r="E679" s="41">
        <v>5006.5</v>
      </c>
      <c r="F679" s="41">
        <v>4999.5</v>
      </c>
      <c r="G679" s="41">
        <v>5001.5</v>
      </c>
      <c r="H679" s="41">
        <v>310257125</v>
      </c>
      <c r="I679" s="42">
        <v>1240</v>
      </c>
    </row>
    <row r="680" spans="1:9" x14ac:dyDescent="0.25">
      <c r="A680" t="s">
        <v>9</v>
      </c>
      <c r="B680" s="39">
        <v>46126</v>
      </c>
      <c r="C680" s="40">
        <v>0.72916666666666663</v>
      </c>
      <c r="D680" s="41">
        <v>5009.5</v>
      </c>
      <c r="E680" s="41">
        <v>5009.5</v>
      </c>
      <c r="F680" s="41">
        <v>5002.5</v>
      </c>
      <c r="G680" s="41">
        <v>5005</v>
      </c>
      <c r="H680" s="41">
        <v>917356750</v>
      </c>
      <c r="I680" s="42">
        <v>3665</v>
      </c>
    </row>
    <row r="681" spans="1:9" x14ac:dyDescent="0.25">
      <c r="A681" t="s">
        <v>9</v>
      </c>
      <c r="B681" s="39">
        <v>46126</v>
      </c>
      <c r="C681" s="40">
        <v>0.70833333333333337</v>
      </c>
      <c r="D681" s="41">
        <v>5009.5</v>
      </c>
      <c r="E681" s="41">
        <v>5010.5</v>
      </c>
      <c r="F681" s="41">
        <v>5007.5</v>
      </c>
      <c r="G681" s="41">
        <v>5009.5</v>
      </c>
      <c r="H681" s="41">
        <v>1635551750</v>
      </c>
      <c r="I681" s="42">
        <v>6530</v>
      </c>
    </row>
    <row r="682" spans="1:9" x14ac:dyDescent="0.25">
      <c r="A682" t="s">
        <v>9</v>
      </c>
      <c r="B682" s="39">
        <v>46126</v>
      </c>
      <c r="C682" s="40">
        <v>0.6875</v>
      </c>
      <c r="D682" s="41">
        <v>5007</v>
      </c>
      <c r="E682" s="41">
        <v>5010.5</v>
      </c>
      <c r="F682" s="41">
        <v>5006.5</v>
      </c>
      <c r="G682" s="41">
        <v>5009</v>
      </c>
      <c r="H682" s="41">
        <v>991609500</v>
      </c>
      <c r="I682" s="42">
        <v>3960</v>
      </c>
    </row>
    <row r="683" spans="1:9" x14ac:dyDescent="0.25">
      <c r="A683" t="s">
        <v>9</v>
      </c>
      <c r="B683" s="39">
        <v>46126</v>
      </c>
      <c r="C683" s="40">
        <v>0.66666666666666663</v>
      </c>
      <c r="D683" s="41">
        <v>5008</v>
      </c>
      <c r="E683" s="41">
        <v>5009.5</v>
      </c>
      <c r="F683" s="41">
        <v>5004.5</v>
      </c>
      <c r="G683" s="41">
        <v>5006.5</v>
      </c>
      <c r="H683" s="41">
        <v>2128187125</v>
      </c>
      <c r="I683" s="42">
        <v>8500</v>
      </c>
    </row>
    <row r="684" spans="1:9" x14ac:dyDescent="0.25">
      <c r="A684" t="s">
        <v>9</v>
      </c>
      <c r="B684" s="39">
        <v>46126</v>
      </c>
      <c r="C684" s="40">
        <v>0.64583333333333337</v>
      </c>
      <c r="D684" s="41">
        <v>5010</v>
      </c>
      <c r="E684" s="41">
        <v>5011</v>
      </c>
      <c r="F684" s="41">
        <v>5007</v>
      </c>
      <c r="G684" s="41">
        <v>5008</v>
      </c>
      <c r="H684" s="41">
        <v>1694344125</v>
      </c>
      <c r="I684" s="42">
        <v>6765</v>
      </c>
    </row>
    <row r="685" spans="1:9" x14ac:dyDescent="0.25">
      <c r="A685" t="s">
        <v>9</v>
      </c>
      <c r="B685" s="39">
        <v>46126</v>
      </c>
      <c r="C685" s="40">
        <v>0.625</v>
      </c>
      <c r="D685" s="41">
        <v>5004</v>
      </c>
      <c r="E685" s="41">
        <v>5012.5</v>
      </c>
      <c r="F685" s="41">
        <v>5003.5</v>
      </c>
      <c r="G685" s="41">
        <v>5010.5</v>
      </c>
      <c r="H685" s="41">
        <v>3676677500</v>
      </c>
      <c r="I685" s="42">
        <v>14685</v>
      </c>
    </row>
    <row r="686" spans="1:9" x14ac:dyDescent="0.25">
      <c r="A686" t="s">
        <v>9</v>
      </c>
      <c r="B686" s="39">
        <v>46126</v>
      </c>
      <c r="C686" s="40">
        <v>0.60416666666666663</v>
      </c>
      <c r="D686" s="41">
        <v>5002</v>
      </c>
      <c r="E686" s="41">
        <v>5006.5</v>
      </c>
      <c r="F686" s="41">
        <v>5001</v>
      </c>
      <c r="G686" s="41">
        <v>5005</v>
      </c>
      <c r="H686" s="41">
        <v>1399546125</v>
      </c>
      <c r="I686" s="42">
        <v>5595</v>
      </c>
    </row>
    <row r="687" spans="1:9" x14ac:dyDescent="0.25">
      <c r="A687" t="s">
        <v>9</v>
      </c>
      <c r="B687" s="39">
        <v>46126</v>
      </c>
      <c r="C687" s="40">
        <v>0.58333333333333337</v>
      </c>
      <c r="D687" s="41">
        <v>5004</v>
      </c>
      <c r="E687" s="41">
        <v>5006.5</v>
      </c>
      <c r="F687" s="41">
        <v>5000.5</v>
      </c>
      <c r="G687" s="41">
        <v>5002.5</v>
      </c>
      <c r="H687" s="41">
        <v>1631243375</v>
      </c>
      <c r="I687" s="42">
        <v>6520</v>
      </c>
    </row>
    <row r="688" spans="1:9" x14ac:dyDescent="0.25">
      <c r="A688" t="s">
        <v>9</v>
      </c>
      <c r="B688" s="39">
        <v>46126</v>
      </c>
      <c r="C688" s="40">
        <v>0.5625</v>
      </c>
      <c r="D688" s="41">
        <v>5003</v>
      </c>
      <c r="E688" s="41">
        <v>5007</v>
      </c>
      <c r="F688" s="41">
        <v>5002.5</v>
      </c>
      <c r="G688" s="41">
        <v>5004</v>
      </c>
      <c r="H688" s="41">
        <v>1412500750</v>
      </c>
      <c r="I688" s="42">
        <v>5645</v>
      </c>
    </row>
    <row r="689" spans="1:9" x14ac:dyDescent="0.25">
      <c r="A689" t="s">
        <v>9</v>
      </c>
      <c r="B689" s="39">
        <v>46126</v>
      </c>
      <c r="C689" s="40">
        <v>0.54166666666666663</v>
      </c>
      <c r="D689" s="41">
        <v>5003.5</v>
      </c>
      <c r="E689" s="41">
        <v>5006.5</v>
      </c>
      <c r="F689" s="41">
        <v>5001.5</v>
      </c>
      <c r="G689" s="41">
        <v>5003</v>
      </c>
      <c r="H689" s="41">
        <v>4400448000</v>
      </c>
      <c r="I689" s="42">
        <v>17590</v>
      </c>
    </row>
    <row r="690" spans="1:9" x14ac:dyDescent="0.25">
      <c r="A690" t="s">
        <v>9</v>
      </c>
      <c r="B690" s="39">
        <v>46126</v>
      </c>
      <c r="C690" s="40">
        <v>0.52083333333333337</v>
      </c>
      <c r="D690" s="41">
        <v>4994</v>
      </c>
      <c r="E690" s="41">
        <v>5005</v>
      </c>
      <c r="F690" s="41">
        <v>4993.5</v>
      </c>
      <c r="G690" s="41">
        <v>5003.5</v>
      </c>
      <c r="H690" s="41">
        <v>5587792875</v>
      </c>
      <c r="I690" s="42">
        <v>22345</v>
      </c>
    </row>
    <row r="691" spans="1:9" x14ac:dyDescent="0.25">
      <c r="A691" t="s">
        <v>9</v>
      </c>
      <c r="B691" s="39">
        <v>46126</v>
      </c>
      <c r="C691" s="40">
        <v>0.5</v>
      </c>
      <c r="D691" s="41">
        <v>4990.5</v>
      </c>
      <c r="E691" s="41">
        <v>4998.5</v>
      </c>
      <c r="F691" s="41">
        <v>4989</v>
      </c>
      <c r="G691" s="41">
        <v>4995</v>
      </c>
      <c r="H691" s="41">
        <v>9199994375</v>
      </c>
      <c r="I691" s="42">
        <v>36850</v>
      </c>
    </row>
    <row r="692" spans="1:9" x14ac:dyDescent="0.25">
      <c r="A692" t="s">
        <v>9</v>
      </c>
      <c r="B692" s="39">
        <v>46126</v>
      </c>
      <c r="C692" s="40">
        <v>0.47916666666666669</v>
      </c>
      <c r="D692" s="41">
        <v>4998</v>
      </c>
      <c r="E692" s="41">
        <v>4998.5</v>
      </c>
      <c r="F692" s="41">
        <v>4989</v>
      </c>
      <c r="G692" s="41">
        <v>4990.5</v>
      </c>
      <c r="H692" s="41">
        <v>3047641375</v>
      </c>
      <c r="I692" s="42">
        <v>12205</v>
      </c>
    </row>
    <row r="693" spans="1:9" x14ac:dyDescent="0.25">
      <c r="A693" t="s">
        <v>9</v>
      </c>
      <c r="B693" s="39">
        <v>46126</v>
      </c>
      <c r="C693" s="40">
        <v>0.45833333333333331</v>
      </c>
      <c r="D693" s="41">
        <v>4990.5</v>
      </c>
      <c r="E693" s="41">
        <v>4999</v>
      </c>
      <c r="F693" s="41">
        <v>4988</v>
      </c>
      <c r="G693" s="41">
        <v>4997.5</v>
      </c>
      <c r="H693" s="41">
        <v>5892113625</v>
      </c>
      <c r="I693" s="42">
        <v>23600</v>
      </c>
    </row>
    <row r="694" spans="1:9" x14ac:dyDescent="0.25">
      <c r="A694" t="s">
        <v>9</v>
      </c>
      <c r="B694" s="39">
        <v>46126</v>
      </c>
      <c r="C694" s="40">
        <v>0.4375</v>
      </c>
      <c r="D694" s="41">
        <v>4998</v>
      </c>
      <c r="E694" s="41">
        <v>5001.5</v>
      </c>
      <c r="F694" s="41">
        <v>4988</v>
      </c>
      <c r="G694" s="41">
        <v>4990.5</v>
      </c>
      <c r="H694" s="41">
        <v>6265356750</v>
      </c>
      <c r="I694" s="42">
        <v>25105</v>
      </c>
    </row>
    <row r="695" spans="1:9" x14ac:dyDescent="0.25">
      <c r="A695" t="s">
        <v>9</v>
      </c>
      <c r="B695" s="39">
        <v>46126</v>
      </c>
      <c r="C695" s="40">
        <v>0.41666666666666669</v>
      </c>
      <c r="D695" s="41">
        <v>4992.5</v>
      </c>
      <c r="E695" s="41">
        <v>5001.5</v>
      </c>
      <c r="F695" s="41">
        <v>4991.5</v>
      </c>
      <c r="G695" s="41">
        <v>4998</v>
      </c>
      <c r="H695" s="41">
        <v>2727605250</v>
      </c>
      <c r="I695" s="42">
        <v>10920</v>
      </c>
    </row>
    <row r="696" spans="1:9" x14ac:dyDescent="0.25">
      <c r="A696" t="s">
        <v>9</v>
      </c>
      <c r="B696" s="39">
        <v>46126</v>
      </c>
      <c r="C696" s="40">
        <v>0.39583333333333331</v>
      </c>
      <c r="D696" s="41">
        <v>4999</v>
      </c>
      <c r="E696" s="41">
        <v>5005</v>
      </c>
      <c r="F696" s="41">
        <v>4992.5</v>
      </c>
      <c r="G696" s="41">
        <v>4992.5</v>
      </c>
      <c r="H696" s="41">
        <v>4884203875</v>
      </c>
      <c r="I696" s="42">
        <v>19540</v>
      </c>
    </row>
    <row r="697" spans="1:9" x14ac:dyDescent="0.25">
      <c r="A697" t="s">
        <v>9</v>
      </c>
      <c r="B697" s="39">
        <v>46126</v>
      </c>
      <c r="C697" s="40">
        <v>0.375</v>
      </c>
      <c r="D697" s="41">
        <v>4993</v>
      </c>
      <c r="E697" s="41">
        <v>5008</v>
      </c>
      <c r="F697" s="41">
        <v>4991</v>
      </c>
      <c r="G697" s="41">
        <v>4999.5</v>
      </c>
      <c r="H697" s="41">
        <v>3334469875</v>
      </c>
      <c r="I697" s="42">
        <v>13340</v>
      </c>
    </row>
    <row r="698" spans="1:9" x14ac:dyDescent="0.25">
      <c r="A698" t="s">
        <v>9</v>
      </c>
      <c r="B698" s="39">
        <v>46125</v>
      </c>
      <c r="C698" s="40">
        <v>0.75</v>
      </c>
      <c r="D698" s="41">
        <v>5015</v>
      </c>
      <c r="E698" s="41">
        <v>5019.5</v>
      </c>
      <c r="F698" s="41">
        <v>5012.5</v>
      </c>
      <c r="G698" s="41">
        <v>5019</v>
      </c>
      <c r="H698" s="41">
        <v>432631375</v>
      </c>
      <c r="I698" s="42">
        <v>1725</v>
      </c>
    </row>
    <row r="699" spans="1:9" x14ac:dyDescent="0.25">
      <c r="A699" t="s">
        <v>9</v>
      </c>
      <c r="B699" s="39">
        <v>46125</v>
      </c>
      <c r="C699" s="40">
        <v>0.72916666666666663</v>
      </c>
      <c r="D699" s="41">
        <v>5019.5</v>
      </c>
      <c r="E699" s="41">
        <v>5019.5</v>
      </c>
      <c r="F699" s="41">
        <v>5014</v>
      </c>
      <c r="G699" s="41">
        <v>5014.5</v>
      </c>
      <c r="H699" s="41">
        <v>683372875</v>
      </c>
      <c r="I699" s="42">
        <v>2725</v>
      </c>
    </row>
    <row r="700" spans="1:9" x14ac:dyDescent="0.25">
      <c r="A700" t="s">
        <v>9</v>
      </c>
      <c r="B700" s="39">
        <v>46125</v>
      </c>
      <c r="C700" s="40">
        <v>0.70833333333333337</v>
      </c>
      <c r="D700" s="41">
        <v>5016</v>
      </c>
      <c r="E700" s="41">
        <v>5022</v>
      </c>
      <c r="F700" s="41">
        <v>5014</v>
      </c>
      <c r="G700" s="41">
        <v>5019.5</v>
      </c>
      <c r="H700" s="41">
        <v>2609583500</v>
      </c>
      <c r="I700" s="42">
        <v>10400</v>
      </c>
    </row>
    <row r="701" spans="1:9" x14ac:dyDescent="0.25">
      <c r="A701" t="s">
        <v>9</v>
      </c>
      <c r="B701" s="39">
        <v>46125</v>
      </c>
      <c r="C701" s="40">
        <v>0.6875</v>
      </c>
      <c r="D701" s="41">
        <v>5015</v>
      </c>
      <c r="E701" s="41">
        <v>5018.5</v>
      </c>
      <c r="F701" s="41">
        <v>5014</v>
      </c>
      <c r="G701" s="41">
        <v>5016.5</v>
      </c>
      <c r="H701" s="41">
        <v>3440470375</v>
      </c>
      <c r="I701" s="42">
        <v>13720</v>
      </c>
    </row>
    <row r="702" spans="1:9" x14ac:dyDescent="0.25">
      <c r="A702" t="s">
        <v>9</v>
      </c>
      <c r="B702" s="39">
        <v>46125</v>
      </c>
      <c r="C702" s="40">
        <v>0.66666666666666663</v>
      </c>
      <c r="D702" s="41">
        <v>5016</v>
      </c>
      <c r="E702" s="41">
        <v>5018.5</v>
      </c>
      <c r="F702" s="41">
        <v>5013.5</v>
      </c>
      <c r="G702" s="41">
        <v>5015.5</v>
      </c>
      <c r="H702" s="41">
        <v>3141615000</v>
      </c>
      <c r="I702" s="42">
        <v>12525</v>
      </c>
    </row>
    <row r="703" spans="1:9" x14ac:dyDescent="0.25">
      <c r="A703" t="s">
        <v>9</v>
      </c>
      <c r="B703" s="39">
        <v>46125</v>
      </c>
      <c r="C703" s="40">
        <v>0.64583333333333337</v>
      </c>
      <c r="D703" s="41">
        <v>5020</v>
      </c>
      <c r="E703" s="41">
        <v>5021</v>
      </c>
      <c r="F703" s="41">
        <v>5015</v>
      </c>
      <c r="G703" s="41">
        <v>5016</v>
      </c>
      <c r="H703" s="41">
        <v>2054921125</v>
      </c>
      <c r="I703" s="42">
        <v>8190</v>
      </c>
    </row>
    <row r="704" spans="1:9" x14ac:dyDescent="0.25">
      <c r="A704" t="s">
        <v>9</v>
      </c>
      <c r="B704" s="39">
        <v>46125</v>
      </c>
      <c r="C704" s="40">
        <v>0.625</v>
      </c>
      <c r="D704" s="41">
        <v>5013</v>
      </c>
      <c r="E704" s="41">
        <v>5021.5</v>
      </c>
      <c r="F704" s="41">
        <v>5011</v>
      </c>
      <c r="G704" s="41">
        <v>5019.5</v>
      </c>
      <c r="H704" s="41">
        <v>2757232500</v>
      </c>
      <c r="I704" s="42">
        <v>10995</v>
      </c>
    </row>
    <row r="705" spans="1:9" x14ac:dyDescent="0.25">
      <c r="A705" t="s">
        <v>9</v>
      </c>
      <c r="B705" s="39">
        <v>46125</v>
      </c>
      <c r="C705" s="40">
        <v>0.60416666666666663</v>
      </c>
      <c r="D705" s="41">
        <v>5009</v>
      </c>
      <c r="E705" s="41">
        <v>5014.5</v>
      </c>
      <c r="F705" s="41">
        <v>5007.5</v>
      </c>
      <c r="G705" s="41">
        <v>5013.5</v>
      </c>
      <c r="H705" s="41">
        <v>1829141375</v>
      </c>
      <c r="I705" s="42">
        <v>7300</v>
      </c>
    </row>
    <row r="706" spans="1:9" x14ac:dyDescent="0.25">
      <c r="A706" t="s">
        <v>9</v>
      </c>
      <c r="B706" s="39">
        <v>46125</v>
      </c>
      <c r="C706" s="40">
        <v>0.58333333333333337</v>
      </c>
      <c r="D706" s="41">
        <v>5013.5</v>
      </c>
      <c r="E706" s="41">
        <v>5014.5</v>
      </c>
      <c r="F706" s="41">
        <v>5002</v>
      </c>
      <c r="G706" s="41">
        <v>5009</v>
      </c>
      <c r="H706" s="41">
        <v>4466344000</v>
      </c>
      <c r="I706" s="42">
        <v>17835</v>
      </c>
    </row>
    <row r="707" spans="1:9" x14ac:dyDescent="0.25">
      <c r="A707" t="s">
        <v>9</v>
      </c>
      <c r="B707" s="39">
        <v>46125</v>
      </c>
      <c r="C707" s="40">
        <v>0.5625</v>
      </c>
      <c r="D707" s="41">
        <v>5038</v>
      </c>
      <c r="E707" s="41">
        <v>5038.5</v>
      </c>
      <c r="F707" s="41">
        <v>5010.5</v>
      </c>
      <c r="G707" s="41">
        <v>5013.5</v>
      </c>
      <c r="H707" s="41">
        <v>6078288125</v>
      </c>
      <c r="I707" s="42">
        <v>24210</v>
      </c>
    </row>
    <row r="708" spans="1:9" x14ac:dyDescent="0.25">
      <c r="A708" t="s">
        <v>9</v>
      </c>
      <c r="B708" s="39">
        <v>46125</v>
      </c>
      <c r="C708" s="40">
        <v>0.54166666666666663</v>
      </c>
      <c r="D708" s="41">
        <v>5041.5</v>
      </c>
      <c r="E708" s="41">
        <v>5044</v>
      </c>
      <c r="F708" s="41">
        <v>5034.5</v>
      </c>
      <c r="G708" s="41">
        <v>5037.5</v>
      </c>
      <c r="H708" s="41">
        <v>2137753000</v>
      </c>
      <c r="I708" s="42">
        <v>8485</v>
      </c>
    </row>
    <row r="709" spans="1:9" x14ac:dyDescent="0.25">
      <c r="A709" t="s">
        <v>9</v>
      </c>
      <c r="B709" s="39">
        <v>46125</v>
      </c>
      <c r="C709" s="40">
        <v>0.52083333333333337</v>
      </c>
      <c r="D709" s="41">
        <v>5047</v>
      </c>
      <c r="E709" s="41">
        <v>5049</v>
      </c>
      <c r="F709" s="41">
        <v>5040.5</v>
      </c>
      <c r="G709" s="41">
        <v>5041.5</v>
      </c>
      <c r="H709" s="41">
        <v>2661866125</v>
      </c>
      <c r="I709" s="42">
        <v>10555</v>
      </c>
    </row>
    <row r="710" spans="1:9" x14ac:dyDescent="0.25">
      <c r="A710" t="s">
        <v>9</v>
      </c>
      <c r="B710" s="39">
        <v>46125</v>
      </c>
      <c r="C710" s="40">
        <v>0.5</v>
      </c>
      <c r="D710" s="41">
        <v>5044.5</v>
      </c>
      <c r="E710" s="41">
        <v>5048.5</v>
      </c>
      <c r="F710" s="41">
        <v>5042.5</v>
      </c>
      <c r="G710" s="41">
        <v>5046.5</v>
      </c>
      <c r="H710" s="41">
        <v>2473451375</v>
      </c>
      <c r="I710" s="42">
        <v>9805</v>
      </c>
    </row>
    <row r="711" spans="1:9" x14ac:dyDescent="0.25">
      <c r="A711" t="s">
        <v>9</v>
      </c>
      <c r="B711" s="39">
        <v>46125</v>
      </c>
      <c r="C711" s="40">
        <v>0.47916666666666669</v>
      </c>
      <c r="D711" s="41">
        <v>5049</v>
      </c>
      <c r="E711" s="41">
        <v>5053</v>
      </c>
      <c r="F711" s="41">
        <v>5043</v>
      </c>
      <c r="G711" s="41">
        <v>5044</v>
      </c>
      <c r="H711" s="41">
        <v>3044007750</v>
      </c>
      <c r="I711" s="42">
        <v>12060</v>
      </c>
    </row>
    <row r="712" spans="1:9" x14ac:dyDescent="0.25">
      <c r="A712" t="s">
        <v>9</v>
      </c>
      <c r="B712" s="39">
        <v>46125</v>
      </c>
      <c r="C712" s="40">
        <v>0.45833333333333331</v>
      </c>
      <c r="D712" s="41">
        <v>5047.5</v>
      </c>
      <c r="E712" s="41">
        <v>5054</v>
      </c>
      <c r="F712" s="41">
        <v>5045</v>
      </c>
      <c r="G712" s="41">
        <v>5049.5</v>
      </c>
      <c r="H712" s="41">
        <v>2880312750</v>
      </c>
      <c r="I712" s="42">
        <v>11410</v>
      </c>
    </row>
    <row r="713" spans="1:9" x14ac:dyDescent="0.25">
      <c r="A713" t="s">
        <v>9</v>
      </c>
      <c r="B713" s="39">
        <v>46125</v>
      </c>
      <c r="C713" s="40">
        <v>0.4375</v>
      </c>
      <c r="D713" s="41">
        <v>5045.5</v>
      </c>
      <c r="E713" s="41">
        <v>5055.5</v>
      </c>
      <c r="F713" s="41">
        <v>5040.5</v>
      </c>
      <c r="G713" s="41">
        <v>5047.5</v>
      </c>
      <c r="H713" s="41">
        <v>4937075750</v>
      </c>
      <c r="I713" s="42">
        <v>19560</v>
      </c>
    </row>
    <row r="714" spans="1:9" x14ac:dyDescent="0.25">
      <c r="A714" t="s">
        <v>9</v>
      </c>
      <c r="B714" s="39">
        <v>46125</v>
      </c>
      <c r="C714" s="40">
        <v>0.41666666666666669</v>
      </c>
      <c r="D714" s="41">
        <v>5043</v>
      </c>
      <c r="E714" s="41">
        <v>5050.5</v>
      </c>
      <c r="F714" s="41">
        <v>5038</v>
      </c>
      <c r="G714" s="41">
        <v>5046.5</v>
      </c>
      <c r="H714" s="41">
        <v>3523848750</v>
      </c>
      <c r="I714" s="42">
        <v>13970</v>
      </c>
    </row>
    <row r="715" spans="1:9" x14ac:dyDescent="0.25">
      <c r="A715" t="s">
        <v>9</v>
      </c>
      <c r="B715" s="39">
        <v>46125</v>
      </c>
      <c r="C715" s="40">
        <v>0.39583333333333331</v>
      </c>
      <c r="D715" s="41">
        <v>5046.5</v>
      </c>
      <c r="E715" s="41">
        <v>5055</v>
      </c>
      <c r="F715" s="41">
        <v>5043.5</v>
      </c>
      <c r="G715" s="41">
        <v>5043.5</v>
      </c>
      <c r="H715" s="41">
        <v>2603103500</v>
      </c>
      <c r="I715" s="42">
        <v>10310</v>
      </c>
    </row>
    <row r="716" spans="1:9" x14ac:dyDescent="0.25">
      <c r="A716" t="s">
        <v>9</v>
      </c>
      <c r="B716" s="39">
        <v>46125</v>
      </c>
      <c r="C716" s="40">
        <v>0.375</v>
      </c>
      <c r="D716" s="41">
        <v>5048</v>
      </c>
      <c r="E716" s="41">
        <v>5062.5</v>
      </c>
      <c r="F716" s="41">
        <v>5037</v>
      </c>
      <c r="G716" s="41">
        <v>5046.5</v>
      </c>
      <c r="H716" s="41">
        <v>4030766250</v>
      </c>
      <c r="I716" s="42">
        <v>15970</v>
      </c>
    </row>
    <row r="717" spans="1:9" x14ac:dyDescent="0.25">
      <c r="A717" t="s">
        <v>9</v>
      </c>
      <c r="B717" s="39">
        <v>46122</v>
      </c>
      <c r="C717" s="40">
        <v>0.75</v>
      </c>
      <c r="D717" s="41">
        <v>5025</v>
      </c>
      <c r="E717" s="41">
        <v>5033</v>
      </c>
      <c r="F717" s="41">
        <v>5023</v>
      </c>
      <c r="G717" s="41">
        <v>5033</v>
      </c>
      <c r="H717" s="41">
        <v>334248875</v>
      </c>
      <c r="I717" s="42">
        <v>1330</v>
      </c>
    </row>
    <row r="718" spans="1:9" x14ac:dyDescent="0.25">
      <c r="A718" t="s">
        <v>9</v>
      </c>
      <c r="B718" s="39">
        <v>46122</v>
      </c>
      <c r="C718" s="40">
        <v>0.72916666666666663</v>
      </c>
      <c r="D718" s="41">
        <v>5032.5</v>
      </c>
      <c r="E718" s="41">
        <v>5032.5</v>
      </c>
      <c r="F718" s="41">
        <v>5024</v>
      </c>
      <c r="G718" s="41">
        <v>5025.5</v>
      </c>
      <c r="H718" s="41">
        <v>1659327375</v>
      </c>
      <c r="I718" s="42">
        <v>6600</v>
      </c>
    </row>
    <row r="719" spans="1:9" x14ac:dyDescent="0.25">
      <c r="A719" t="s">
        <v>9</v>
      </c>
      <c r="B719" s="39">
        <v>46122</v>
      </c>
      <c r="C719" s="40">
        <v>0.70833333333333337</v>
      </c>
      <c r="D719" s="41">
        <v>5031.5</v>
      </c>
      <c r="E719" s="41">
        <v>5035</v>
      </c>
      <c r="F719" s="41">
        <v>5031</v>
      </c>
      <c r="G719" s="41">
        <v>5032.5</v>
      </c>
      <c r="H719" s="41">
        <v>1518479375</v>
      </c>
      <c r="I719" s="42">
        <v>6035</v>
      </c>
    </row>
    <row r="720" spans="1:9" x14ac:dyDescent="0.25">
      <c r="A720" t="s">
        <v>9</v>
      </c>
      <c r="B720" s="39">
        <v>46122</v>
      </c>
      <c r="C720" s="40">
        <v>0.6875</v>
      </c>
      <c r="D720" s="41">
        <v>5029</v>
      </c>
      <c r="E720" s="41">
        <v>5032</v>
      </c>
      <c r="F720" s="41">
        <v>5028</v>
      </c>
      <c r="G720" s="41">
        <v>5031.5</v>
      </c>
      <c r="H720" s="41">
        <v>3237794625</v>
      </c>
      <c r="I720" s="42">
        <v>12875</v>
      </c>
    </row>
    <row r="721" spans="1:9" x14ac:dyDescent="0.25">
      <c r="A721" t="s">
        <v>9</v>
      </c>
      <c r="B721" s="39">
        <v>46122</v>
      </c>
      <c r="C721" s="40">
        <v>0.66666666666666663</v>
      </c>
      <c r="D721" s="41">
        <v>5032</v>
      </c>
      <c r="E721" s="41">
        <v>5032.5</v>
      </c>
      <c r="F721" s="41">
        <v>5025.5</v>
      </c>
      <c r="G721" s="41">
        <v>5029</v>
      </c>
      <c r="H721" s="41">
        <v>2866700750</v>
      </c>
      <c r="I721" s="42">
        <v>11400</v>
      </c>
    </row>
    <row r="722" spans="1:9" x14ac:dyDescent="0.25">
      <c r="A722" t="s">
        <v>9</v>
      </c>
      <c r="B722" s="39">
        <v>46122</v>
      </c>
      <c r="C722" s="40">
        <v>0.64583333333333337</v>
      </c>
      <c r="D722" s="41">
        <v>5035</v>
      </c>
      <c r="E722" s="41">
        <v>5036</v>
      </c>
      <c r="F722" s="41">
        <v>5031</v>
      </c>
      <c r="G722" s="41">
        <v>5032.5</v>
      </c>
      <c r="H722" s="41">
        <v>3281642125</v>
      </c>
      <c r="I722" s="42">
        <v>13040</v>
      </c>
    </row>
    <row r="723" spans="1:9" x14ac:dyDescent="0.25">
      <c r="A723" t="s">
        <v>9</v>
      </c>
      <c r="B723" s="39">
        <v>46122</v>
      </c>
      <c r="C723" s="40">
        <v>0.625</v>
      </c>
      <c r="D723" s="41">
        <v>5045</v>
      </c>
      <c r="E723" s="41">
        <v>5047.5</v>
      </c>
      <c r="F723" s="41">
        <v>5034</v>
      </c>
      <c r="G723" s="41">
        <v>5035</v>
      </c>
      <c r="H723" s="41">
        <v>3530694250</v>
      </c>
      <c r="I723" s="42">
        <v>14005</v>
      </c>
    </row>
    <row r="724" spans="1:9" x14ac:dyDescent="0.25">
      <c r="A724" t="s">
        <v>9</v>
      </c>
      <c r="B724" s="39">
        <v>46122</v>
      </c>
      <c r="C724" s="40">
        <v>0.60416666666666663</v>
      </c>
      <c r="D724" s="41">
        <v>5048.5</v>
      </c>
      <c r="E724" s="41">
        <v>5049</v>
      </c>
      <c r="F724" s="41">
        <v>5040</v>
      </c>
      <c r="G724" s="41">
        <v>5045</v>
      </c>
      <c r="H724" s="41">
        <v>3812202000</v>
      </c>
      <c r="I724" s="42">
        <v>15120</v>
      </c>
    </row>
    <row r="725" spans="1:9" x14ac:dyDescent="0.25">
      <c r="A725" t="s">
        <v>9</v>
      </c>
      <c r="B725" s="39">
        <v>46122</v>
      </c>
      <c r="C725" s="40">
        <v>0.58333333333333337</v>
      </c>
      <c r="D725" s="41">
        <v>5046</v>
      </c>
      <c r="E725" s="41">
        <v>5051</v>
      </c>
      <c r="F725" s="41">
        <v>5046</v>
      </c>
      <c r="G725" s="41">
        <v>5048</v>
      </c>
      <c r="H725" s="41">
        <v>2281369000</v>
      </c>
      <c r="I725" s="42">
        <v>9040</v>
      </c>
    </row>
    <row r="726" spans="1:9" x14ac:dyDescent="0.25">
      <c r="A726" t="s">
        <v>9</v>
      </c>
      <c r="B726" s="39">
        <v>46122</v>
      </c>
      <c r="C726" s="40">
        <v>0.5625</v>
      </c>
      <c r="D726" s="41">
        <v>5051</v>
      </c>
      <c r="E726" s="41">
        <v>5053</v>
      </c>
      <c r="F726" s="41">
        <v>5042.5</v>
      </c>
      <c r="G726" s="41">
        <v>5046</v>
      </c>
      <c r="H726" s="41">
        <v>1659558625</v>
      </c>
      <c r="I726" s="42">
        <v>6575</v>
      </c>
    </row>
    <row r="727" spans="1:9" x14ac:dyDescent="0.25">
      <c r="A727" t="s">
        <v>9</v>
      </c>
      <c r="B727" s="39">
        <v>46122</v>
      </c>
      <c r="C727" s="40">
        <v>0.54166666666666663</v>
      </c>
      <c r="D727" s="41">
        <v>5047</v>
      </c>
      <c r="E727" s="41">
        <v>5050.5</v>
      </c>
      <c r="F727" s="41">
        <v>5043.5</v>
      </c>
      <c r="G727" s="41">
        <v>5050.5</v>
      </c>
      <c r="H727" s="41">
        <v>1596299500</v>
      </c>
      <c r="I727" s="42">
        <v>6325</v>
      </c>
    </row>
    <row r="728" spans="1:9" x14ac:dyDescent="0.25">
      <c r="A728" t="s">
        <v>9</v>
      </c>
      <c r="B728" s="39">
        <v>46122</v>
      </c>
      <c r="C728" s="40">
        <v>0.52083333333333337</v>
      </c>
      <c r="D728" s="41">
        <v>5038.5</v>
      </c>
      <c r="E728" s="41">
        <v>5050</v>
      </c>
      <c r="F728" s="41">
        <v>5037.5</v>
      </c>
      <c r="G728" s="41">
        <v>5047</v>
      </c>
      <c r="H728" s="41">
        <v>5694118000</v>
      </c>
      <c r="I728" s="42">
        <v>22570</v>
      </c>
    </row>
    <row r="729" spans="1:9" x14ac:dyDescent="0.25">
      <c r="A729" t="s">
        <v>9</v>
      </c>
      <c r="B729" s="39">
        <v>46122</v>
      </c>
      <c r="C729" s="40">
        <v>0.5</v>
      </c>
      <c r="D729" s="41">
        <v>5044.5</v>
      </c>
      <c r="E729" s="41">
        <v>5049</v>
      </c>
      <c r="F729" s="41">
        <v>5035.5</v>
      </c>
      <c r="G729" s="41">
        <v>5039</v>
      </c>
      <c r="H729" s="41">
        <v>4998498000</v>
      </c>
      <c r="I729" s="42">
        <v>19830</v>
      </c>
    </row>
    <row r="730" spans="1:9" x14ac:dyDescent="0.25">
      <c r="A730" t="s">
        <v>9</v>
      </c>
      <c r="B730" s="39">
        <v>46122</v>
      </c>
      <c r="C730" s="40">
        <v>0.47916666666666669</v>
      </c>
      <c r="D730" s="41">
        <v>5032</v>
      </c>
      <c r="E730" s="41">
        <v>5050</v>
      </c>
      <c r="F730" s="41">
        <v>5030</v>
      </c>
      <c r="G730" s="41">
        <v>5044</v>
      </c>
      <c r="H730" s="41">
        <v>9063762125</v>
      </c>
      <c r="I730" s="42">
        <v>35960</v>
      </c>
    </row>
    <row r="731" spans="1:9" x14ac:dyDescent="0.25">
      <c r="A731" t="s">
        <v>9</v>
      </c>
      <c r="B731" s="39">
        <v>46122</v>
      </c>
      <c r="C731" s="40">
        <v>0.45833333333333331</v>
      </c>
      <c r="D731" s="41">
        <v>5041.5</v>
      </c>
      <c r="E731" s="41">
        <v>5044</v>
      </c>
      <c r="F731" s="41">
        <v>5028</v>
      </c>
      <c r="G731" s="41">
        <v>5032</v>
      </c>
      <c r="H731" s="41">
        <v>3809493250</v>
      </c>
      <c r="I731" s="42">
        <v>15135</v>
      </c>
    </row>
    <row r="732" spans="1:9" x14ac:dyDescent="0.25">
      <c r="A732" t="s">
        <v>9</v>
      </c>
      <c r="B732" s="39">
        <v>46122</v>
      </c>
      <c r="C732" s="40">
        <v>0.4375</v>
      </c>
      <c r="D732" s="41">
        <v>5040.5</v>
      </c>
      <c r="E732" s="41">
        <v>5044.5</v>
      </c>
      <c r="F732" s="41">
        <v>5033</v>
      </c>
      <c r="G732" s="41">
        <v>5041</v>
      </c>
      <c r="H732" s="41">
        <v>3478201625</v>
      </c>
      <c r="I732" s="42">
        <v>13805</v>
      </c>
    </row>
    <row r="733" spans="1:9" x14ac:dyDescent="0.25">
      <c r="A733" t="s">
        <v>9</v>
      </c>
      <c r="B733" s="39">
        <v>46122</v>
      </c>
      <c r="C733" s="40">
        <v>0.41666666666666669</v>
      </c>
      <c r="D733" s="41">
        <v>5048</v>
      </c>
      <c r="E733" s="41">
        <v>5052.5</v>
      </c>
      <c r="F733" s="41">
        <v>5040.5</v>
      </c>
      <c r="G733" s="41">
        <v>5041</v>
      </c>
      <c r="H733" s="41">
        <v>3855489375</v>
      </c>
      <c r="I733" s="42">
        <v>15280</v>
      </c>
    </row>
    <row r="734" spans="1:9" x14ac:dyDescent="0.25">
      <c r="A734" t="s">
        <v>9</v>
      </c>
      <c r="B734" s="39">
        <v>46122</v>
      </c>
      <c r="C734" s="40">
        <v>0.39583333333333331</v>
      </c>
      <c r="D734" s="41">
        <v>5078</v>
      </c>
      <c r="E734" s="41">
        <v>5079.5</v>
      </c>
      <c r="F734" s="41">
        <v>5047.5</v>
      </c>
      <c r="G734" s="41">
        <v>5048.5</v>
      </c>
      <c r="H734" s="41">
        <v>8232706000</v>
      </c>
      <c r="I734" s="42">
        <v>32550</v>
      </c>
    </row>
    <row r="735" spans="1:9" x14ac:dyDescent="0.25">
      <c r="A735" t="s">
        <v>9</v>
      </c>
      <c r="B735" s="39">
        <v>46122</v>
      </c>
      <c r="C735" s="40">
        <v>0.375</v>
      </c>
      <c r="D735" s="41">
        <v>5089.5</v>
      </c>
      <c r="E735" s="41">
        <v>5089.5</v>
      </c>
      <c r="F735" s="41">
        <v>5071.5</v>
      </c>
      <c r="G735" s="41">
        <v>5077</v>
      </c>
      <c r="H735" s="41">
        <v>2798066375</v>
      </c>
      <c r="I735" s="42">
        <v>11025</v>
      </c>
    </row>
    <row r="736" spans="1:9" x14ac:dyDescent="0.25">
      <c r="A736" t="s">
        <v>9</v>
      </c>
      <c r="B736" s="39">
        <v>46121</v>
      </c>
      <c r="C736" s="40">
        <v>0.75</v>
      </c>
      <c r="D736" s="41">
        <v>5080.5</v>
      </c>
      <c r="E736" s="41">
        <v>5086</v>
      </c>
      <c r="F736" s="41">
        <v>5079.5</v>
      </c>
      <c r="G736" s="41">
        <v>5082.5</v>
      </c>
      <c r="H736" s="41">
        <v>668273625</v>
      </c>
      <c r="I736" s="42">
        <v>2630</v>
      </c>
    </row>
    <row r="737" spans="1:9" x14ac:dyDescent="0.25">
      <c r="A737" t="s">
        <v>9</v>
      </c>
      <c r="B737" s="39">
        <v>46121</v>
      </c>
      <c r="C737" s="40">
        <v>0.72916666666666663</v>
      </c>
      <c r="D737" s="41">
        <v>5081.5</v>
      </c>
      <c r="E737" s="41">
        <v>5084</v>
      </c>
      <c r="F737" s="41">
        <v>5080</v>
      </c>
      <c r="G737" s="41">
        <v>5080.5</v>
      </c>
      <c r="H737" s="41">
        <v>1616109500</v>
      </c>
      <c r="I737" s="42">
        <v>6360</v>
      </c>
    </row>
    <row r="738" spans="1:9" x14ac:dyDescent="0.25">
      <c r="A738" t="s">
        <v>9</v>
      </c>
      <c r="B738" s="39">
        <v>46121</v>
      </c>
      <c r="C738" s="40">
        <v>0.70833333333333337</v>
      </c>
      <c r="D738" s="41">
        <v>5085.5</v>
      </c>
      <c r="E738" s="41">
        <v>5089</v>
      </c>
      <c r="F738" s="41">
        <v>5082</v>
      </c>
      <c r="G738" s="41">
        <v>5082</v>
      </c>
      <c r="H738" s="41">
        <v>2071002750</v>
      </c>
      <c r="I738" s="42">
        <v>8145</v>
      </c>
    </row>
    <row r="739" spans="1:9" x14ac:dyDescent="0.25">
      <c r="A739" t="s">
        <v>9</v>
      </c>
      <c r="B739" s="39">
        <v>46121</v>
      </c>
      <c r="C739" s="40">
        <v>0.6875</v>
      </c>
      <c r="D739" s="41">
        <v>5088.5</v>
      </c>
      <c r="E739" s="41">
        <v>5089</v>
      </c>
      <c r="F739" s="41">
        <v>5085</v>
      </c>
      <c r="G739" s="41">
        <v>5086</v>
      </c>
      <c r="H739" s="41">
        <v>1740957000</v>
      </c>
      <c r="I739" s="42">
        <v>6845</v>
      </c>
    </row>
    <row r="740" spans="1:9" x14ac:dyDescent="0.25">
      <c r="A740" t="s">
        <v>9</v>
      </c>
      <c r="B740" s="39">
        <v>46121</v>
      </c>
      <c r="C740" s="40">
        <v>0.66666666666666663</v>
      </c>
      <c r="D740" s="41">
        <v>5092.5</v>
      </c>
      <c r="E740" s="41">
        <v>5094</v>
      </c>
      <c r="F740" s="41">
        <v>5086.5</v>
      </c>
      <c r="G740" s="41">
        <v>5089</v>
      </c>
      <c r="H740" s="41">
        <v>1524240125</v>
      </c>
      <c r="I740" s="42">
        <v>5990</v>
      </c>
    </row>
    <row r="741" spans="1:9" x14ac:dyDescent="0.25">
      <c r="A741" t="s">
        <v>9</v>
      </c>
      <c r="B741" s="39">
        <v>46121</v>
      </c>
      <c r="C741" s="40">
        <v>0.64583333333333337</v>
      </c>
      <c r="D741" s="41">
        <v>5093</v>
      </c>
      <c r="E741" s="41">
        <v>5096</v>
      </c>
      <c r="F741" s="41">
        <v>5090.5</v>
      </c>
      <c r="G741" s="41">
        <v>5092.5</v>
      </c>
      <c r="H741" s="41">
        <v>2212927000</v>
      </c>
      <c r="I741" s="42">
        <v>8690</v>
      </c>
    </row>
    <row r="742" spans="1:9" x14ac:dyDescent="0.25">
      <c r="A742" t="s">
        <v>9</v>
      </c>
      <c r="B742" s="39">
        <v>46121</v>
      </c>
      <c r="C742" s="40">
        <v>0.625</v>
      </c>
      <c r="D742" s="41">
        <v>5086</v>
      </c>
      <c r="E742" s="41">
        <v>5094.5</v>
      </c>
      <c r="F742" s="41">
        <v>5085.5</v>
      </c>
      <c r="G742" s="41">
        <v>5093</v>
      </c>
      <c r="H742" s="41">
        <v>3940852875</v>
      </c>
      <c r="I742" s="42">
        <v>15485</v>
      </c>
    </row>
    <row r="743" spans="1:9" x14ac:dyDescent="0.25">
      <c r="A743" t="s">
        <v>9</v>
      </c>
      <c r="B743" s="39">
        <v>46121</v>
      </c>
      <c r="C743" s="40">
        <v>0.60416666666666663</v>
      </c>
      <c r="D743" s="41">
        <v>5085.5</v>
      </c>
      <c r="E743" s="41">
        <v>5089</v>
      </c>
      <c r="F743" s="41">
        <v>5081.5</v>
      </c>
      <c r="G743" s="41">
        <v>5086</v>
      </c>
      <c r="H743" s="41">
        <v>8074063500</v>
      </c>
      <c r="I743" s="42">
        <v>31760</v>
      </c>
    </row>
    <row r="744" spans="1:9" x14ac:dyDescent="0.25">
      <c r="A744" t="s">
        <v>9</v>
      </c>
      <c r="B744" s="39">
        <v>46121</v>
      </c>
      <c r="C744" s="40">
        <v>0.58333333333333337</v>
      </c>
      <c r="D744" s="41">
        <v>5096.5</v>
      </c>
      <c r="E744" s="41">
        <v>5097.5</v>
      </c>
      <c r="F744" s="41">
        <v>5085.5</v>
      </c>
      <c r="G744" s="41">
        <v>5086</v>
      </c>
      <c r="H744" s="41">
        <v>3737423500</v>
      </c>
      <c r="I744" s="42">
        <v>14680</v>
      </c>
    </row>
    <row r="745" spans="1:9" x14ac:dyDescent="0.25">
      <c r="A745" t="s">
        <v>9</v>
      </c>
      <c r="B745" s="39">
        <v>46121</v>
      </c>
      <c r="C745" s="40">
        <v>0.5625</v>
      </c>
      <c r="D745" s="41">
        <v>5095</v>
      </c>
      <c r="E745" s="41">
        <v>5097.5</v>
      </c>
      <c r="F745" s="41">
        <v>5093</v>
      </c>
      <c r="G745" s="41">
        <v>5097</v>
      </c>
      <c r="H745" s="41">
        <v>1422880875</v>
      </c>
      <c r="I745" s="42">
        <v>5585</v>
      </c>
    </row>
    <row r="746" spans="1:9" x14ac:dyDescent="0.25">
      <c r="A746" t="s">
        <v>9</v>
      </c>
      <c r="B746" s="39">
        <v>46121</v>
      </c>
      <c r="C746" s="40">
        <v>0.54166666666666663</v>
      </c>
      <c r="D746" s="41">
        <v>5094</v>
      </c>
      <c r="E746" s="41">
        <v>5101.5</v>
      </c>
      <c r="F746" s="41">
        <v>5090.5</v>
      </c>
      <c r="G746" s="41">
        <v>5094.5</v>
      </c>
      <c r="H746" s="41">
        <v>3220493125</v>
      </c>
      <c r="I746" s="42">
        <v>12640</v>
      </c>
    </row>
    <row r="747" spans="1:9" x14ac:dyDescent="0.25">
      <c r="A747" t="s">
        <v>9</v>
      </c>
      <c r="B747" s="39">
        <v>46121</v>
      </c>
      <c r="C747" s="40">
        <v>0.52083333333333337</v>
      </c>
      <c r="D747" s="41">
        <v>5100</v>
      </c>
      <c r="E747" s="41">
        <v>5101</v>
      </c>
      <c r="F747" s="41">
        <v>5092.5</v>
      </c>
      <c r="G747" s="41">
        <v>5093.5</v>
      </c>
      <c r="H747" s="41">
        <v>1769143250</v>
      </c>
      <c r="I747" s="42">
        <v>6945</v>
      </c>
    </row>
    <row r="748" spans="1:9" x14ac:dyDescent="0.25">
      <c r="A748" t="s">
        <v>9</v>
      </c>
      <c r="B748" s="39">
        <v>46121</v>
      </c>
      <c r="C748" s="40">
        <v>0.5</v>
      </c>
      <c r="D748" s="41">
        <v>5106</v>
      </c>
      <c r="E748" s="41">
        <v>5109.5</v>
      </c>
      <c r="F748" s="41">
        <v>5096</v>
      </c>
      <c r="G748" s="41">
        <v>5100.5</v>
      </c>
      <c r="H748" s="41">
        <v>3160037250</v>
      </c>
      <c r="I748" s="42">
        <v>12390</v>
      </c>
    </row>
    <row r="749" spans="1:9" x14ac:dyDescent="0.25">
      <c r="A749" t="s">
        <v>9</v>
      </c>
      <c r="B749" s="39">
        <v>46121</v>
      </c>
      <c r="C749" s="40">
        <v>0.47916666666666669</v>
      </c>
      <c r="D749" s="41">
        <v>5106.5</v>
      </c>
      <c r="E749" s="41">
        <v>5112</v>
      </c>
      <c r="F749" s="41">
        <v>5103</v>
      </c>
      <c r="G749" s="41">
        <v>5106</v>
      </c>
      <c r="H749" s="41">
        <v>3087095125</v>
      </c>
      <c r="I749" s="42">
        <v>12090</v>
      </c>
    </row>
    <row r="750" spans="1:9" x14ac:dyDescent="0.25">
      <c r="A750" t="s">
        <v>9</v>
      </c>
      <c r="B750" s="39">
        <v>46121</v>
      </c>
      <c r="C750" s="40">
        <v>0.45833333333333331</v>
      </c>
      <c r="D750" s="41">
        <v>5102</v>
      </c>
      <c r="E750" s="41">
        <v>5107.5</v>
      </c>
      <c r="F750" s="41">
        <v>5096</v>
      </c>
      <c r="G750" s="41">
        <v>5106.5</v>
      </c>
      <c r="H750" s="41">
        <v>4493479125</v>
      </c>
      <c r="I750" s="42">
        <v>17615</v>
      </c>
    </row>
    <row r="751" spans="1:9" x14ac:dyDescent="0.25">
      <c r="A751" t="s">
        <v>9</v>
      </c>
      <c r="B751" s="39">
        <v>46121</v>
      </c>
      <c r="C751" s="40">
        <v>0.4375</v>
      </c>
      <c r="D751" s="41">
        <v>5112.5</v>
      </c>
      <c r="E751" s="41">
        <v>5113</v>
      </c>
      <c r="F751" s="41">
        <v>5097.5</v>
      </c>
      <c r="G751" s="41">
        <v>5102</v>
      </c>
      <c r="H751" s="41">
        <v>3825156500</v>
      </c>
      <c r="I751" s="42">
        <v>14990</v>
      </c>
    </row>
    <row r="752" spans="1:9" x14ac:dyDescent="0.25">
      <c r="A752" t="s">
        <v>9</v>
      </c>
      <c r="B752" s="39">
        <v>46121</v>
      </c>
      <c r="C752" s="40">
        <v>0.41666666666666669</v>
      </c>
      <c r="D752" s="41">
        <v>5118.5</v>
      </c>
      <c r="E752" s="41">
        <v>5121</v>
      </c>
      <c r="F752" s="41">
        <v>5109.5</v>
      </c>
      <c r="G752" s="41">
        <v>5113</v>
      </c>
      <c r="H752" s="41">
        <v>2978905875</v>
      </c>
      <c r="I752" s="42">
        <v>11645</v>
      </c>
    </row>
    <row r="753" spans="1:9" x14ac:dyDescent="0.25">
      <c r="A753" t="s">
        <v>9</v>
      </c>
      <c r="B753" s="39">
        <v>46121</v>
      </c>
      <c r="C753" s="40">
        <v>0.39583333333333331</v>
      </c>
      <c r="D753" s="41">
        <v>5125</v>
      </c>
      <c r="E753" s="41">
        <v>5129.5</v>
      </c>
      <c r="F753" s="41">
        <v>5118</v>
      </c>
      <c r="G753" s="41">
        <v>5119</v>
      </c>
      <c r="H753" s="41">
        <v>5835668625</v>
      </c>
      <c r="I753" s="42">
        <v>22780</v>
      </c>
    </row>
    <row r="754" spans="1:9" x14ac:dyDescent="0.25">
      <c r="A754" t="s">
        <v>9</v>
      </c>
      <c r="B754" s="39">
        <v>46121</v>
      </c>
      <c r="C754" s="40">
        <v>0.375</v>
      </c>
      <c r="D754" s="41">
        <v>5120</v>
      </c>
      <c r="E754" s="41">
        <v>5129.5</v>
      </c>
      <c r="F754" s="41">
        <v>5118</v>
      </c>
      <c r="G754" s="41">
        <v>5126</v>
      </c>
      <c r="H754" s="41">
        <v>1835498750</v>
      </c>
      <c r="I754" s="42">
        <v>7165</v>
      </c>
    </row>
    <row r="755" spans="1:9" x14ac:dyDescent="0.25">
      <c r="A755" t="s">
        <v>9</v>
      </c>
      <c r="B755" s="39">
        <v>46120</v>
      </c>
      <c r="C755" s="40">
        <v>0.75</v>
      </c>
      <c r="D755" s="41">
        <v>5123</v>
      </c>
      <c r="E755" s="41">
        <v>5125</v>
      </c>
      <c r="F755" s="41">
        <v>5118</v>
      </c>
      <c r="G755" s="41">
        <v>5122.5</v>
      </c>
      <c r="H755" s="41">
        <v>1004110375</v>
      </c>
      <c r="I755" s="42">
        <v>3920</v>
      </c>
    </row>
    <row r="756" spans="1:9" x14ac:dyDescent="0.25">
      <c r="A756" t="s">
        <v>9</v>
      </c>
      <c r="B756" s="39">
        <v>46120</v>
      </c>
      <c r="C756" s="40">
        <v>0.72916666666666663</v>
      </c>
      <c r="D756" s="41">
        <v>5123.5</v>
      </c>
      <c r="E756" s="41">
        <v>5124</v>
      </c>
      <c r="F756" s="41">
        <v>5117</v>
      </c>
      <c r="G756" s="41">
        <v>5123.5</v>
      </c>
      <c r="H756" s="41">
        <v>1149692875</v>
      </c>
      <c r="I756" s="42">
        <v>4490</v>
      </c>
    </row>
    <row r="757" spans="1:9" x14ac:dyDescent="0.25">
      <c r="A757" t="s">
        <v>9</v>
      </c>
      <c r="B757" s="39">
        <v>46120</v>
      </c>
      <c r="C757" s="40">
        <v>0.70833333333333337</v>
      </c>
      <c r="D757" s="41">
        <v>5127.5</v>
      </c>
      <c r="E757" s="41">
        <v>5128.5</v>
      </c>
      <c r="F757" s="41">
        <v>5122.5</v>
      </c>
      <c r="G757" s="41">
        <v>5123.5</v>
      </c>
      <c r="H757" s="41">
        <v>1785086125</v>
      </c>
      <c r="I757" s="42">
        <v>6965</v>
      </c>
    </row>
    <row r="758" spans="1:9" x14ac:dyDescent="0.25">
      <c r="A758" t="s">
        <v>9</v>
      </c>
      <c r="B758" s="39">
        <v>46120</v>
      </c>
      <c r="C758" s="40">
        <v>0.6875</v>
      </c>
      <c r="D758" s="41">
        <v>5135.5</v>
      </c>
      <c r="E758" s="41">
        <v>5135.5</v>
      </c>
      <c r="F758" s="41">
        <v>5126</v>
      </c>
      <c r="G758" s="41">
        <v>5127</v>
      </c>
      <c r="H758" s="41">
        <v>2234003750</v>
      </c>
      <c r="I758" s="42">
        <v>8710</v>
      </c>
    </row>
    <row r="759" spans="1:9" x14ac:dyDescent="0.25">
      <c r="A759" t="s">
        <v>9</v>
      </c>
      <c r="B759" s="39">
        <v>46120</v>
      </c>
      <c r="C759" s="40">
        <v>0.66666666666666663</v>
      </c>
      <c r="D759" s="41">
        <v>5139.5</v>
      </c>
      <c r="E759" s="41">
        <v>5143</v>
      </c>
      <c r="F759" s="41">
        <v>5132.5</v>
      </c>
      <c r="G759" s="41">
        <v>5135.5</v>
      </c>
      <c r="H759" s="41">
        <v>2458947125</v>
      </c>
      <c r="I759" s="42">
        <v>9575</v>
      </c>
    </row>
    <row r="760" spans="1:9" x14ac:dyDescent="0.25">
      <c r="A760" t="s">
        <v>9</v>
      </c>
      <c r="B760" s="39">
        <v>46120</v>
      </c>
      <c r="C760" s="40">
        <v>0.64583333333333337</v>
      </c>
      <c r="D760" s="41">
        <v>5133</v>
      </c>
      <c r="E760" s="41">
        <v>5140</v>
      </c>
      <c r="F760" s="41">
        <v>5129</v>
      </c>
      <c r="G760" s="41">
        <v>5139.5</v>
      </c>
      <c r="H760" s="41">
        <v>2995574000</v>
      </c>
      <c r="I760" s="42">
        <v>11665</v>
      </c>
    </row>
    <row r="761" spans="1:9" x14ac:dyDescent="0.25">
      <c r="A761" t="s">
        <v>9</v>
      </c>
      <c r="B761" s="39">
        <v>46120</v>
      </c>
      <c r="C761" s="40">
        <v>0.625</v>
      </c>
      <c r="D761" s="41">
        <v>5120.5</v>
      </c>
      <c r="E761" s="41">
        <v>5134</v>
      </c>
      <c r="F761" s="41">
        <v>5120</v>
      </c>
      <c r="G761" s="41">
        <v>5133.5</v>
      </c>
      <c r="H761" s="41">
        <v>5554387750</v>
      </c>
      <c r="I761" s="42">
        <v>21670</v>
      </c>
    </row>
    <row r="762" spans="1:9" x14ac:dyDescent="0.25">
      <c r="A762" t="s">
        <v>9</v>
      </c>
      <c r="B762" s="39">
        <v>46120</v>
      </c>
      <c r="C762" s="40">
        <v>0.60416666666666663</v>
      </c>
      <c r="D762" s="41">
        <v>5122.5</v>
      </c>
      <c r="E762" s="41">
        <v>5125</v>
      </c>
      <c r="F762" s="41">
        <v>5118</v>
      </c>
      <c r="G762" s="41">
        <v>5119</v>
      </c>
      <c r="H762" s="41">
        <v>3627285625</v>
      </c>
      <c r="I762" s="42">
        <v>14165</v>
      </c>
    </row>
    <row r="763" spans="1:9" x14ac:dyDescent="0.25">
      <c r="A763" t="s">
        <v>9</v>
      </c>
      <c r="B763" s="39">
        <v>46120</v>
      </c>
      <c r="C763" s="40">
        <v>0.58333333333333337</v>
      </c>
      <c r="D763" s="41">
        <v>5116.5</v>
      </c>
      <c r="E763" s="41">
        <v>5125</v>
      </c>
      <c r="F763" s="41">
        <v>5113.5</v>
      </c>
      <c r="G763" s="41">
        <v>5122.5</v>
      </c>
      <c r="H763" s="41">
        <v>2384021750</v>
      </c>
      <c r="I763" s="42">
        <v>9315</v>
      </c>
    </row>
    <row r="764" spans="1:9" x14ac:dyDescent="0.25">
      <c r="A764" t="s">
        <v>9</v>
      </c>
      <c r="B764" s="39">
        <v>46120</v>
      </c>
      <c r="C764" s="40">
        <v>0.5625</v>
      </c>
      <c r="D764" s="41">
        <v>5125</v>
      </c>
      <c r="E764" s="41">
        <v>5126</v>
      </c>
      <c r="F764" s="41">
        <v>5116</v>
      </c>
      <c r="G764" s="41">
        <v>5116</v>
      </c>
      <c r="H764" s="41">
        <v>1305513375</v>
      </c>
      <c r="I764" s="42">
        <v>5100</v>
      </c>
    </row>
    <row r="765" spans="1:9" x14ac:dyDescent="0.25">
      <c r="A765" t="s">
        <v>9</v>
      </c>
      <c r="B765" s="39">
        <v>46120</v>
      </c>
      <c r="C765" s="40">
        <v>0.54166666666666663</v>
      </c>
      <c r="D765" s="41">
        <v>5118</v>
      </c>
      <c r="E765" s="41">
        <v>5126</v>
      </c>
      <c r="F765" s="41">
        <v>5116</v>
      </c>
      <c r="G765" s="41">
        <v>5125.5</v>
      </c>
      <c r="H765" s="41">
        <v>1448946750</v>
      </c>
      <c r="I765" s="42">
        <v>5660</v>
      </c>
    </row>
    <row r="766" spans="1:9" x14ac:dyDescent="0.25">
      <c r="A766" t="s">
        <v>9</v>
      </c>
      <c r="B766" s="39">
        <v>46120</v>
      </c>
      <c r="C766" s="40">
        <v>0.52083333333333337</v>
      </c>
      <c r="D766" s="41">
        <v>5125.5</v>
      </c>
      <c r="E766" s="41">
        <v>5125.5</v>
      </c>
      <c r="F766" s="41">
        <v>5115.5</v>
      </c>
      <c r="G766" s="41">
        <v>5117.5</v>
      </c>
      <c r="H766" s="41">
        <v>1518217125</v>
      </c>
      <c r="I766" s="42">
        <v>5930</v>
      </c>
    </row>
    <row r="767" spans="1:9" x14ac:dyDescent="0.25">
      <c r="A767" t="s">
        <v>9</v>
      </c>
      <c r="B767" s="39">
        <v>46120</v>
      </c>
      <c r="C767" s="40">
        <v>0.5</v>
      </c>
      <c r="D767" s="41">
        <v>5127</v>
      </c>
      <c r="E767" s="41">
        <v>5130</v>
      </c>
      <c r="F767" s="41">
        <v>5120.5</v>
      </c>
      <c r="G767" s="41">
        <v>5125</v>
      </c>
      <c r="H767" s="41">
        <v>3978542375</v>
      </c>
      <c r="I767" s="42">
        <v>15525</v>
      </c>
    </row>
    <row r="768" spans="1:9" x14ac:dyDescent="0.25">
      <c r="A768" t="s">
        <v>9</v>
      </c>
      <c r="B768" s="39">
        <v>46120</v>
      </c>
      <c r="C768" s="40">
        <v>0.47916666666666669</v>
      </c>
      <c r="D768" s="41">
        <v>5123</v>
      </c>
      <c r="E768" s="41">
        <v>5132.5</v>
      </c>
      <c r="F768" s="41">
        <v>5121.5</v>
      </c>
      <c r="G768" s="41">
        <v>5127</v>
      </c>
      <c r="H768" s="41">
        <v>5910978750</v>
      </c>
      <c r="I768" s="42">
        <v>23060</v>
      </c>
    </row>
    <row r="769" spans="1:9" x14ac:dyDescent="0.25">
      <c r="A769" t="s">
        <v>9</v>
      </c>
      <c r="B769" s="39">
        <v>46120</v>
      </c>
      <c r="C769" s="40">
        <v>0.45833333333333331</v>
      </c>
      <c r="D769" s="41">
        <v>5113</v>
      </c>
      <c r="E769" s="41">
        <v>5123.5</v>
      </c>
      <c r="F769" s="41">
        <v>5108.5</v>
      </c>
      <c r="G769" s="41">
        <v>5123.5</v>
      </c>
      <c r="H769" s="41">
        <v>4007590875</v>
      </c>
      <c r="I769" s="42">
        <v>15670</v>
      </c>
    </row>
    <row r="770" spans="1:9" x14ac:dyDescent="0.25">
      <c r="A770" t="s">
        <v>9</v>
      </c>
      <c r="B770" s="39">
        <v>46120</v>
      </c>
      <c r="C770" s="40">
        <v>0.4375</v>
      </c>
      <c r="D770" s="41">
        <v>5099.5</v>
      </c>
      <c r="E770" s="41">
        <v>5116</v>
      </c>
      <c r="F770" s="41">
        <v>5097.5</v>
      </c>
      <c r="G770" s="41">
        <v>5112.5</v>
      </c>
      <c r="H770" s="41">
        <v>5535993125</v>
      </c>
      <c r="I770" s="42">
        <v>21675</v>
      </c>
    </row>
    <row r="771" spans="1:9" x14ac:dyDescent="0.25">
      <c r="A771" t="s">
        <v>9</v>
      </c>
      <c r="B771" s="39">
        <v>46120</v>
      </c>
      <c r="C771" s="40">
        <v>0.41666666666666669</v>
      </c>
      <c r="D771" s="41">
        <v>5099.5</v>
      </c>
      <c r="E771" s="41">
        <v>5103</v>
      </c>
      <c r="F771" s="41">
        <v>5089</v>
      </c>
      <c r="G771" s="41">
        <v>5100</v>
      </c>
      <c r="H771" s="41">
        <v>7043632125</v>
      </c>
      <c r="I771" s="42">
        <v>27640</v>
      </c>
    </row>
    <row r="772" spans="1:9" x14ac:dyDescent="0.25">
      <c r="A772" t="s">
        <v>9</v>
      </c>
      <c r="B772" s="39">
        <v>46120</v>
      </c>
      <c r="C772" s="40">
        <v>0.39583333333333331</v>
      </c>
      <c r="D772" s="41">
        <v>5116</v>
      </c>
      <c r="E772" s="41">
        <v>5118</v>
      </c>
      <c r="F772" s="41">
        <v>5098.5</v>
      </c>
      <c r="G772" s="41">
        <v>5099</v>
      </c>
      <c r="H772" s="41">
        <v>3858195000</v>
      </c>
      <c r="I772" s="42">
        <v>15100</v>
      </c>
    </row>
    <row r="773" spans="1:9" x14ac:dyDescent="0.25">
      <c r="A773" t="s">
        <v>9</v>
      </c>
      <c r="B773" s="39">
        <v>46120</v>
      </c>
      <c r="C773" s="40">
        <v>0.375</v>
      </c>
      <c r="D773" s="41">
        <v>5118</v>
      </c>
      <c r="E773" s="41">
        <v>5125</v>
      </c>
      <c r="F773" s="41">
        <v>5094.5</v>
      </c>
      <c r="G773" s="41">
        <v>5116.5</v>
      </c>
      <c r="H773" s="41">
        <v>8626484375</v>
      </c>
      <c r="I773" s="42">
        <v>33735</v>
      </c>
    </row>
    <row r="774" spans="1:9" x14ac:dyDescent="0.25">
      <c r="A774" t="s">
        <v>9</v>
      </c>
      <c r="B774" s="39">
        <v>46119</v>
      </c>
      <c r="C774" s="40">
        <v>0.75</v>
      </c>
      <c r="D774" s="41">
        <v>5179.5</v>
      </c>
      <c r="E774" s="41">
        <v>5181</v>
      </c>
      <c r="F774" s="41">
        <v>5175</v>
      </c>
      <c r="G774" s="41">
        <v>5178.5</v>
      </c>
      <c r="H774" s="41">
        <v>379321125</v>
      </c>
      <c r="I774" s="42">
        <v>1465</v>
      </c>
    </row>
    <row r="775" spans="1:9" x14ac:dyDescent="0.25">
      <c r="A775" t="s">
        <v>9</v>
      </c>
      <c r="B775" s="39">
        <v>46119</v>
      </c>
      <c r="C775" s="40">
        <v>0.72916666666666663</v>
      </c>
      <c r="D775" s="41">
        <v>5178</v>
      </c>
      <c r="E775" s="41">
        <v>5181.5</v>
      </c>
      <c r="F775" s="41">
        <v>5175.5</v>
      </c>
      <c r="G775" s="41">
        <v>5180</v>
      </c>
      <c r="H775" s="41">
        <v>907662750</v>
      </c>
      <c r="I775" s="42">
        <v>3505</v>
      </c>
    </row>
    <row r="776" spans="1:9" x14ac:dyDescent="0.25">
      <c r="A776" t="s">
        <v>9</v>
      </c>
      <c r="B776" s="39">
        <v>46119</v>
      </c>
      <c r="C776" s="40">
        <v>0.70833333333333337</v>
      </c>
      <c r="D776" s="41">
        <v>5180.5</v>
      </c>
      <c r="E776" s="41">
        <v>5181</v>
      </c>
      <c r="F776" s="41">
        <v>5175</v>
      </c>
      <c r="G776" s="41">
        <v>5178</v>
      </c>
      <c r="H776" s="41">
        <v>1377303875</v>
      </c>
      <c r="I776" s="42">
        <v>5320</v>
      </c>
    </row>
    <row r="777" spans="1:9" x14ac:dyDescent="0.25">
      <c r="A777" t="s">
        <v>9</v>
      </c>
      <c r="B777" s="39">
        <v>46119</v>
      </c>
      <c r="C777" s="40">
        <v>0.6875</v>
      </c>
      <c r="D777" s="41">
        <v>5186.5</v>
      </c>
      <c r="E777" s="41">
        <v>5189.5</v>
      </c>
      <c r="F777" s="41">
        <v>5176.5</v>
      </c>
      <c r="G777" s="41">
        <v>5180</v>
      </c>
      <c r="H777" s="41">
        <v>2774727625</v>
      </c>
      <c r="I777" s="42">
        <v>10710</v>
      </c>
    </row>
    <row r="778" spans="1:9" x14ac:dyDescent="0.25">
      <c r="A778" t="s">
        <v>9</v>
      </c>
      <c r="B778" s="39">
        <v>46119</v>
      </c>
      <c r="C778" s="40">
        <v>0.66666666666666663</v>
      </c>
      <c r="D778" s="41">
        <v>5194</v>
      </c>
      <c r="E778" s="41">
        <v>5195</v>
      </c>
      <c r="F778" s="41">
        <v>5183</v>
      </c>
      <c r="G778" s="41">
        <v>5186.5</v>
      </c>
      <c r="H778" s="41">
        <v>3124251125</v>
      </c>
      <c r="I778" s="42">
        <v>12040</v>
      </c>
    </row>
    <row r="779" spans="1:9" x14ac:dyDescent="0.25">
      <c r="A779" t="s">
        <v>9</v>
      </c>
      <c r="B779" s="39">
        <v>46119</v>
      </c>
      <c r="C779" s="40">
        <v>0.64583333333333337</v>
      </c>
      <c r="D779" s="41">
        <v>5187.5</v>
      </c>
      <c r="E779" s="41">
        <v>5195</v>
      </c>
      <c r="F779" s="41">
        <v>5184</v>
      </c>
      <c r="G779" s="41">
        <v>5194.5</v>
      </c>
      <c r="H779" s="41">
        <v>3301026000</v>
      </c>
      <c r="I779" s="42">
        <v>12725</v>
      </c>
    </row>
    <row r="780" spans="1:9" x14ac:dyDescent="0.25">
      <c r="A780" t="s">
        <v>9</v>
      </c>
      <c r="B780" s="39">
        <v>46119</v>
      </c>
      <c r="C780" s="40">
        <v>0.625</v>
      </c>
      <c r="D780" s="41">
        <v>5187.5</v>
      </c>
      <c r="E780" s="41">
        <v>5190</v>
      </c>
      <c r="F780" s="41">
        <v>5185.5</v>
      </c>
      <c r="G780" s="41">
        <v>5187.5</v>
      </c>
      <c r="H780" s="41">
        <v>1431835625</v>
      </c>
      <c r="I780" s="42">
        <v>5520</v>
      </c>
    </row>
    <row r="781" spans="1:9" x14ac:dyDescent="0.25">
      <c r="A781" t="s">
        <v>9</v>
      </c>
      <c r="B781" s="39">
        <v>46119</v>
      </c>
      <c r="C781" s="40">
        <v>0.60416666666666663</v>
      </c>
      <c r="D781" s="41">
        <v>5195</v>
      </c>
      <c r="E781" s="41">
        <v>5195</v>
      </c>
      <c r="F781" s="41">
        <v>5187</v>
      </c>
      <c r="G781" s="41">
        <v>5187.5</v>
      </c>
      <c r="H781" s="41">
        <v>3434622875</v>
      </c>
      <c r="I781" s="42">
        <v>13235</v>
      </c>
    </row>
    <row r="782" spans="1:9" x14ac:dyDescent="0.25">
      <c r="A782" t="s">
        <v>9</v>
      </c>
      <c r="B782" s="39">
        <v>46119</v>
      </c>
      <c r="C782" s="40">
        <v>0.58333333333333337</v>
      </c>
      <c r="D782" s="41">
        <v>5198</v>
      </c>
      <c r="E782" s="41">
        <v>5199</v>
      </c>
      <c r="F782" s="41">
        <v>5192.5</v>
      </c>
      <c r="G782" s="41">
        <v>5195.5</v>
      </c>
      <c r="H782" s="41">
        <v>3205124000</v>
      </c>
      <c r="I782" s="42">
        <v>12340</v>
      </c>
    </row>
    <row r="783" spans="1:9" x14ac:dyDescent="0.25">
      <c r="A783" t="s">
        <v>9</v>
      </c>
      <c r="B783" s="39">
        <v>46119</v>
      </c>
      <c r="C783" s="40">
        <v>0.5625</v>
      </c>
      <c r="D783" s="41">
        <v>5192</v>
      </c>
      <c r="E783" s="41">
        <v>5198</v>
      </c>
      <c r="F783" s="41">
        <v>5189.5</v>
      </c>
      <c r="G783" s="41">
        <v>5197.5</v>
      </c>
      <c r="H783" s="41">
        <v>1595716250</v>
      </c>
      <c r="I783" s="42">
        <v>6145</v>
      </c>
    </row>
    <row r="784" spans="1:9" x14ac:dyDescent="0.25">
      <c r="A784" t="s">
        <v>9</v>
      </c>
      <c r="B784" s="39">
        <v>46119</v>
      </c>
      <c r="C784" s="40">
        <v>0.54166666666666663</v>
      </c>
      <c r="D784" s="41">
        <v>5186.5</v>
      </c>
      <c r="E784" s="41">
        <v>5195</v>
      </c>
      <c r="F784" s="41">
        <v>5180.5</v>
      </c>
      <c r="G784" s="41">
        <v>5191</v>
      </c>
      <c r="H784" s="41">
        <v>3000559000</v>
      </c>
      <c r="I784" s="42">
        <v>11565</v>
      </c>
    </row>
    <row r="785" spans="1:9" x14ac:dyDescent="0.25">
      <c r="A785" t="s">
        <v>9</v>
      </c>
      <c r="B785" s="39">
        <v>46119</v>
      </c>
      <c r="C785" s="40">
        <v>0.52083333333333337</v>
      </c>
      <c r="D785" s="41">
        <v>5186</v>
      </c>
      <c r="E785" s="41">
        <v>5191</v>
      </c>
      <c r="F785" s="41">
        <v>5184.5</v>
      </c>
      <c r="G785" s="41">
        <v>5187</v>
      </c>
      <c r="H785" s="41">
        <v>1399460625</v>
      </c>
      <c r="I785" s="42">
        <v>5395</v>
      </c>
    </row>
    <row r="786" spans="1:9" x14ac:dyDescent="0.25">
      <c r="A786" t="s">
        <v>9</v>
      </c>
      <c r="B786" s="39">
        <v>46119</v>
      </c>
      <c r="C786" s="40">
        <v>0.5</v>
      </c>
      <c r="D786" s="41">
        <v>5189</v>
      </c>
      <c r="E786" s="41">
        <v>5194.5</v>
      </c>
      <c r="F786" s="41">
        <v>5182.5</v>
      </c>
      <c r="G786" s="41">
        <v>5186.5</v>
      </c>
      <c r="H786" s="41">
        <v>2407807500</v>
      </c>
      <c r="I786" s="42">
        <v>9280</v>
      </c>
    </row>
    <row r="787" spans="1:9" x14ac:dyDescent="0.25">
      <c r="A787" t="s">
        <v>9</v>
      </c>
      <c r="B787" s="39">
        <v>46119</v>
      </c>
      <c r="C787" s="40">
        <v>0.47916666666666669</v>
      </c>
      <c r="D787" s="41">
        <v>5188.5</v>
      </c>
      <c r="E787" s="41">
        <v>5191</v>
      </c>
      <c r="F787" s="41">
        <v>5178</v>
      </c>
      <c r="G787" s="41">
        <v>5188.5</v>
      </c>
      <c r="H787" s="41">
        <v>3333611250</v>
      </c>
      <c r="I787" s="42">
        <v>12860</v>
      </c>
    </row>
    <row r="788" spans="1:9" x14ac:dyDescent="0.25">
      <c r="A788" t="s">
        <v>9</v>
      </c>
      <c r="B788" s="39">
        <v>46119</v>
      </c>
      <c r="C788" s="40">
        <v>0.45833333333333331</v>
      </c>
      <c r="D788" s="41">
        <v>5193</v>
      </c>
      <c r="E788" s="41">
        <v>5199</v>
      </c>
      <c r="F788" s="41">
        <v>5188</v>
      </c>
      <c r="G788" s="41">
        <v>5189</v>
      </c>
      <c r="H788" s="41">
        <v>2726939000</v>
      </c>
      <c r="I788" s="42">
        <v>10500</v>
      </c>
    </row>
    <row r="789" spans="1:9" x14ac:dyDescent="0.25">
      <c r="A789" t="s">
        <v>9</v>
      </c>
      <c r="B789" s="39">
        <v>46119</v>
      </c>
      <c r="C789" s="40">
        <v>0.4375</v>
      </c>
      <c r="D789" s="41">
        <v>5183.5</v>
      </c>
      <c r="E789" s="41">
        <v>5194.5</v>
      </c>
      <c r="F789" s="41">
        <v>5180</v>
      </c>
      <c r="G789" s="41">
        <v>5193</v>
      </c>
      <c r="H789" s="41">
        <v>3632597375</v>
      </c>
      <c r="I789" s="42">
        <v>14005</v>
      </c>
    </row>
    <row r="790" spans="1:9" x14ac:dyDescent="0.25">
      <c r="A790" t="s">
        <v>9</v>
      </c>
      <c r="B790" s="39">
        <v>46119</v>
      </c>
      <c r="C790" s="40">
        <v>0.41666666666666669</v>
      </c>
      <c r="D790" s="41">
        <v>5183</v>
      </c>
      <c r="E790" s="41">
        <v>5184.5</v>
      </c>
      <c r="F790" s="41">
        <v>5179</v>
      </c>
      <c r="G790" s="41">
        <v>5183.5</v>
      </c>
      <c r="H790" s="41">
        <v>3214988375</v>
      </c>
      <c r="I790" s="42">
        <v>12410</v>
      </c>
    </row>
    <row r="791" spans="1:9" x14ac:dyDescent="0.25">
      <c r="A791" t="s">
        <v>9</v>
      </c>
      <c r="B791" s="39">
        <v>46119</v>
      </c>
      <c r="C791" s="40">
        <v>0.39583333333333331</v>
      </c>
      <c r="D791" s="41">
        <v>5177</v>
      </c>
      <c r="E791" s="41">
        <v>5186.5</v>
      </c>
      <c r="F791" s="41">
        <v>5173</v>
      </c>
      <c r="G791" s="41">
        <v>5182.5</v>
      </c>
      <c r="H791" s="41">
        <v>2652465625</v>
      </c>
      <c r="I791" s="42">
        <v>10240</v>
      </c>
    </row>
    <row r="792" spans="1:9" x14ac:dyDescent="0.25">
      <c r="A792" t="s">
        <v>9</v>
      </c>
      <c r="B792" s="39">
        <v>46119</v>
      </c>
      <c r="C792" s="40">
        <v>0.375</v>
      </c>
      <c r="D792" s="41">
        <v>5168</v>
      </c>
      <c r="E792" s="41">
        <v>5183.5</v>
      </c>
      <c r="F792" s="41">
        <v>5161</v>
      </c>
      <c r="G792" s="41">
        <v>5177.5</v>
      </c>
      <c r="H792" s="41">
        <v>3658892000</v>
      </c>
      <c r="I792" s="42">
        <v>14150</v>
      </c>
    </row>
    <row r="793" spans="1:9" x14ac:dyDescent="0.25">
      <c r="A793" t="s">
        <v>9</v>
      </c>
      <c r="B793" s="39">
        <v>46118</v>
      </c>
      <c r="C793" s="40">
        <v>0.75</v>
      </c>
      <c r="D793" s="41">
        <v>5172</v>
      </c>
      <c r="E793" s="41">
        <v>5173.5</v>
      </c>
      <c r="F793" s="41">
        <v>5166.5</v>
      </c>
      <c r="G793" s="41">
        <v>5167</v>
      </c>
      <c r="H793" s="41">
        <v>793794500</v>
      </c>
      <c r="I793" s="42">
        <v>3070</v>
      </c>
    </row>
    <row r="794" spans="1:9" x14ac:dyDescent="0.25">
      <c r="A794" t="s">
        <v>9</v>
      </c>
      <c r="B794" s="39">
        <v>46118</v>
      </c>
      <c r="C794" s="40">
        <v>0.72916666666666663</v>
      </c>
      <c r="D794" s="41">
        <v>5172.5</v>
      </c>
      <c r="E794" s="41">
        <v>5173</v>
      </c>
      <c r="F794" s="41">
        <v>5171</v>
      </c>
      <c r="G794" s="41">
        <v>5172</v>
      </c>
      <c r="H794" s="41">
        <v>294813625</v>
      </c>
      <c r="I794" s="42">
        <v>1140</v>
      </c>
    </row>
    <row r="795" spans="1:9" x14ac:dyDescent="0.25">
      <c r="A795" t="s">
        <v>9</v>
      </c>
      <c r="B795" s="39">
        <v>46118</v>
      </c>
      <c r="C795" s="40">
        <v>0.70833333333333337</v>
      </c>
      <c r="D795" s="41">
        <v>5175</v>
      </c>
      <c r="E795" s="41">
        <v>5175.5</v>
      </c>
      <c r="F795" s="41">
        <v>5172</v>
      </c>
      <c r="G795" s="41">
        <v>5173</v>
      </c>
      <c r="H795" s="41">
        <v>1845909875</v>
      </c>
      <c r="I795" s="42">
        <v>7135</v>
      </c>
    </row>
    <row r="796" spans="1:9" x14ac:dyDescent="0.25">
      <c r="A796" t="s">
        <v>9</v>
      </c>
      <c r="B796" s="39">
        <v>46118</v>
      </c>
      <c r="C796" s="40">
        <v>0.6875</v>
      </c>
      <c r="D796" s="41">
        <v>5176</v>
      </c>
      <c r="E796" s="41">
        <v>5177</v>
      </c>
      <c r="F796" s="41">
        <v>5173.5</v>
      </c>
      <c r="G796" s="41">
        <v>5175</v>
      </c>
      <c r="H796" s="41">
        <v>2495906750</v>
      </c>
      <c r="I796" s="42">
        <v>9645</v>
      </c>
    </row>
    <row r="797" spans="1:9" x14ac:dyDescent="0.25">
      <c r="A797" t="s">
        <v>9</v>
      </c>
      <c r="B797" s="39">
        <v>46118</v>
      </c>
      <c r="C797" s="40">
        <v>0.66666666666666663</v>
      </c>
      <c r="D797" s="41">
        <v>5173</v>
      </c>
      <c r="E797" s="41">
        <v>5177</v>
      </c>
      <c r="F797" s="41">
        <v>5171</v>
      </c>
      <c r="G797" s="41">
        <v>5176</v>
      </c>
      <c r="H797" s="41">
        <v>1113887125</v>
      </c>
      <c r="I797" s="42">
        <v>4305</v>
      </c>
    </row>
    <row r="798" spans="1:9" x14ac:dyDescent="0.25">
      <c r="A798" t="s">
        <v>9</v>
      </c>
      <c r="B798" s="39">
        <v>46118</v>
      </c>
      <c r="C798" s="40">
        <v>0.64583333333333337</v>
      </c>
      <c r="D798" s="41">
        <v>5172</v>
      </c>
      <c r="E798" s="41">
        <v>5177</v>
      </c>
      <c r="F798" s="41">
        <v>5171.5</v>
      </c>
      <c r="G798" s="41">
        <v>5173.5</v>
      </c>
      <c r="H798" s="41">
        <v>2231286000</v>
      </c>
      <c r="I798" s="42">
        <v>8625</v>
      </c>
    </row>
    <row r="799" spans="1:9" x14ac:dyDescent="0.25">
      <c r="A799" t="s">
        <v>9</v>
      </c>
      <c r="B799" s="39">
        <v>46118</v>
      </c>
      <c r="C799" s="40">
        <v>0.625</v>
      </c>
      <c r="D799" s="41">
        <v>5181</v>
      </c>
      <c r="E799" s="41">
        <v>5182</v>
      </c>
      <c r="F799" s="41">
        <v>5171.5</v>
      </c>
      <c r="G799" s="41">
        <v>5172</v>
      </c>
      <c r="H799" s="41">
        <v>5703597500</v>
      </c>
      <c r="I799" s="42">
        <v>22040</v>
      </c>
    </row>
    <row r="800" spans="1:9" x14ac:dyDescent="0.25">
      <c r="A800" t="s">
        <v>9</v>
      </c>
      <c r="B800" s="39">
        <v>46118</v>
      </c>
      <c r="C800" s="40">
        <v>0.60416666666666663</v>
      </c>
      <c r="D800" s="41">
        <v>5178.5</v>
      </c>
      <c r="E800" s="41">
        <v>5182.5</v>
      </c>
      <c r="F800" s="41">
        <v>5177.5</v>
      </c>
      <c r="G800" s="41">
        <v>5180.5</v>
      </c>
      <c r="H800" s="41">
        <v>2034343250</v>
      </c>
      <c r="I800" s="42">
        <v>7855</v>
      </c>
    </row>
    <row r="801" spans="1:9" x14ac:dyDescent="0.25">
      <c r="A801" t="s">
        <v>9</v>
      </c>
      <c r="B801" s="39">
        <v>46118</v>
      </c>
      <c r="C801" s="40">
        <v>0.58333333333333337</v>
      </c>
      <c r="D801" s="41">
        <v>5182</v>
      </c>
      <c r="E801" s="41">
        <v>5188</v>
      </c>
      <c r="F801" s="41">
        <v>5178</v>
      </c>
      <c r="G801" s="41">
        <v>5178.5</v>
      </c>
      <c r="H801" s="41">
        <v>4207116250</v>
      </c>
      <c r="I801" s="42">
        <v>16235</v>
      </c>
    </row>
    <row r="802" spans="1:9" x14ac:dyDescent="0.25">
      <c r="A802" t="s">
        <v>9</v>
      </c>
      <c r="B802" s="39">
        <v>46118</v>
      </c>
      <c r="C802" s="40">
        <v>0.5625</v>
      </c>
      <c r="D802" s="41">
        <v>5182</v>
      </c>
      <c r="E802" s="41">
        <v>5183.5</v>
      </c>
      <c r="F802" s="41">
        <v>5179</v>
      </c>
      <c r="G802" s="41">
        <v>5182</v>
      </c>
      <c r="H802" s="41">
        <v>1461012375</v>
      </c>
      <c r="I802" s="42">
        <v>5640</v>
      </c>
    </row>
    <row r="803" spans="1:9" x14ac:dyDescent="0.25">
      <c r="A803" t="s">
        <v>9</v>
      </c>
      <c r="B803" s="39">
        <v>46118</v>
      </c>
      <c r="C803" s="40">
        <v>0.54166666666666663</v>
      </c>
      <c r="D803" s="41">
        <v>5182</v>
      </c>
      <c r="E803" s="41">
        <v>5182.5</v>
      </c>
      <c r="F803" s="41">
        <v>5178</v>
      </c>
      <c r="G803" s="41">
        <v>5182</v>
      </c>
      <c r="H803" s="41">
        <v>1641006000</v>
      </c>
      <c r="I803" s="42">
        <v>6335</v>
      </c>
    </row>
    <row r="804" spans="1:9" x14ac:dyDescent="0.25">
      <c r="A804" t="s">
        <v>9</v>
      </c>
      <c r="B804" s="39">
        <v>46118</v>
      </c>
      <c r="C804" s="40">
        <v>0.52083333333333337</v>
      </c>
      <c r="D804" s="41">
        <v>5181.5</v>
      </c>
      <c r="E804" s="41">
        <v>5183.5</v>
      </c>
      <c r="F804" s="41">
        <v>5178.5</v>
      </c>
      <c r="G804" s="41">
        <v>5182</v>
      </c>
      <c r="H804" s="41">
        <v>1111257750</v>
      </c>
      <c r="I804" s="42">
        <v>4290</v>
      </c>
    </row>
    <row r="805" spans="1:9" x14ac:dyDescent="0.25">
      <c r="A805" t="s">
        <v>9</v>
      </c>
      <c r="B805" s="39">
        <v>46118</v>
      </c>
      <c r="C805" s="40">
        <v>0.5</v>
      </c>
      <c r="D805" s="41">
        <v>5182</v>
      </c>
      <c r="E805" s="41">
        <v>5187.5</v>
      </c>
      <c r="F805" s="41">
        <v>5179.5</v>
      </c>
      <c r="G805" s="41">
        <v>5181.5</v>
      </c>
      <c r="H805" s="41">
        <v>2629239250</v>
      </c>
      <c r="I805" s="42">
        <v>10145</v>
      </c>
    </row>
    <row r="806" spans="1:9" x14ac:dyDescent="0.25">
      <c r="A806" t="s">
        <v>9</v>
      </c>
      <c r="B806" s="39">
        <v>46118</v>
      </c>
      <c r="C806" s="40">
        <v>0.47916666666666669</v>
      </c>
      <c r="D806" s="41">
        <v>5170.5</v>
      </c>
      <c r="E806" s="41">
        <v>5183.5</v>
      </c>
      <c r="F806" s="41">
        <v>5167.5</v>
      </c>
      <c r="G806" s="41">
        <v>5181.5</v>
      </c>
      <c r="H806" s="41">
        <v>4515829125</v>
      </c>
      <c r="I806" s="42">
        <v>17450</v>
      </c>
    </row>
    <row r="807" spans="1:9" x14ac:dyDescent="0.25">
      <c r="A807" t="s">
        <v>9</v>
      </c>
      <c r="B807" s="39">
        <v>46118</v>
      </c>
      <c r="C807" s="40">
        <v>0.45833333333333331</v>
      </c>
      <c r="D807" s="41">
        <v>5177.5</v>
      </c>
      <c r="E807" s="41">
        <v>5183.5</v>
      </c>
      <c r="F807" s="41">
        <v>5170.5</v>
      </c>
      <c r="G807" s="41">
        <v>5170.5</v>
      </c>
      <c r="H807" s="41">
        <v>2709211875</v>
      </c>
      <c r="I807" s="42">
        <v>10465</v>
      </c>
    </row>
    <row r="808" spans="1:9" x14ac:dyDescent="0.25">
      <c r="A808" t="s">
        <v>9</v>
      </c>
      <c r="B808" s="39">
        <v>46118</v>
      </c>
      <c r="C808" s="40">
        <v>0.4375</v>
      </c>
      <c r="D808" s="41">
        <v>5177</v>
      </c>
      <c r="E808" s="41">
        <v>5179.5</v>
      </c>
      <c r="F808" s="41">
        <v>5172</v>
      </c>
      <c r="G808" s="41">
        <v>5177.5</v>
      </c>
      <c r="H808" s="41">
        <v>3201548125</v>
      </c>
      <c r="I808" s="42">
        <v>12370</v>
      </c>
    </row>
    <row r="809" spans="1:9" x14ac:dyDescent="0.25">
      <c r="A809" t="s">
        <v>9</v>
      </c>
      <c r="B809" s="39">
        <v>46118</v>
      </c>
      <c r="C809" s="40">
        <v>0.41666666666666669</v>
      </c>
      <c r="D809" s="41">
        <v>5180.5</v>
      </c>
      <c r="E809" s="41">
        <v>5187.5</v>
      </c>
      <c r="F809" s="41">
        <v>5176</v>
      </c>
      <c r="G809" s="41">
        <v>5178.5</v>
      </c>
      <c r="H809" s="41">
        <v>5192839500</v>
      </c>
      <c r="I809" s="42">
        <v>20045</v>
      </c>
    </row>
    <row r="810" spans="1:9" x14ac:dyDescent="0.25">
      <c r="A810" t="s">
        <v>9</v>
      </c>
      <c r="B810" s="39">
        <v>46118</v>
      </c>
      <c r="C810" s="40">
        <v>0.39583333333333331</v>
      </c>
      <c r="D810" s="41">
        <v>5181.5</v>
      </c>
      <c r="E810" s="41">
        <v>5186</v>
      </c>
      <c r="F810" s="41">
        <v>5177</v>
      </c>
      <c r="G810" s="41">
        <v>5180</v>
      </c>
      <c r="H810" s="41">
        <v>2822799000</v>
      </c>
      <c r="I810" s="42">
        <v>10895</v>
      </c>
    </row>
    <row r="811" spans="1:9" x14ac:dyDescent="0.25">
      <c r="A811" t="s">
        <v>9</v>
      </c>
      <c r="B811" s="39">
        <v>46118</v>
      </c>
      <c r="C811" s="40">
        <v>0.375</v>
      </c>
      <c r="D811" s="41">
        <v>5184.5</v>
      </c>
      <c r="E811" s="41">
        <v>5187</v>
      </c>
      <c r="F811" s="41">
        <v>5176.5</v>
      </c>
      <c r="G811" s="41">
        <v>5181.5</v>
      </c>
      <c r="H811" s="41">
        <v>2642632000</v>
      </c>
      <c r="I811" s="42">
        <v>10200</v>
      </c>
    </row>
    <row r="812" spans="1:9" x14ac:dyDescent="0.25">
      <c r="A812" t="s">
        <v>9</v>
      </c>
      <c r="B812" s="39">
        <v>46114</v>
      </c>
      <c r="C812" s="40">
        <v>0.75</v>
      </c>
      <c r="D812" s="41">
        <v>5187.5</v>
      </c>
      <c r="E812" s="41">
        <v>5194</v>
      </c>
      <c r="F812" s="41">
        <v>5186.5</v>
      </c>
      <c r="G812" s="41">
        <v>5192</v>
      </c>
      <c r="H812" s="41">
        <v>578649375</v>
      </c>
      <c r="I812" s="42">
        <v>2230</v>
      </c>
    </row>
    <row r="813" spans="1:9" x14ac:dyDescent="0.25">
      <c r="A813" t="s">
        <v>9</v>
      </c>
      <c r="B813" s="39">
        <v>46114</v>
      </c>
      <c r="C813" s="40">
        <v>0.72916666666666663</v>
      </c>
      <c r="D813" s="41">
        <v>5188.5</v>
      </c>
      <c r="E813" s="41">
        <v>5188.5</v>
      </c>
      <c r="F813" s="41">
        <v>5185.5</v>
      </c>
      <c r="G813" s="41">
        <v>5188</v>
      </c>
      <c r="H813" s="41">
        <v>552435125</v>
      </c>
      <c r="I813" s="42">
        <v>2130</v>
      </c>
    </row>
    <row r="814" spans="1:9" x14ac:dyDescent="0.25">
      <c r="A814" t="s">
        <v>9</v>
      </c>
      <c r="B814" s="39">
        <v>46114</v>
      </c>
      <c r="C814" s="40">
        <v>0.70833333333333337</v>
      </c>
      <c r="D814" s="41">
        <v>5189</v>
      </c>
      <c r="E814" s="41">
        <v>5190</v>
      </c>
      <c r="F814" s="41">
        <v>5187</v>
      </c>
      <c r="G814" s="41">
        <v>5188.5</v>
      </c>
      <c r="H814" s="41">
        <v>6713006250</v>
      </c>
      <c r="I814" s="42">
        <v>25875</v>
      </c>
    </row>
    <row r="815" spans="1:9" x14ac:dyDescent="0.25">
      <c r="A815" t="s">
        <v>9</v>
      </c>
      <c r="B815" s="39">
        <v>46114</v>
      </c>
      <c r="C815" s="40">
        <v>0.6875</v>
      </c>
      <c r="D815" s="41">
        <v>5192</v>
      </c>
      <c r="E815" s="41">
        <v>5194</v>
      </c>
      <c r="F815" s="41">
        <v>5188</v>
      </c>
      <c r="G815" s="41">
        <v>5188.5</v>
      </c>
      <c r="H815" s="41">
        <v>1400548375</v>
      </c>
      <c r="I815" s="42">
        <v>5395</v>
      </c>
    </row>
    <row r="816" spans="1:9" x14ac:dyDescent="0.25">
      <c r="A816" t="s">
        <v>9</v>
      </c>
      <c r="B816" s="39">
        <v>46114</v>
      </c>
      <c r="C816" s="40">
        <v>0.66666666666666663</v>
      </c>
      <c r="D816" s="41">
        <v>5189.5</v>
      </c>
      <c r="E816" s="41">
        <v>5192.5</v>
      </c>
      <c r="F816" s="41">
        <v>5185</v>
      </c>
      <c r="G816" s="41">
        <v>5191.5</v>
      </c>
      <c r="H816" s="41">
        <v>1799314625</v>
      </c>
      <c r="I816" s="42">
        <v>6935</v>
      </c>
    </row>
    <row r="817" spans="1:9" x14ac:dyDescent="0.25">
      <c r="A817" t="s">
        <v>9</v>
      </c>
      <c r="B817" s="39">
        <v>46114</v>
      </c>
      <c r="C817" s="40">
        <v>0.64583333333333337</v>
      </c>
      <c r="D817" s="41">
        <v>5194</v>
      </c>
      <c r="E817" s="41">
        <v>5196</v>
      </c>
      <c r="F817" s="41">
        <v>5186</v>
      </c>
      <c r="G817" s="41">
        <v>5189.5</v>
      </c>
      <c r="H817" s="41">
        <v>3465979750</v>
      </c>
      <c r="I817" s="42">
        <v>13355</v>
      </c>
    </row>
    <row r="818" spans="1:9" x14ac:dyDescent="0.25">
      <c r="A818" t="s">
        <v>9</v>
      </c>
      <c r="B818" s="39">
        <v>46114</v>
      </c>
      <c r="C818" s="40">
        <v>0.625</v>
      </c>
      <c r="D818" s="41">
        <v>5191</v>
      </c>
      <c r="E818" s="41">
        <v>5195</v>
      </c>
      <c r="F818" s="41">
        <v>5185.5</v>
      </c>
      <c r="G818" s="41">
        <v>5193.5</v>
      </c>
      <c r="H818" s="41">
        <v>2140973375</v>
      </c>
      <c r="I818" s="42">
        <v>8250</v>
      </c>
    </row>
    <row r="819" spans="1:9" x14ac:dyDescent="0.25">
      <c r="A819" t="s">
        <v>9</v>
      </c>
      <c r="B819" s="39">
        <v>46114</v>
      </c>
      <c r="C819" s="40">
        <v>0.60416666666666663</v>
      </c>
      <c r="D819" s="41">
        <v>5186</v>
      </c>
      <c r="E819" s="41">
        <v>5192.5</v>
      </c>
      <c r="F819" s="41">
        <v>5185</v>
      </c>
      <c r="G819" s="41">
        <v>5191</v>
      </c>
      <c r="H819" s="41">
        <v>2661020750</v>
      </c>
      <c r="I819" s="42">
        <v>10255</v>
      </c>
    </row>
    <row r="820" spans="1:9" x14ac:dyDescent="0.25">
      <c r="A820" t="s">
        <v>9</v>
      </c>
      <c r="B820" s="39">
        <v>46114</v>
      </c>
      <c r="C820" s="40">
        <v>0.58333333333333337</v>
      </c>
      <c r="D820" s="41">
        <v>5192.5</v>
      </c>
      <c r="E820" s="41">
        <v>5194.5</v>
      </c>
      <c r="F820" s="41">
        <v>5184</v>
      </c>
      <c r="G820" s="41">
        <v>5186</v>
      </c>
      <c r="H820" s="41">
        <v>2004134625</v>
      </c>
      <c r="I820" s="42">
        <v>7725</v>
      </c>
    </row>
    <row r="821" spans="1:9" x14ac:dyDescent="0.25">
      <c r="A821" t="s">
        <v>9</v>
      </c>
      <c r="B821" s="39">
        <v>46114</v>
      </c>
      <c r="C821" s="40">
        <v>0.5625</v>
      </c>
      <c r="D821" s="41">
        <v>5190</v>
      </c>
      <c r="E821" s="41">
        <v>5192.5</v>
      </c>
      <c r="F821" s="41">
        <v>5186.5</v>
      </c>
      <c r="G821" s="41">
        <v>5191.5</v>
      </c>
      <c r="H821" s="41">
        <v>1694034625</v>
      </c>
      <c r="I821" s="42">
        <v>6530</v>
      </c>
    </row>
    <row r="822" spans="1:9" x14ac:dyDescent="0.25">
      <c r="A822" t="s">
        <v>9</v>
      </c>
      <c r="B822" s="39">
        <v>46114</v>
      </c>
      <c r="C822" s="40">
        <v>0.54166666666666663</v>
      </c>
      <c r="D822" s="41">
        <v>5189</v>
      </c>
      <c r="E822" s="41">
        <v>5194</v>
      </c>
      <c r="F822" s="41">
        <v>5188</v>
      </c>
      <c r="G822" s="41">
        <v>5190</v>
      </c>
      <c r="H822" s="41">
        <v>1166525625</v>
      </c>
      <c r="I822" s="42">
        <v>4495</v>
      </c>
    </row>
    <row r="823" spans="1:9" x14ac:dyDescent="0.25">
      <c r="A823" t="s">
        <v>9</v>
      </c>
      <c r="B823" s="39">
        <v>46114</v>
      </c>
      <c r="C823" s="40">
        <v>0.52083333333333337</v>
      </c>
      <c r="D823" s="41">
        <v>5182</v>
      </c>
      <c r="E823" s="41">
        <v>5190</v>
      </c>
      <c r="F823" s="41">
        <v>5180</v>
      </c>
      <c r="G823" s="41">
        <v>5190</v>
      </c>
      <c r="H823" s="41">
        <v>2999426375</v>
      </c>
      <c r="I823" s="42">
        <v>11570</v>
      </c>
    </row>
    <row r="824" spans="1:9" x14ac:dyDescent="0.25">
      <c r="A824" t="s">
        <v>9</v>
      </c>
      <c r="B824" s="39">
        <v>46114</v>
      </c>
      <c r="C824" s="40">
        <v>0.5</v>
      </c>
      <c r="D824" s="41">
        <v>5187.5</v>
      </c>
      <c r="E824" s="41">
        <v>5190.5</v>
      </c>
      <c r="F824" s="41">
        <v>5180.5</v>
      </c>
      <c r="G824" s="41">
        <v>5182.5</v>
      </c>
      <c r="H824" s="41">
        <v>6460130500</v>
      </c>
      <c r="I824" s="42">
        <v>24910</v>
      </c>
    </row>
    <row r="825" spans="1:9" x14ac:dyDescent="0.25">
      <c r="A825" t="s">
        <v>9</v>
      </c>
      <c r="B825" s="39">
        <v>46114</v>
      </c>
      <c r="C825" s="40">
        <v>0.47916666666666669</v>
      </c>
      <c r="D825" s="41">
        <v>5196</v>
      </c>
      <c r="E825" s="41">
        <v>5196</v>
      </c>
      <c r="F825" s="41">
        <v>5169.5</v>
      </c>
      <c r="G825" s="41">
        <v>5187.5</v>
      </c>
      <c r="H825" s="41">
        <v>7820157125</v>
      </c>
      <c r="I825" s="42">
        <v>30185</v>
      </c>
    </row>
    <row r="826" spans="1:9" x14ac:dyDescent="0.25">
      <c r="A826" t="s">
        <v>9</v>
      </c>
      <c r="B826" s="39">
        <v>46114</v>
      </c>
      <c r="C826" s="40">
        <v>0.45833333333333331</v>
      </c>
      <c r="D826" s="41">
        <v>5190</v>
      </c>
      <c r="E826" s="41">
        <v>5198</v>
      </c>
      <c r="F826" s="41">
        <v>5189</v>
      </c>
      <c r="G826" s="41">
        <v>5195.5</v>
      </c>
      <c r="H826" s="41">
        <v>4626303375</v>
      </c>
      <c r="I826" s="42">
        <v>17820</v>
      </c>
    </row>
    <row r="827" spans="1:9" x14ac:dyDescent="0.25">
      <c r="A827" t="s">
        <v>9</v>
      </c>
      <c r="B827" s="39">
        <v>46114</v>
      </c>
      <c r="C827" s="40">
        <v>0.4375</v>
      </c>
      <c r="D827" s="41">
        <v>5200.5</v>
      </c>
      <c r="E827" s="41">
        <v>5202.5</v>
      </c>
      <c r="F827" s="41">
        <v>5186</v>
      </c>
      <c r="G827" s="41">
        <v>5190.5</v>
      </c>
      <c r="H827" s="41">
        <v>4513117375</v>
      </c>
      <c r="I827" s="42">
        <v>17380</v>
      </c>
    </row>
    <row r="828" spans="1:9" x14ac:dyDescent="0.25">
      <c r="A828" t="s">
        <v>9</v>
      </c>
      <c r="B828" s="39">
        <v>46114</v>
      </c>
      <c r="C828" s="40">
        <v>0.41666666666666669</v>
      </c>
      <c r="D828" s="41">
        <v>5207.5</v>
      </c>
      <c r="E828" s="41">
        <v>5215</v>
      </c>
      <c r="F828" s="41">
        <v>5198.5</v>
      </c>
      <c r="G828" s="41">
        <v>5201</v>
      </c>
      <c r="H828" s="41">
        <v>3166515750</v>
      </c>
      <c r="I828" s="42">
        <v>12160</v>
      </c>
    </row>
    <row r="829" spans="1:9" x14ac:dyDescent="0.25">
      <c r="A829" t="s">
        <v>9</v>
      </c>
      <c r="B829" s="39">
        <v>46114</v>
      </c>
      <c r="C829" s="40">
        <v>0.39583333333333331</v>
      </c>
      <c r="D829" s="41">
        <v>5212.5</v>
      </c>
      <c r="E829" s="41">
        <v>5212.5</v>
      </c>
      <c r="F829" s="41">
        <v>5200.5</v>
      </c>
      <c r="G829" s="41">
        <v>5208</v>
      </c>
      <c r="H829" s="41">
        <v>3820594250</v>
      </c>
      <c r="I829" s="42">
        <v>14675</v>
      </c>
    </row>
    <row r="830" spans="1:9" x14ac:dyDescent="0.25">
      <c r="A830" t="s">
        <v>9</v>
      </c>
      <c r="B830" s="39">
        <v>46114</v>
      </c>
      <c r="C830" s="40">
        <v>0.375</v>
      </c>
      <c r="D830" s="41">
        <v>5220</v>
      </c>
      <c r="E830" s="41">
        <v>5225</v>
      </c>
      <c r="F830" s="41">
        <v>5209</v>
      </c>
      <c r="G830" s="41">
        <v>5212</v>
      </c>
      <c r="H830" s="41">
        <v>3642753750</v>
      </c>
      <c r="I830" s="42">
        <v>13970</v>
      </c>
    </row>
    <row r="831" spans="1:9" x14ac:dyDescent="0.25">
      <c r="A831" t="s">
        <v>9</v>
      </c>
      <c r="B831" s="39">
        <v>46113</v>
      </c>
      <c r="C831" s="40">
        <v>0.75</v>
      </c>
      <c r="D831" s="41">
        <v>5187</v>
      </c>
      <c r="E831" s="41">
        <v>5188.5</v>
      </c>
      <c r="F831" s="41">
        <v>5184.5</v>
      </c>
      <c r="G831" s="41">
        <v>5188</v>
      </c>
      <c r="H831" s="41">
        <v>180232500</v>
      </c>
      <c r="I831" s="42">
        <v>695</v>
      </c>
    </row>
    <row r="832" spans="1:9" x14ac:dyDescent="0.25">
      <c r="A832" t="s">
        <v>9</v>
      </c>
      <c r="B832" s="39">
        <v>46113</v>
      </c>
      <c r="C832" s="40">
        <v>0.72916666666666663</v>
      </c>
      <c r="D832" s="41">
        <v>5184.5</v>
      </c>
      <c r="E832" s="41">
        <v>5187.5</v>
      </c>
      <c r="F832" s="41">
        <v>5184.5</v>
      </c>
      <c r="G832" s="41">
        <v>5187</v>
      </c>
      <c r="H832" s="41">
        <v>1394854750</v>
      </c>
      <c r="I832" s="42">
        <v>5380</v>
      </c>
    </row>
    <row r="833" spans="1:9" x14ac:dyDescent="0.25">
      <c r="A833" t="s">
        <v>9</v>
      </c>
      <c r="B833" s="39">
        <v>46113</v>
      </c>
      <c r="C833" s="40">
        <v>0.70833333333333337</v>
      </c>
      <c r="D833" s="41">
        <v>5189</v>
      </c>
      <c r="E833" s="41">
        <v>5189.5</v>
      </c>
      <c r="F833" s="41">
        <v>5182</v>
      </c>
      <c r="G833" s="41">
        <v>5184.5</v>
      </c>
      <c r="H833" s="41">
        <v>1613918125</v>
      </c>
      <c r="I833" s="42">
        <v>6225</v>
      </c>
    </row>
    <row r="834" spans="1:9" x14ac:dyDescent="0.25">
      <c r="A834" t="s">
        <v>9</v>
      </c>
      <c r="B834" s="39">
        <v>46113</v>
      </c>
      <c r="C834" s="40">
        <v>0.6875</v>
      </c>
      <c r="D834" s="41">
        <v>5189.5</v>
      </c>
      <c r="E834" s="41">
        <v>5190.5</v>
      </c>
      <c r="F834" s="41">
        <v>5185</v>
      </c>
      <c r="G834" s="41">
        <v>5189.5</v>
      </c>
      <c r="H834" s="41">
        <v>4748262500</v>
      </c>
      <c r="I834" s="42">
        <v>18305</v>
      </c>
    </row>
    <row r="835" spans="1:9" x14ac:dyDescent="0.25">
      <c r="A835" t="s">
        <v>9</v>
      </c>
      <c r="B835" s="39">
        <v>46113</v>
      </c>
      <c r="C835" s="40">
        <v>0.66666666666666663</v>
      </c>
      <c r="D835" s="41">
        <v>5192</v>
      </c>
      <c r="E835" s="41">
        <v>5196.5</v>
      </c>
      <c r="F835" s="41">
        <v>5188.5</v>
      </c>
      <c r="G835" s="41">
        <v>5189</v>
      </c>
      <c r="H835" s="41">
        <v>2729363500</v>
      </c>
      <c r="I835" s="42">
        <v>10515</v>
      </c>
    </row>
    <row r="836" spans="1:9" x14ac:dyDescent="0.25">
      <c r="A836" t="s">
        <v>9</v>
      </c>
      <c r="B836" s="39">
        <v>46113</v>
      </c>
      <c r="C836" s="40">
        <v>0.64583333333333337</v>
      </c>
      <c r="D836" s="41">
        <v>5194</v>
      </c>
      <c r="E836" s="41">
        <v>5195</v>
      </c>
      <c r="F836" s="41">
        <v>5185</v>
      </c>
      <c r="G836" s="41">
        <v>5191.5</v>
      </c>
      <c r="H836" s="41">
        <v>2731192750</v>
      </c>
      <c r="I836" s="42">
        <v>10525</v>
      </c>
    </row>
    <row r="837" spans="1:9" x14ac:dyDescent="0.25">
      <c r="A837" t="s">
        <v>9</v>
      </c>
      <c r="B837" s="39">
        <v>46113</v>
      </c>
      <c r="C837" s="40">
        <v>0.625</v>
      </c>
      <c r="D837" s="41">
        <v>5187.5</v>
      </c>
      <c r="E837" s="41">
        <v>5196</v>
      </c>
      <c r="F837" s="41">
        <v>5186.5</v>
      </c>
      <c r="G837" s="41">
        <v>5194</v>
      </c>
      <c r="H837" s="41">
        <v>6864078750</v>
      </c>
      <c r="I837" s="42">
        <v>26440</v>
      </c>
    </row>
    <row r="838" spans="1:9" x14ac:dyDescent="0.25">
      <c r="A838" t="s">
        <v>9</v>
      </c>
      <c r="B838" s="39">
        <v>46113</v>
      </c>
      <c r="C838" s="40">
        <v>0.60416666666666663</v>
      </c>
      <c r="D838" s="41">
        <v>5185</v>
      </c>
      <c r="E838" s="41">
        <v>5188</v>
      </c>
      <c r="F838" s="41">
        <v>5183</v>
      </c>
      <c r="G838" s="41">
        <v>5187</v>
      </c>
      <c r="H838" s="41">
        <v>2160858750</v>
      </c>
      <c r="I838" s="42">
        <v>8335</v>
      </c>
    </row>
    <row r="839" spans="1:9" x14ac:dyDescent="0.25">
      <c r="A839" t="s">
        <v>9</v>
      </c>
      <c r="B839" s="39">
        <v>46113</v>
      </c>
      <c r="C839" s="40">
        <v>0.58333333333333337</v>
      </c>
      <c r="D839" s="41">
        <v>5181</v>
      </c>
      <c r="E839" s="41">
        <v>5185.5</v>
      </c>
      <c r="F839" s="41">
        <v>5179.5</v>
      </c>
      <c r="G839" s="41">
        <v>5185</v>
      </c>
      <c r="H839" s="41">
        <v>1405788000</v>
      </c>
      <c r="I839" s="42">
        <v>5425</v>
      </c>
    </row>
    <row r="840" spans="1:9" x14ac:dyDescent="0.25">
      <c r="A840" t="s">
        <v>9</v>
      </c>
      <c r="B840" s="39">
        <v>46113</v>
      </c>
      <c r="C840" s="40">
        <v>0.5625</v>
      </c>
      <c r="D840" s="41">
        <v>5187</v>
      </c>
      <c r="E840" s="41">
        <v>5188.5</v>
      </c>
      <c r="F840" s="41">
        <v>5180</v>
      </c>
      <c r="G840" s="41">
        <v>5181.5</v>
      </c>
      <c r="H840" s="41">
        <v>1820668250</v>
      </c>
      <c r="I840" s="42">
        <v>7025</v>
      </c>
    </row>
    <row r="841" spans="1:9" x14ac:dyDescent="0.25">
      <c r="A841" t="s">
        <v>9</v>
      </c>
      <c r="B841" s="39">
        <v>46113</v>
      </c>
      <c r="C841" s="40">
        <v>0.54166666666666663</v>
      </c>
      <c r="D841" s="41">
        <v>5183</v>
      </c>
      <c r="E841" s="41">
        <v>5189</v>
      </c>
      <c r="F841" s="41">
        <v>5181.5</v>
      </c>
      <c r="G841" s="41">
        <v>5186.5</v>
      </c>
      <c r="H841" s="41">
        <v>2544741875</v>
      </c>
      <c r="I841" s="42">
        <v>9815</v>
      </c>
    </row>
    <row r="842" spans="1:9" x14ac:dyDescent="0.25">
      <c r="A842" t="s">
        <v>9</v>
      </c>
      <c r="B842" s="39">
        <v>46113</v>
      </c>
      <c r="C842" s="40">
        <v>0.52083333333333337</v>
      </c>
      <c r="D842" s="41">
        <v>5190</v>
      </c>
      <c r="E842" s="41">
        <v>5191.5</v>
      </c>
      <c r="F842" s="41">
        <v>5182.5</v>
      </c>
      <c r="G842" s="41">
        <v>5182.5</v>
      </c>
      <c r="H842" s="41">
        <v>1997019750</v>
      </c>
      <c r="I842" s="42">
        <v>7700</v>
      </c>
    </row>
    <row r="843" spans="1:9" x14ac:dyDescent="0.25">
      <c r="A843" t="s">
        <v>9</v>
      </c>
      <c r="B843" s="39">
        <v>46113</v>
      </c>
      <c r="C843" s="40">
        <v>0.5</v>
      </c>
      <c r="D843" s="41">
        <v>5185</v>
      </c>
      <c r="E843" s="41">
        <v>5190</v>
      </c>
      <c r="F843" s="41">
        <v>5181</v>
      </c>
      <c r="G843" s="41">
        <v>5189.5</v>
      </c>
      <c r="H843" s="41">
        <v>4259806375</v>
      </c>
      <c r="I843" s="42">
        <v>16430</v>
      </c>
    </row>
    <row r="844" spans="1:9" x14ac:dyDescent="0.25">
      <c r="A844" t="s">
        <v>9</v>
      </c>
      <c r="B844" s="39">
        <v>46113</v>
      </c>
      <c r="C844" s="40">
        <v>0.47916666666666669</v>
      </c>
      <c r="D844" s="41">
        <v>5191.5</v>
      </c>
      <c r="E844" s="41">
        <v>5196</v>
      </c>
      <c r="F844" s="41">
        <v>5183.5</v>
      </c>
      <c r="G844" s="41">
        <v>5186</v>
      </c>
      <c r="H844" s="41">
        <v>4144555625</v>
      </c>
      <c r="I844" s="42">
        <v>15970</v>
      </c>
    </row>
    <row r="845" spans="1:9" x14ac:dyDescent="0.25">
      <c r="A845" t="s">
        <v>9</v>
      </c>
      <c r="B845" s="39">
        <v>46113</v>
      </c>
      <c r="C845" s="40">
        <v>0.45833333333333331</v>
      </c>
      <c r="D845" s="41">
        <v>5200.5</v>
      </c>
      <c r="E845" s="41">
        <v>5206</v>
      </c>
      <c r="F845" s="41">
        <v>5190</v>
      </c>
      <c r="G845" s="41">
        <v>5192</v>
      </c>
      <c r="H845" s="41">
        <v>4913922750</v>
      </c>
      <c r="I845" s="42">
        <v>18905</v>
      </c>
    </row>
    <row r="846" spans="1:9" x14ac:dyDescent="0.25">
      <c r="A846" t="s">
        <v>9</v>
      </c>
      <c r="B846" s="39">
        <v>46113</v>
      </c>
      <c r="C846" s="40">
        <v>0.4375</v>
      </c>
      <c r="D846" s="41">
        <v>5201</v>
      </c>
      <c r="E846" s="41">
        <v>5209</v>
      </c>
      <c r="F846" s="41">
        <v>5193.5</v>
      </c>
      <c r="G846" s="41">
        <v>5201</v>
      </c>
      <c r="H846" s="41">
        <v>4431464375</v>
      </c>
      <c r="I846" s="42">
        <v>17045</v>
      </c>
    </row>
    <row r="847" spans="1:9" x14ac:dyDescent="0.25">
      <c r="A847" t="s">
        <v>9</v>
      </c>
      <c r="B847" s="39">
        <v>46113</v>
      </c>
      <c r="C847" s="40">
        <v>0.41666666666666669</v>
      </c>
      <c r="D847" s="41">
        <v>5202.5</v>
      </c>
      <c r="E847" s="41">
        <v>5207</v>
      </c>
      <c r="F847" s="41">
        <v>5194.5</v>
      </c>
      <c r="G847" s="41">
        <v>5201</v>
      </c>
      <c r="H847" s="41">
        <v>5285793000</v>
      </c>
      <c r="I847" s="42">
        <v>20325</v>
      </c>
    </row>
    <row r="848" spans="1:9" x14ac:dyDescent="0.25">
      <c r="A848" t="s">
        <v>9</v>
      </c>
      <c r="B848" s="39">
        <v>46113</v>
      </c>
      <c r="C848" s="40">
        <v>0.39583333333333331</v>
      </c>
      <c r="D848" s="41">
        <v>5193</v>
      </c>
      <c r="E848" s="41">
        <v>5206</v>
      </c>
      <c r="F848" s="41">
        <v>5182</v>
      </c>
      <c r="G848" s="41">
        <v>5202</v>
      </c>
      <c r="H848" s="41">
        <v>6186849375</v>
      </c>
      <c r="I848" s="42">
        <v>23820</v>
      </c>
    </row>
    <row r="849" spans="1:9" x14ac:dyDescent="0.25">
      <c r="A849" t="s">
        <v>9</v>
      </c>
      <c r="B849" s="39">
        <v>46113</v>
      </c>
      <c r="C849" s="40">
        <v>0.375</v>
      </c>
      <c r="D849" s="41">
        <v>5188</v>
      </c>
      <c r="E849" s="41">
        <v>5196</v>
      </c>
      <c r="F849" s="41">
        <v>5183</v>
      </c>
      <c r="G849" s="41">
        <v>5193.5</v>
      </c>
      <c r="H849" s="41">
        <v>4245975000</v>
      </c>
      <c r="I849" s="42">
        <v>16360</v>
      </c>
    </row>
    <row r="850" spans="1:9" x14ac:dyDescent="0.25">
      <c r="A850" t="s">
        <v>9</v>
      </c>
      <c r="B850" s="39">
        <v>46112</v>
      </c>
      <c r="C850" s="40">
        <v>0.75</v>
      </c>
      <c r="D850" s="41">
        <v>5214</v>
      </c>
      <c r="E850" s="41">
        <v>5215</v>
      </c>
      <c r="F850" s="41">
        <v>5208.5</v>
      </c>
      <c r="G850" s="41">
        <v>5209.5</v>
      </c>
      <c r="H850" s="41">
        <v>1415869000</v>
      </c>
      <c r="I850" s="42">
        <v>5435</v>
      </c>
    </row>
    <row r="851" spans="1:9" x14ac:dyDescent="0.25">
      <c r="A851" t="s">
        <v>9</v>
      </c>
      <c r="B851" s="39">
        <v>46112</v>
      </c>
      <c r="C851" s="40">
        <v>0.72916666666666663</v>
      </c>
      <c r="D851" s="41">
        <v>5216</v>
      </c>
      <c r="E851" s="41">
        <v>5217</v>
      </c>
      <c r="F851" s="41">
        <v>5208.5</v>
      </c>
      <c r="G851" s="41">
        <v>5214</v>
      </c>
      <c r="H851" s="41">
        <v>694713500</v>
      </c>
      <c r="I851" s="42">
        <v>2665</v>
      </c>
    </row>
    <row r="852" spans="1:9" x14ac:dyDescent="0.25">
      <c r="A852" t="s">
        <v>9</v>
      </c>
      <c r="B852" s="39">
        <v>46112</v>
      </c>
      <c r="C852" s="40">
        <v>0.70833333333333337</v>
      </c>
      <c r="D852" s="41">
        <v>5211</v>
      </c>
      <c r="E852" s="41">
        <v>5216.5</v>
      </c>
      <c r="F852" s="41">
        <v>5209</v>
      </c>
      <c r="G852" s="41">
        <v>5216.5</v>
      </c>
      <c r="H852" s="41">
        <v>2411974250</v>
      </c>
      <c r="I852" s="42">
        <v>9255</v>
      </c>
    </row>
    <row r="853" spans="1:9" x14ac:dyDescent="0.25">
      <c r="A853" t="s">
        <v>9</v>
      </c>
      <c r="B853" s="39">
        <v>46112</v>
      </c>
      <c r="C853" s="40">
        <v>0.6875</v>
      </c>
      <c r="D853" s="41">
        <v>5222</v>
      </c>
      <c r="E853" s="41">
        <v>5222</v>
      </c>
      <c r="F853" s="41">
        <v>5210</v>
      </c>
      <c r="G853" s="41">
        <v>5211</v>
      </c>
      <c r="H853" s="41">
        <v>2996105500</v>
      </c>
      <c r="I853" s="42">
        <v>11490</v>
      </c>
    </row>
    <row r="854" spans="1:9" x14ac:dyDescent="0.25">
      <c r="A854" t="s">
        <v>9</v>
      </c>
      <c r="B854" s="39">
        <v>46112</v>
      </c>
      <c r="C854" s="40">
        <v>0.66666666666666663</v>
      </c>
      <c r="D854" s="41">
        <v>5224</v>
      </c>
      <c r="E854" s="41">
        <v>5225.5</v>
      </c>
      <c r="F854" s="41">
        <v>5220.5</v>
      </c>
      <c r="G854" s="41">
        <v>5222.5</v>
      </c>
      <c r="H854" s="41">
        <v>4010261625</v>
      </c>
      <c r="I854" s="42">
        <v>15355</v>
      </c>
    </row>
    <row r="855" spans="1:9" x14ac:dyDescent="0.25">
      <c r="A855" t="s">
        <v>9</v>
      </c>
      <c r="B855" s="39">
        <v>46112</v>
      </c>
      <c r="C855" s="40">
        <v>0.64583333333333337</v>
      </c>
      <c r="D855" s="41">
        <v>5221</v>
      </c>
      <c r="E855" s="41">
        <v>5227</v>
      </c>
      <c r="F855" s="41">
        <v>5217.5</v>
      </c>
      <c r="G855" s="41">
        <v>5224.5</v>
      </c>
      <c r="H855" s="41">
        <v>6622407375</v>
      </c>
      <c r="I855" s="42">
        <v>25355</v>
      </c>
    </row>
    <row r="856" spans="1:9" x14ac:dyDescent="0.25">
      <c r="A856" t="s">
        <v>9</v>
      </c>
      <c r="B856" s="39">
        <v>46112</v>
      </c>
      <c r="C856" s="40">
        <v>0.625</v>
      </c>
      <c r="D856" s="41">
        <v>5222.5</v>
      </c>
      <c r="E856" s="41">
        <v>5223.5</v>
      </c>
      <c r="F856" s="41">
        <v>5216</v>
      </c>
      <c r="G856" s="41">
        <v>5220.5</v>
      </c>
      <c r="H856" s="41">
        <v>6204849750</v>
      </c>
      <c r="I856" s="42">
        <v>23775</v>
      </c>
    </row>
    <row r="857" spans="1:9" x14ac:dyDescent="0.25">
      <c r="A857" t="s">
        <v>9</v>
      </c>
      <c r="B857" s="39">
        <v>46112</v>
      </c>
      <c r="C857" s="40">
        <v>0.60416666666666663</v>
      </c>
      <c r="D857" s="41">
        <v>5219</v>
      </c>
      <c r="E857" s="41">
        <v>5225</v>
      </c>
      <c r="F857" s="41">
        <v>5214</v>
      </c>
      <c r="G857" s="41">
        <v>5223</v>
      </c>
      <c r="H857" s="41">
        <v>4350803375</v>
      </c>
      <c r="I857">
        <v>16670</v>
      </c>
    </row>
    <row r="858" spans="1:9" x14ac:dyDescent="0.25">
      <c r="A858" t="s">
        <v>9</v>
      </c>
      <c r="B858" s="39">
        <v>46112</v>
      </c>
      <c r="C858" s="40">
        <v>0.58333333333333337</v>
      </c>
      <c r="D858" s="41">
        <v>5226.5</v>
      </c>
      <c r="E858" s="41">
        <v>5228</v>
      </c>
      <c r="F858" s="41">
        <v>5213</v>
      </c>
      <c r="G858" s="41">
        <v>5219</v>
      </c>
      <c r="H858" s="41">
        <v>4759590500</v>
      </c>
      <c r="I858" s="42">
        <v>18235</v>
      </c>
    </row>
    <row r="859" spans="1:9" x14ac:dyDescent="0.25">
      <c r="A859" t="s">
        <v>9</v>
      </c>
      <c r="B859" s="39">
        <v>46112</v>
      </c>
      <c r="C859" s="40">
        <v>0.5625</v>
      </c>
      <c r="D859" s="41">
        <v>5244.5</v>
      </c>
      <c r="E859" s="41">
        <v>5244.5</v>
      </c>
      <c r="F859" s="41">
        <v>5217</v>
      </c>
      <c r="G859" s="41">
        <v>5227.5</v>
      </c>
      <c r="H859" s="41">
        <v>6386635250</v>
      </c>
      <c r="I859" s="42">
        <v>24435</v>
      </c>
    </row>
    <row r="860" spans="1:9" x14ac:dyDescent="0.25">
      <c r="A860" t="s">
        <v>9</v>
      </c>
      <c r="B860" s="39">
        <v>46112</v>
      </c>
      <c r="C860" s="40">
        <v>0.54166666666666663</v>
      </c>
      <c r="D860" s="41">
        <v>5245</v>
      </c>
      <c r="E860" s="41">
        <v>5247</v>
      </c>
      <c r="F860" s="41">
        <v>5239.5</v>
      </c>
      <c r="G860" s="41">
        <v>5243.5</v>
      </c>
      <c r="H860" s="41">
        <v>6055997250</v>
      </c>
      <c r="I860" s="42">
        <v>23100</v>
      </c>
    </row>
    <row r="861" spans="1:9" x14ac:dyDescent="0.25">
      <c r="A861" t="s">
        <v>9</v>
      </c>
      <c r="B861" s="39">
        <v>46112</v>
      </c>
      <c r="C861" s="40">
        <v>0.52083333333333337</v>
      </c>
      <c r="D861" s="41">
        <v>5244.5</v>
      </c>
      <c r="E861" s="41">
        <v>5250</v>
      </c>
      <c r="F861" s="41">
        <v>5241.5</v>
      </c>
      <c r="G861" s="41">
        <v>5244.5</v>
      </c>
      <c r="H861" s="41">
        <v>7211769125</v>
      </c>
      <c r="I861" s="42">
        <v>27495</v>
      </c>
    </row>
    <row r="862" spans="1:9" x14ac:dyDescent="0.25">
      <c r="A862" t="s">
        <v>9</v>
      </c>
      <c r="B862" s="39">
        <v>46112</v>
      </c>
      <c r="C862" s="40">
        <v>0.5</v>
      </c>
      <c r="D862" s="41">
        <v>5253.5</v>
      </c>
      <c r="E862" s="41">
        <v>5255</v>
      </c>
      <c r="F862" s="41">
        <v>5240.5</v>
      </c>
      <c r="G862" s="41">
        <v>5244.5</v>
      </c>
      <c r="H862" s="41">
        <v>5615885000</v>
      </c>
      <c r="I862" s="42">
        <v>21400</v>
      </c>
    </row>
    <row r="863" spans="1:9" x14ac:dyDescent="0.25">
      <c r="A863" t="s">
        <v>9</v>
      </c>
      <c r="B863" s="39">
        <v>46112</v>
      </c>
      <c r="C863" s="40">
        <v>0.47916666666666669</v>
      </c>
      <c r="D863" s="41">
        <v>5237.5</v>
      </c>
      <c r="E863" s="41">
        <v>5259.5</v>
      </c>
      <c r="F863" s="41">
        <v>5230</v>
      </c>
      <c r="G863" s="41">
        <v>5253.5</v>
      </c>
      <c r="H863" s="41">
        <v>10036584380</v>
      </c>
      <c r="I863" s="42">
        <v>38260</v>
      </c>
    </row>
    <row r="864" spans="1:9" x14ac:dyDescent="0.25">
      <c r="A864" t="s">
        <v>9</v>
      </c>
      <c r="B864" s="39">
        <v>46112</v>
      </c>
      <c r="C864" s="40">
        <v>0.45833333333333331</v>
      </c>
      <c r="D864" s="41">
        <v>5245.5</v>
      </c>
      <c r="E864" s="41">
        <v>5247</v>
      </c>
      <c r="F864" s="41">
        <v>5237</v>
      </c>
      <c r="G864" s="41">
        <v>5238</v>
      </c>
      <c r="H864" s="41">
        <v>13326665500</v>
      </c>
      <c r="I864" s="42">
        <v>50860</v>
      </c>
    </row>
    <row r="865" spans="1:9" x14ac:dyDescent="0.25">
      <c r="A865" t="s">
        <v>9</v>
      </c>
      <c r="B865" s="39">
        <v>46112</v>
      </c>
      <c r="C865" s="40">
        <v>0.4375</v>
      </c>
      <c r="D865" s="41">
        <v>5261.5</v>
      </c>
      <c r="E865" s="41">
        <v>5266.5</v>
      </c>
      <c r="F865" s="41">
        <v>5245.5</v>
      </c>
      <c r="G865" s="41">
        <v>5246.5</v>
      </c>
      <c r="H865" s="41">
        <v>7944902500</v>
      </c>
      <c r="I865" s="42">
        <v>30240</v>
      </c>
    </row>
    <row r="866" spans="1:9" x14ac:dyDescent="0.25">
      <c r="A866" t="s">
        <v>9</v>
      </c>
      <c r="B866" s="39">
        <v>46112</v>
      </c>
      <c r="C866" s="40">
        <v>0.41666666666666669</v>
      </c>
      <c r="D866" s="41">
        <v>5264.5</v>
      </c>
      <c r="E866" s="41">
        <v>5268</v>
      </c>
      <c r="F866" s="41">
        <v>5252</v>
      </c>
      <c r="G866" s="41">
        <v>5261.5</v>
      </c>
      <c r="H866" s="41">
        <v>6678669250</v>
      </c>
      <c r="I866" s="42">
        <v>25390</v>
      </c>
    </row>
    <row r="867" spans="1:9" x14ac:dyDescent="0.25">
      <c r="A867" t="s">
        <v>9</v>
      </c>
      <c r="B867" s="39">
        <v>46112</v>
      </c>
      <c r="C867" s="40">
        <v>0.39583333333333331</v>
      </c>
      <c r="D867" s="41">
        <v>5259.5</v>
      </c>
      <c r="E867" s="41">
        <v>5271.5</v>
      </c>
      <c r="F867" s="41">
        <v>5252</v>
      </c>
      <c r="G867" s="41">
        <v>5264.5</v>
      </c>
      <c r="H867" s="41">
        <v>6301908875</v>
      </c>
      <c r="I867" s="42">
        <v>23965</v>
      </c>
    </row>
    <row r="868" spans="1:9" x14ac:dyDescent="0.25">
      <c r="A868" t="s">
        <v>9</v>
      </c>
      <c r="B868" s="39">
        <v>46112</v>
      </c>
      <c r="C868" s="40">
        <v>0.375</v>
      </c>
      <c r="D868" s="41">
        <v>5260</v>
      </c>
      <c r="E868" s="41">
        <v>5269</v>
      </c>
      <c r="F868" s="41">
        <v>5252.5</v>
      </c>
      <c r="G868" s="41">
        <v>5260</v>
      </c>
      <c r="H868" s="41">
        <v>7863567375</v>
      </c>
      <c r="I868" s="42">
        <v>29900</v>
      </c>
    </row>
    <row r="869" spans="1:9" x14ac:dyDescent="0.25">
      <c r="A869" t="s">
        <v>9</v>
      </c>
      <c r="B869" s="39">
        <v>46111</v>
      </c>
      <c r="C869" s="40">
        <v>0.75</v>
      </c>
      <c r="D869" s="41">
        <v>5254.5</v>
      </c>
      <c r="E869" s="41">
        <v>5263</v>
      </c>
      <c r="F869" s="41">
        <v>5252.5</v>
      </c>
      <c r="G869" s="41">
        <v>5258</v>
      </c>
      <c r="H869" s="41">
        <v>396805750</v>
      </c>
      <c r="I869" s="42">
        <v>1510</v>
      </c>
    </row>
    <row r="870" spans="1:9" x14ac:dyDescent="0.25">
      <c r="A870" t="s">
        <v>9</v>
      </c>
      <c r="B870" s="39">
        <v>46111</v>
      </c>
      <c r="C870" s="40">
        <v>0.72916666666666663</v>
      </c>
      <c r="D870" s="41">
        <v>5254</v>
      </c>
      <c r="E870" s="41">
        <v>5257.5</v>
      </c>
      <c r="F870" s="41">
        <v>5249.5</v>
      </c>
      <c r="G870" s="41">
        <v>5254.5</v>
      </c>
      <c r="H870" s="41">
        <v>1547933000</v>
      </c>
      <c r="I870" s="42">
        <v>5895</v>
      </c>
    </row>
    <row r="871" spans="1:9" x14ac:dyDescent="0.25">
      <c r="A871" t="s">
        <v>9</v>
      </c>
      <c r="B871" s="39">
        <v>46111</v>
      </c>
      <c r="C871" s="40">
        <v>0.70833333333333337</v>
      </c>
      <c r="D871" s="41">
        <v>5247.5</v>
      </c>
      <c r="E871" s="41">
        <v>5254</v>
      </c>
      <c r="F871" s="41">
        <v>5247.5</v>
      </c>
      <c r="G871" s="41">
        <v>5253</v>
      </c>
      <c r="H871" s="41">
        <v>1055385250</v>
      </c>
      <c r="I871" s="42">
        <v>4020</v>
      </c>
    </row>
    <row r="872" spans="1:9" x14ac:dyDescent="0.25">
      <c r="A872" t="s">
        <v>9</v>
      </c>
      <c r="B872" s="39">
        <v>46111</v>
      </c>
      <c r="C872" s="40">
        <v>0.6875</v>
      </c>
      <c r="D872" s="41">
        <v>5262.5</v>
      </c>
      <c r="E872" s="41">
        <v>5263</v>
      </c>
      <c r="F872" s="41">
        <v>5247</v>
      </c>
      <c r="G872" s="41">
        <v>5247.5</v>
      </c>
      <c r="H872" s="41">
        <v>6113137625</v>
      </c>
      <c r="I872" s="42">
        <v>23270</v>
      </c>
    </row>
    <row r="873" spans="1:9" x14ac:dyDescent="0.25">
      <c r="A873" t="s">
        <v>9</v>
      </c>
      <c r="B873" s="39">
        <v>46111</v>
      </c>
      <c r="C873" s="40">
        <v>0.66666666666666663</v>
      </c>
      <c r="D873" s="41">
        <v>5252</v>
      </c>
      <c r="E873" s="41">
        <v>5268.5</v>
      </c>
      <c r="F873" s="41">
        <v>5251.5</v>
      </c>
      <c r="G873" s="41">
        <v>5262.5</v>
      </c>
      <c r="H873" s="41">
        <v>2893498875</v>
      </c>
      <c r="I873" s="42">
        <v>11005</v>
      </c>
    </row>
    <row r="874" spans="1:9" x14ac:dyDescent="0.25">
      <c r="A874" t="s">
        <v>9</v>
      </c>
      <c r="B874" s="39">
        <v>46111</v>
      </c>
      <c r="C874" s="40">
        <v>0.64583333333333337</v>
      </c>
      <c r="D874" s="41">
        <v>5254.5</v>
      </c>
      <c r="E874" s="41">
        <v>5254.5</v>
      </c>
      <c r="F874" s="41">
        <v>5249</v>
      </c>
      <c r="G874" s="41">
        <v>5252</v>
      </c>
      <c r="H874" s="41">
        <v>3369999500</v>
      </c>
      <c r="I874" s="42">
        <v>12835</v>
      </c>
    </row>
    <row r="875" spans="1:9" x14ac:dyDescent="0.25">
      <c r="A875" t="s">
        <v>9</v>
      </c>
      <c r="B875" s="39">
        <v>46111</v>
      </c>
      <c r="C875" s="40">
        <v>0.625</v>
      </c>
      <c r="D875" s="41">
        <v>5253</v>
      </c>
      <c r="E875" s="41">
        <v>5258</v>
      </c>
      <c r="F875" s="41">
        <v>5248</v>
      </c>
      <c r="G875" s="41">
        <v>5255</v>
      </c>
      <c r="H875" s="41">
        <v>3578065500</v>
      </c>
      <c r="I875" s="42">
        <v>13625</v>
      </c>
    </row>
    <row r="876" spans="1:9" x14ac:dyDescent="0.25">
      <c r="A876" t="s">
        <v>9</v>
      </c>
      <c r="B876" s="39">
        <v>46111</v>
      </c>
      <c r="C876" s="40">
        <v>0.60416666666666663</v>
      </c>
      <c r="D876" s="41">
        <v>5256</v>
      </c>
      <c r="E876" s="41">
        <v>5261.5</v>
      </c>
      <c r="F876" s="41">
        <v>5244.5</v>
      </c>
      <c r="G876" s="41">
        <v>5253</v>
      </c>
      <c r="H876" s="41">
        <v>4424554125</v>
      </c>
      <c r="I876" s="42">
        <v>16850</v>
      </c>
    </row>
    <row r="877" spans="1:9" x14ac:dyDescent="0.25">
      <c r="A877" t="s">
        <v>9</v>
      </c>
      <c r="B877" s="39">
        <v>46111</v>
      </c>
      <c r="C877" s="40">
        <v>0.58333333333333337</v>
      </c>
      <c r="D877" s="41">
        <v>5248.5</v>
      </c>
      <c r="E877" s="41">
        <v>5259.5</v>
      </c>
      <c r="F877" s="41">
        <v>5245.5</v>
      </c>
      <c r="G877" s="41">
        <v>5256</v>
      </c>
      <c r="H877" s="41">
        <v>1640307250</v>
      </c>
      <c r="I877" s="42">
        <v>6245</v>
      </c>
    </row>
    <row r="878" spans="1:9" x14ac:dyDescent="0.25">
      <c r="A878" t="s">
        <v>9</v>
      </c>
      <c r="B878" s="39">
        <v>46111</v>
      </c>
      <c r="C878" s="40">
        <v>0.5625</v>
      </c>
      <c r="D878" s="41">
        <v>5249</v>
      </c>
      <c r="E878" s="41">
        <v>5250.5</v>
      </c>
      <c r="F878" s="41">
        <v>5244</v>
      </c>
      <c r="G878" s="41">
        <v>5249</v>
      </c>
      <c r="H878" s="41">
        <v>4225689375</v>
      </c>
      <c r="I878" s="42">
        <v>16110</v>
      </c>
    </row>
    <row r="879" spans="1:9" x14ac:dyDescent="0.25">
      <c r="A879" t="s">
        <v>9</v>
      </c>
      <c r="B879" s="39">
        <v>46111</v>
      </c>
      <c r="C879" s="40">
        <v>0.54166666666666663</v>
      </c>
      <c r="D879" s="41">
        <v>5238</v>
      </c>
      <c r="E879" s="41">
        <v>5248.5</v>
      </c>
      <c r="F879" s="41">
        <v>5237</v>
      </c>
      <c r="G879" s="41">
        <v>5248.5</v>
      </c>
      <c r="H879" s="41">
        <v>4244312000</v>
      </c>
      <c r="I879" s="42">
        <v>16190</v>
      </c>
    </row>
    <row r="880" spans="1:9" x14ac:dyDescent="0.25">
      <c r="A880" t="s">
        <v>9</v>
      </c>
      <c r="B880" s="39">
        <v>46111</v>
      </c>
      <c r="C880" s="40">
        <v>0.52083333333333337</v>
      </c>
      <c r="D880" s="41">
        <v>5245</v>
      </c>
      <c r="E880" s="41">
        <v>5245.5</v>
      </c>
      <c r="F880" s="41">
        <v>5235.5</v>
      </c>
      <c r="G880" s="41">
        <v>5238.5</v>
      </c>
      <c r="H880" s="41">
        <v>2825960500</v>
      </c>
      <c r="I880" s="42">
        <v>10790</v>
      </c>
    </row>
    <row r="881" spans="1:9" x14ac:dyDescent="0.25">
      <c r="A881" t="s">
        <v>9</v>
      </c>
      <c r="B881" s="39">
        <v>46111</v>
      </c>
      <c r="C881" s="40">
        <v>0.5</v>
      </c>
      <c r="D881" s="41">
        <v>5235</v>
      </c>
      <c r="E881" s="41">
        <v>5250.5</v>
      </c>
      <c r="F881" s="41">
        <v>5232.5</v>
      </c>
      <c r="G881" s="41">
        <v>5245</v>
      </c>
      <c r="H881" s="41">
        <v>4947382750</v>
      </c>
      <c r="I881" s="42">
        <v>18875</v>
      </c>
    </row>
    <row r="882" spans="1:9" x14ac:dyDescent="0.25">
      <c r="A882" t="s">
        <v>9</v>
      </c>
      <c r="B882" s="39">
        <v>46111</v>
      </c>
      <c r="C882" s="40">
        <v>0.47916666666666669</v>
      </c>
      <c r="D882" s="41">
        <v>5249</v>
      </c>
      <c r="E882" s="41">
        <v>5251</v>
      </c>
      <c r="F882" s="41">
        <v>5234.5</v>
      </c>
      <c r="G882" s="41">
        <v>5234.5</v>
      </c>
      <c r="H882" s="41">
        <v>8405753000</v>
      </c>
      <c r="I882" s="42">
        <v>32050</v>
      </c>
    </row>
    <row r="883" spans="1:9" x14ac:dyDescent="0.25">
      <c r="A883" t="s">
        <v>9</v>
      </c>
      <c r="B883" s="39">
        <v>46111</v>
      </c>
      <c r="C883" s="40">
        <v>0.45833333333333331</v>
      </c>
      <c r="D883" s="41">
        <v>5243.5</v>
      </c>
      <c r="E883" s="41">
        <v>5252.5</v>
      </c>
      <c r="F883" s="41">
        <v>5237.5</v>
      </c>
      <c r="G883" s="41">
        <v>5249.5</v>
      </c>
      <c r="H883" s="41">
        <v>4857374625</v>
      </c>
      <c r="I883" s="42">
        <v>18530</v>
      </c>
    </row>
    <row r="884" spans="1:9" x14ac:dyDescent="0.25">
      <c r="A884" t="s">
        <v>9</v>
      </c>
      <c r="B884" s="39">
        <v>46111</v>
      </c>
      <c r="C884" s="40">
        <v>0.4375</v>
      </c>
      <c r="D884" s="41">
        <v>5237</v>
      </c>
      <c r="E884" s="41">
        <v>5247.5</v>
      </c>
      <c r="F884" s="41">
        <v>5231.5</v>
      </c>
      <c r="G884" s="41">
        <v>5244</v>
      </c>
      <c r="H884" s="41">
        <v>4833955875</v>
      </c>
      <c r="I884" s="42">
        <v>18450</v>
      </c>
    </row>
    <row r="885" spans="1:9" x14ac:dyDescent="0.25">
      <c r="A885" t="s">
        <v>9</v>
      </c>
      <c r="B885" s="39">
        <v>46111</v>
      </c>
      <c r="C885" s="40">
        <v>0.41666666666666669</v>
      </c>
      <c r="D885" s="41">
        <v>5229</v>
      </c>
      <c r="E885" s="41">
        <v>5236</v>
      </c>
      <c r="F885" s="41">
        <v>5225</v>
      </c>
      <c r="G885" s="41">
        <v>5236</v>
      </c>
      <c r="H885" s="41">
        <v>4449628750</v>
      </c>
      <c r="I885" s="42">
        <v>17015</v>
      </c>
    </row>
    <row r="886" spans="1:9" x14ac:dyDescent="0.25">
      <c r="A886" t="s">
        <v>9</v>
      </c>
      <c r="B886" s="39">
        <v>46111</v>
      </c>
      <c r="C886" s="40">
        <v>0.39583333333333331</v>
      </c>
      <c r="D886" s="41">
        <v>5241.5</v>
      </c>
      <c r="E886" s="41">
        <v>5242</v>
      </c>
      <c r="F886" s="41">
        <v>5226</v>
      </c>
      <c r="G886" s="41">
        <v>5229</v>
      </c>
      <c r="H886" s="41">
        <v>4122654750</v>
      </c>
      <c r="I886" s="42">
        <v>15760</v>
      </c>
    </row>
    <row r="887" spans="1:9" x14ac:dyDescent="0.25">
      <c r="A887" t="s">
        <v>9</v>
      </c>
      <c r="B887" s="39">
        <v>46111</v>
      </c>
      <c r="C887" s="40">
        <v>0.375</v>
      </c>
      <c r="D887" s="41">
        <v>5230</v>
      </c>
      <c r="E887" s="41">
        <v>5252.5</v>
      </c>
      <c r="F887" s="41">
        <v>5230</v>
      </c>
      <c r="G887" s="41">
        <v>5241</v>
      </c>
      <c r="H887" s="41">
        <v>2612660000</v>
      </c>
      <c r="I887" s="42">
        <v>9965</v>
      </c>
    </row>
    <row r="888" spans="1:9" x14ac:dyDescent="0.25">
      <c r="A888" t="s">
        <v>9</v>
      </c>
      <c r="B888" s="39">
        <v>46108</v>
      </c>
      <c r="C888" s="40">
        <v>0.75</v>
      </c>
      <c r="D888" s="41">
        <v>5241</v>
      </c>
      <c r="E888" s="41">
        <v>5244.5</v>
      </c>
      <c r="F888" s="41">
        <v>5240</v>
      </c>
      <c r="G888" s="41">
        <v>5242</v>
      </c>
      <c r="H888" s="41">
        <v>183497875</v>
      </c>
      <c r="I888" s="42">
        <v>700</v>
      </c>
    </row>
    <row r="889" spans="1:9" x14ac:dyDescent="0.25">
      <c r="A889" t="s">
        <v>9</v>
      </c>
      <c r="B889" s="39">
        <v>46108</v>
      </c>
      <c r="C889" s="40">
        <v>0.72916666666666663</v>
      </c>
      <c r="D889" s="41">
        <v>5241.5</v>
      </c>
      <c r="E889" s="41">
        <v>5247</v>
      </c>
      <c r="F889" s="41">
        <v>5240.5</v>
      </c>
      <c r="G889" s="41">
        <v>5240.5</v>
      </c>
      <c r="H889" s="41">
        <v>1105089375</v>
      </c>
      <c r="I889" s="42">
        <v>4215</v>
      </c>
    </row>
    <row r="890" spans="1:9" x14ac:dyDescent="0.25">
      <c r="A890" t="s">
        <v>9</v>
      </c>
      <c r="B890" s="39">
        <v>46108</v>
      </c>
      <c r="C890" s="40">
        <v>0.70833333333333337</v>
      </c>
      <c r="D890" s="41">
        <v>5240.5</v>
      </c>
      <c r="E890" s="41">
        <v>5244.5</v>
      </c>
      <c r="F890" s="41">
        <v>5236</v>
      </c>
      <c r="G890" s="41">
        <v>5241.5</v>
      </c>
      <c r="H890" s="41">
        <v>2047844500</v>
      </c>
      <c r="I890" s="42">
        <v>7815</v>
      </c>
    </row>
    <row r="891" spans="1:9" x14ac:dyDescent="0.25">
      <c r="A891" t="s">
        <v>9</v>
      </c>
      <c r="B891" s="39">
        <v>46108</v>
      </c>
      <c r="C891" s="40">
        <v>0.6875</v>
      </c>
      <c r="D891" s="41">
        <v>5244.5</v>
      </c>
      <c r="E891" s="41">
        <v>5250.5</v>
      </c>
      <c r="F891" s="41">
        <v>5239.5</v>
      </c>
      <c r="G891" s="41">
        <v>5240.5</v>
      </c>
      <c r="H891" s="41">
        <v>1737671500</v>
      </c>
      <c r="I891" s="42">
        <v>6625</v>
      </c>
    </row>
    <row r="892" spans="1:9" x14ac:dyDescent="0.25">
      <c r="A892" t="s">
        <v>9</v>
      </c>
      <c r="B892" s="39">
        <v>46108</v>
      </c>
      <c r="C892" s="40">
        <v>0.66666666666666663</v>
      </c>
      <c r="D892" s="41">
        <v>5247.5</v>
      </c>
      <c r="E892" s="41">
        <v>5250</v>
      </c>
      <c r="F892" s="41">
        <v>5241.5</v>
      </c>
      <c r="G892" s="41">
        <v>5245.5</v>
      </c>
      <c r="H892" s="41">
        <v>2230449875</v>
      </c>
      <c r="I892" s="42">
        <v>8505</v>
      </c>
    </row>
    <row r="893" spans="1:9" x14ac:dyDescent="0.25">
      <c r="A893" t="s">
        <v>9</v>
      </c>
      <c r="B893" s="39">
        <v>46108</v>
      </c>
      <c r="C893" s="40">
        <v>0.64583333333333337</v>
      </c>
      <c r="D893" s="41">
        <v>5248.5</v>
      </c>
      <c r="E893" s="41">
        <v>5250.5</v>
      </c>
      <c r="F893" s="41">
        <v>5239.5</v>
      </c>
      <c r="G893" s="41">
        <v>5247</v>
      </c>
      <c r="H893" s="41">
        <v>2758711125</v>
      </c>
      <c r="I893" s="42">
        <v>10520</v>
      </c>
    </row>
    <row r="894" spans="1:9" x14ac:dyDescent="0.25">
      <c r="A894" t="s">
        <v>9</v>
      </c>
      <c r="B894" s="39">
        <v>46108</v>
      </c>
      <c r="C894" s="40">
        <v>0.625</v>
      </c>
      <c r="D894" s="41">
        <v>5249.5</v>
      </c>
      <c r="E894" s="41">
        <v>5255.5</v>
      </c>
      <c r="F894" s="41">
        <v>5246</v>
      </c>
      <c r="G894" s="41">
        <v>5249</v>
      </c>
      <c r="H894" s="41">
        <v>3006150000</v>
      </c>
      <c r="I894" s="42">
        <v>11450</v>
      </c>
    </row>
    <row r="895" spans="1:9" x14ac:dyDescent="0.25">
      <c r="A895" t="s">
        <v>9</v>
      </c>
      <c r="B895" s="39">
        <v>46108</v>
      </c>
      <c r="C895" s="40">
        <v>0.60416666666666663</v>
      </c>
      <c r="D895" s="41">
        <v>5254.5</v>
      </c>
      <c r="E895" s="41">
        <v>5254.5</v>
      </c>
      <c r="F895" s="41">
        <v>5243.5</v>
      </c>
      <c r="G895" s="41">
        <v>5249.5</v>
      </c>
      <c r="H895" s="41">
        <v>5494655375</v>
      </c>
      <c r="I895">
        <v>20940</v>
      </c>
    </row>
    <row r="896" spans="1:9" x14ac:dyDescent="0.25">
      <c r="A896" t="s">
        <v>9</v>
      </c>
      <c r="B896" s="39">
        <v>46108</v>
      </c>
      <c r="C896" s="40">
        <v>0.58333333333333337</v>
      </c>
      <c r="D896" s="41">
        <v>5240</v>
      </c>
      <c r="E896" s="41">
        <v>5255.5</v>
      </c>
      <c r="F896" s="41">
        <v>5239</v>
      </c>
      <c r="G896" s="41">
        <v>5254.5</v>
      </c>
      <c r="H896" s="41">
        <v>2252869625</v>
      </c>
      <c r="I896" s="42">
        <v>8585</v>
      </c>
    </row>
    <row r="897" spans="1:9" x14ac:dyDescent="0.25">
      <c r="A897" t="s">
        <v>9</v>
      </c>
      <c r="B897" s="39">
        <v>46108</v>
      </c>
      <c r="C897" s="40">
        <v>0.5625</v>
      </c>
      <c r="D897" s="41">
        <v>5239</v>
      </c>
      <c r="E897" s="41">
        <v>5247</v>
      </c>
      <c r="F897" s="41">
        <v>5235.5</v>
      </c>
      <c r="G897" s="41">
        <v>5239.5</v>
      </c>
      <c r="H897" s="41">
        <v>3124979625</v>
      </c>
      <c r="I897" s="42">
        <v>11930</v>
      </c>
    </row>
    <row r="898" spans="1:9" x14ac:dyDescent="0.25">
      <c r="A898" t="s">
        <v>9</v>
      </c>
      <c r="B898" s="39">
        <v>46108</v>
      </c>
      <c r="C898" s="40">
        <v>0.54166666666666663</v>
      </c>
      <c r="D898" s="41">
        <v>5234.5</v>
      </c>
      <c r="E898" s="41">
        <v>5242</v>
      </c>
      <c r="F898" s="41">
        <v>5229.5</v>
      </c>
      <c r="G898" s="41">
        <v>5239</v>
      </c>
      <c r="H898" s="41">
        <v>3223284625</v>
      </c>
      <c r="I898" s="42">
        <v>12315</v>
      </c>
    </row>
    <row r="899" spans="1:9" x14ac:dyDescent="0.25">
      <c r="A899" t="s">
        <v>9</v>
      </c>
      <c r="B899" s="39">
        <v>46108</v>
      </c>
      <c r="C899" s="40">
        <v>0.52083333333333337</v>
      </c>
      <c r="D899" s="41">
        <v>5227</v>
      </c>
      <c r="E899" s="41">
        <v>5236.5</v>
      </c>
      <c r="F899" s="41">
        <v>5223</v>
      </c>
      <c r="G899" s="41">
        <v>5234.5</v>
      </c>
      <c r="H899" s="41">
        <v>3635827375</v>
      </c>
      <c r="I899" s="42">
        <v>13905</v>
      </c>
    </row>
    <row r="900" spans="1:9" x14ac:dyDescent="0.25">
      <c r="A900" t="s">
        <v>9</v>
      </c>
      <c r="B900" s="39">
        <v>46108</v>
      </c>
      <c r="C900" s="40">
        <v>0.5</v>
      </c>
      <c r="D900" s="41">
        <v>5235.5</v>
      </c>
      <c r="E900" s="41">
        <v>5236</v>
      </c>
      <c r="F900" s="41">
        <v>5220</v>
      </c>
      <c r="G900" s="41">
        <v>5227.5</v>
      </c>
      <c r="H900" s="41">
        <v>10029390500</v>
      </c>
      <c r="I900" s="42">
        <v>38380</v>
      </c>
    </row>
    <row r="901" spans="1:9" x14ac:dyDescent="0.25">
      <c r="A901" t="s">
        <v>9</v>
      </c>
      <c r="B901" s="39">
        <v>46108</v>
      </c>
      <c r="C901" s="40">
        <v>0.47916666666666669</v>
      </c>
      <c r="D901" s="41">
        <v>5244</v>
      </c>
      <c r="E901" s="41">
        <v>5249.5</v>
      </c>
      <c r="F901" s="41">
        <v>5233.5</v>
      </c>
      <c r="G901" s="41">
        <v>5236</v>
      </c>
      <c r="H901" s="41">
        <v>3325924000</v>
      </c>
      <c r="I901" s="42">
        <v>12690</v>
      </c>
    </row>
    <row r="902" spans="1:9" x14ac:dyDescent="0.25">
      <c r="A902" t="s">
        <v>9</v>
      </c>
      <c r="B902" s="39">
        <v>46108</v>
      </c>
      <c r="C902" s="40">
        <v>0.45833333333333331</v>
      </c>
      <c r="D902" s="41">
        <v>5245.5</v>
      </c>
      <c r="E902" s="41">
        <v>5248</v>
      </c>
      <c r="F902" s="41">
        <v>5238.5</v>
      </c>
      <c r="G902" s="41">
        <v>5243.5</v>
      </c>
      <c r="H902" s="41">
        <v>4017828125</v>
      </c>
      <c r="I902" s="42">
        <v>15325</v>
      </c>
    </row>
    <row r="903" spans="1:9" x14ac:dyDescent="0.25">
      <c r="A903" t="s">
        <v>9</v>
      </c>
      <c r="B903" s="39">
        <v>46108</v>
      </c>
      <c r="C903" s="40">
        <v>0.4375</v>
      </c>
      <c r="D903" s="41">
        <v>5258.5</v>
      </c>
      <c r="E903" s="41">
        <v>5264</v>
      </c>
      <c r="F903" s="41">
        <v>5235</v>
      </c>
      <c r="G903" s="41">
        <v>5246</v>
      </c>
      <c r="H903" s="41">
        <v>5202369375</v>
      </c>
      <c r="I903" s="42">
        <v>19825</v>
      </c>
    </row>
    <row r="904" spans="1:9" x14ac:dyDescent="0.25">
      <c r="A904" t="s">
        <v>9</v>
      </c>
      <c r="B904" s="39">
        <v>46108</v>
      </c>
      <c r="C904" s="40">
        <v>0.41666666666666669</v>
      </c>
      <c r="D904" s="41">
        <v>5252</v>
      </c>
      <c r="E904" s="41">
        <v>5262</v>
      </c>
      <c r="F904" s="41">
        <v>5252</v>
      </c>
      <c r="G904" s="41">
        <v>5260.5</v>
      </c>
      <c r="H904" s="41">
        <v>4419025250</v>
      </c>
      <c r="I904" s="42">
        <v>16810</v>
      </c>
    </row>
    <row r="905" spans="1:9" x14ac:dyDescent="0.25">
      <c r="A905" t="s">
        <v>9</v>
      </c>
      <c r="B905" s="39">
        <v>46108</v>
      </c>
      <c r="C905" s="40">
        <v>0.39583333333333331</v>
      </c>
      <c r="D905" s="41">
        <v>5264.5</v>
      </c>
      <c r="E905" s="41">
        <v>5270</v>
      </c>
      <c r="F905" s="41">
        <v>5249</v>
      </c>
      <c r="G905" s="41">
        <v>5252</v>
      </c>
      <c r="H905" s="41">
        <v>5147635125</v>
      </c>
      <c r="I905" s="42">
        <v>19565</v>
      </c>
    </row>
    <row r="906" spans="1:9" x14ac:dyDescent="0.25">
      <c r="A906" t="s">
        <v>9</v>
      </c>
      <c r="B906" s="39">
        <v>46108</v>
      </c>
      <c r="C906" s="40">
        <v>0.375</v>
      </c>
      <c r="D906" s="41">
        <v>5264</v>
      </c>
      <c r="E906" s="41">
        <v>5282</v>
      </c>
      <c r="F906" s="41">
        <v>5263.5</v>
      </c>
      <c r="G906" s="41">
        <v>5265</v>
      </c>
      <c r="H906" s="41">
        <v>3034810625</v>
      </c>
      <c r="I906" s="42">
        <v>11515</v>
      </c>
    </row>
    <row r="907" spans="1:9" x14ac:dyDescent="0.25">
      <c r="A907" t="s">
        <v>9</v>
      </c>
      <c r="B907" s="39">
        <v>46107</v>
      </c>
      <c r="C907" s="40">
        <v>0.75</v>
      </c>
      <c r="D907" s="41">
        <v>5245.5</v>
      </c>
      <c r="E907" s="41">
        <v>5245.5</v>
      </c>
      <c r="F907" s="41">
        <v>5241</v>
      </c>
      <c r="G907" s="41">
        <v>5244</v>
      </c>
      <c r="H907" s="41">
        <v>264765500</v>
      </c>
      <c r="I907" s="42">
        <v>1010</v>
      </c>
    </row>
    <row r="908" spans="1:9" x14ac:dyDescent="0.25">
      <c r="A908" t="s">
        <v>9</v>
      </c>
      <c r="B908" s="39">
        <v>46107</v>
      </c>
      <c r="C908" s="40">
        <v>0.72916666666666663</v>
      </c>
      <c r="D908" s="41">
        <v>5251.5</v>
      </c>
      <c r="E908" s="41">
        <v>5253.5</v>
      </c>
      <c r="F908" s="41">
        <v>5243</v>
      </c>
      <c r="G908" s="41">
        <v>5245</v>
      </c>
      <c r="H908" s="41">
        <v>1536091125</v>
      </c>
      <c r="I908" s="42">
        <v>5855</v>
      </c>
    </row>
    <row r="909" spans="1:9" x14ac:dyDescent="0.25">
      <c r="A909" t="s">
        <v>9</v>
      </c>
      <c r="B909" s="39">
        <v>46107</v>
      </c>
      <c r="C909" s="40">
        <v>0.70833333333333337</v>
      </c>
      <c r="D909" s="41">
        <v>5261</v>
      </c>
      <c r="E909" s="41">
        <v>5265.5</v>
      </c>
      <c r="F909" s="41">
        <v>5228</v>
      </c>
      <c r="G909" s="41">
        <v>5251</v>
      </c>
      <c r="H909" s="41">
        <v>5078201000</v>
      </c>
      <c r="I909" s="42">
        <v>19350</v>
      </c>
    </row>
    <row r="910" spans="1:9" x14ac:dyDescent="0.25">
      <c r="A910" t="s">
        <v>9</v>
      </c>
      <c r="B910" s="39">
        <v>46107</v>
      </c>
      <c r="C910" s="40">
        <v>0.6875</v>
      </c>
      <c r="D910" s="41">
        <v>5250</v>
      </c>
      <c r="E910" s="41">
        <v>5261</v>
      </c>
      <c r="F910" s="41">
        <v>5249</v>
      </c>
      <c r="G910" s="41">
        <v>5261</v>
      </c>
      <c r="H910" s="41">
        <v>4447204375</v>
      </c>
      <c r="I910" s="42">
        <v>16930</v>
      </c>
    </row>
    <row r="911" spans="1:9" x14ac:dyDescent="0.25">
      <c r="A911" t="s">
        <v>9</v>
      </c>
      <c r="B911" s="39">
        <v>46107</v>
      </c>
      <c r="C911" s="40">
        <v>0.66666666666666663</v>
      </c>
      <c r="D911" s="41">
        <v>5241</v>
      </c>
      <c r="E911" s="41">
        <v>5255</v>
      </c>
      <c r="F911" s="41">
        <v>5241</v>
      </c>
      <c r="G911" s="41">
        <v>5250</v>
      </c>
      <c r="H911" s="41">
        <v>4803679625</v>
      </c>
      <c r="I911" s="42">
        <v>18310</v>
      </c>
    </row>
    <row r="912" spans="1:9" x14ac:dyDescent="0.25">
      <c r="A912" t="s">
        <v>9</v>
      </c>
      <c r="B912" s="39">
        <v>46107</v>
      </c>
      <c r="C912" s="40">
        <v>0.64583333333333337</v>
      </c>
      <c r="D912" s="41">
        <v>5246</v>
      </c>
      <c r="E912" s="41">
        <v>5246.5</v>
      </c>
      <c r="F912" s="41">
        <v>5238.5</v>
      </c>
      <c r="G912" s="41">
        <v>5241</v>
      </c>
      <c r="H912" s="41">
        <v>2300175625</v>
      </c>
      <c r="I912" s="42">
        <v>8775</v>
      </c>
    </row>
    <row r="913" spans="1:9" x14ac:dyDescent="0.25">
      <c r="A913" t="s">
        <v>9</v>
      </c>
      <c r="B913" s="39">
        <v>46107</v>
      </c>
      <c r="C913" s="40">
        <v>0.625</v>
      </c>
      <c r="D913" s="41">
        <v>5255.5</v>
      </c>
      <c r="E913" s="41">
        <v>5255.5</v>
      </c>
      <c r="F913" s="41">
        <v>5244</v>
      </c>
      <c r="G913" s="41">
        <v>5245.5</v>
      </c>
      <c r="H913" s="41">
        <v>4021220375</v>
      </c>
      <c r="I913" s="42">
        <v>15320</v>
      </c>
    </row>
    <row r="914" spans="1:9" x14ac:dyDescent="0.25">
      <c r="A914" t="s">
        <v>9</v>
      </c>
      <c r="B914" s="39">
        <v>46107</v>
      </c>
      <c r="C914" s="40">
        <v>0.60416666666666663</v>
      </c>
      <c r="D914" s="41">
        <v>5250</v>
      </c>
      <c r="E914" s="41">
        <v>5258.5</v>
      </c>
      <c r="F914" s="41">
        <v>5247.5</v>
      </c>
      <c r="G914" s="41">
        <v>5255.5</v>
      </c>
      <c r="H914" s="41">
        <v>4680765375</v>
      </c>
      <c r="I914">
        <v>17825</v>
      </c>
    </row>
    <row r="915" spans="1:9" x14ac:dyDescent="0.25">
      <c r="A915" t="s">
        <v>9</v>
      </c>
      <c r="B915" s="39">
        <v>46107</v>
      </c>
      <c r="C915" s="40">
        <v>0.58333333333333337</v>
      </c>
      <c r="D915" s="41">
        <v>5252</v>
      </c>
      <c r="E915" s="41">
        <v>5253</v>
      </c>
      <c r="F915" s="41">
        <v>5246</v>
      </c>
      <c r="G915" s="41">
        <v>5250</v>
      </c>
      <c r="H915" s="41">
        <v>2531442625</v>
      </c>
      <c r="I915" s="42">
        <v>9645</v>
      </c>
    </row>
    <row r="916" spans="1:9" x14ac:dyDescent="0.25">
      <c r="A916" t="s">
        <v>9</v>
      </c>
      <c r="B916" s="39">
        <v>46107</v>
      </c>
      <c r="C916" s="40">
        <v>0.5625</v>
      </c>
      <c r="D916" s="41">
        <v>5244</v>
      </c>
      <c r="E916" s="41">
        <v>5254.5</v>
      </c>
      <c r="F916" s="41">
        <v>5243.5</v>
      </c>
      <c r="G916" s="41">
        <v>5252</v>
      </c>
      <c r="H916" s="41">
        <v>2530144875</v>
      </c>
      <c r="I916" s="42">
        <v>9640</v>
      </c>
    </row>
    <row r="917" spans="1:9" x14ac:dyDescent="0.25">
      <c r="A917" t="s">
        <v>9</v>
      </c>
      <c r="B917" s="39">
        <v>46107</v>
      </c>
      <c r="C917" s="40">
        <v>0.54166666666666663</v>
      </c>
      <c r="D917" s="41">
        <v>5235</v>
      </c>
      <c r="E917" s="41">
        <v>5245</v>
      </c>
      <c r="F917" s="41">
        <v>5234.5</v>
      </c>
      <c r="G917" s="41">
        <v>5243.5</v>
      </c>
      <c r="H917" s="41">
        <v>1997101375</v>
      </c>
      <c r="I917" s="42">
        <v>7625</v>
      </c>
    </row>
    <row r="918" spans="1:9" x14ac:dyDescent="0.25">
      <c r="A918" t="s">
        <v>9</v>
      </c>
      <c r="B918" s="39">
        <v>46107</v>
      </c>
      <c r="C918" s="40">
        <v>0.52083333333333337</v>
      </c>
      <c r="D918" s="41">
        <v>5238</v>
      </c>
      <c r="E918" s="41">
        <v>5241</v>
      </c>
      <c r="F918" s="41">
        <v>5234.5</v>
      </c>
      <c r="G918" s="41">
        <v>5235.5</v>
      </c>
      <c r="H918" s="41">
        <v>1454714250</v>
      </c>
      <c r="I918" s="42">
        <v>5555</v>
      </c>
    </row>
    <row r="919" spans="1:9" x14ac:dyDescent="0.25">
      <c r="A919" t="s">
        <v>9</v>
      </c>
      <c r="B919" s="39">
        <v>46107</v>
      </c>
      <c r="C919" s="40">
        <v>0.5</v>
      </c>
      <c r="D919" s="41">
        <v>5237.5</v>
      </c>
      <c r="E919" s="41">
        <v>5242.5</v>
      </c>
      <c r="F919" s="41">
        <v>5233</v>
      </c>
      <c r="G919" s="41">
        <v>5237.5</v>
      </c>
      <c r="H919" s="41">
        <v>3748149500</v>
      </c>
      <c r="I919" s="42">
        <v>14315</v>
      </c>
    </row>
    <row r="920" spans="1:9" x14ac:dyDescent="0.25">
      <c r="A920" t="s">
        <v>9</v>
      </c>
      <c r="B920" s="39">
        <v>46107</v>
      </c>
      <c r="C920" s="40">
        <v>0.47916666666666669</v>
      </c>
      <c r="D920" s="41">
        <v>5231.5</v>
      </c>
      <c r="E920" s="41">
        <v>5243.5</v>
      </c>
      <c r="F920" s="41">
        <v>5227</v>
      </c>
      <c r="G920" s="41">
        <v>5238</v>
      </c>
      <c r="H920" s="41">
        <v>4336729500</v>
      </c>
      <c r="I920" s="42">
        <v>16565</v>
      </c>
    </row>
    <row r="921" spans="1:9" x14ac:dyDescent="0.25">
      <c r="A921" t="s">
        <v>9</v>
      </c>
      <c r="B921" s="39">
        <v>46107</v>
      </c>
      <c r="C921" s="40">
        <v>0.45833333333333331</v>
      </c>
      <c r="D921" s="41">
        <v>5225.5</v>
      </c>
      <c r="E921" s="41">
        <v>5239.5</v>
      </c>
      <c r="F921" s="41">
        <v>5224</v>
      </c>
      <c r="G921" s="41">
        <v>5232</v>
      </c>
      <c r="H921" s="41">
        <v>4292327375</v>
      </c>
      <c r="I921" s="42">
        <v>16415</v>
      </c>
    </row>
    <row r="922" spans="1:9" x14ac:dyDescent="0.25">
      <c r="A922" t="s">
        <v>9</v>
      </c>
      <c r="B922" s="39">
        <v>46107</v>
      </c>
      <c r="C922" s="40">
        <v>0.4375</v>
      </c>
      <c r="D922" s="41">
        <v>5236.5</v>
      </c>
      <c r="E922" s="41">
        <v>5243</v>
      </c>
      <c r="F922" s="41">
        <v>5225</v>
      </c>
      <c r="G922" s="41">
        <v>5225.5</v>
      </c>
      <c r="H922" s="41">
        <v>4672037500</v>
      </c>
      <c r="I922" s="42">
        <v>17860</v>
      </c>
    </row>
    <row r="923" spans="1:9" x14ac:dyDescent="0.25">
      <c r="A923" t="s">
        <v>9</v>
      </c>
      <c r="B923" s="39">
        <v>46107</v>
      </c>
      <c r="C923" s="40">
        <v>0.41666666666666669</v>
      </c>
      <c r="D923" s="41">
        <v>5243</v>
      </c>
      <c r="E923" s="41">
        <v>5245.5</v>
      </c>
      <c r="F923" s="41">
        <v>5235.5</v>
      </c>
      <c r="G923" s="41">
        <v>5236.5</v>
      </c>
      <c r="H923" s="41">
        <v>7684943750</v>
      </c>
      <c r="I923" s="42">
        <v>29335</v>
      </c>
    </row>
    <row r="924" spans="1:9" x14ac:dyDescent="0.25">
      <c r="A924" t="s">
        <v>9</v>
      </c>
      <c r="B924" s="39">
        <v>46107</v>
      </c>
      <c r="C924" s="40">
        <v>0.39583333333333331</v>
      </c>
      <c r="D924" s="41">
        <v>5260</v>
      </c>
      <c r="E924" s="41">
        <v>5262.5</v>
      </c>
      <c r="F924" s="41">
        <v>5242</v>
      </c>
      <c r="G924" s="41">
        <v>5243.5</v>
      </c>
      <c r="H924" s="41">
        <v>3588336625</v>
      </c>
      <c r="I924" s="42">
        <v>13655</v>
      </c>
    </row>
    <row r="925" spans="1:9" x14ac:dyDescent="0.25">
      <c r="A925" t="s">
        <v>9</v>
      </c>
      <c r="B925" s="39">
        <v>46107</v>
      </c>
      <c r="C925" s="40">
        <v>0.375</v>
      </c>
      <c r="D925" s="41">
        <v>5255.5</v>
      </c>
      <c r="E925" s="41">
        <v>5269</v>
      </c>
      <c r="F925" s="41">
        <v>5248</v>
      </c>
      <c r="G925" s="41">
        <v>5259</v>
      </c>
      <c r="H925" s="41">
        <v>3411214500</v>
      </c>
      <c r="I925" s="42">
        <v>12975</v>
      </c>
    </row>
    <row r="926" spans="1:9" x14ac:dyDescent="0.25">
      <c r="A926" t="s">
        <v>9</v>
      </c>
      <c r="B926" s="39">
        <v>46106</v>
      </c>
      <c r="C926" s="40">
        <v>0.75</v>
      </c>
      <c r="D926" s="41">
        <v>5234</v>
      </c>
      <c r="E926" s="41">
        <v>5237</v>
      </c>
      <c r="F926" s="41">
        <v>5232.5</v>
      </c>
      <c r="G926" s="41">
        <v>5232.5</v>
      </c>
      <c r="H926" s="41">
        <v>157044375</v>
      </c>
      <c r="I926" s="42">
        <v>600</v>
      </c>
    </row>
    <row r="927" spans="1:9" x14ac:dyDescent="0.25">
      <c r="A927" t="s">
        <v>9</v>
      </c>
      <c r="B927" s="39">
        <v>46106</v>
      </c>
      <c r="C927" s="40">
        <v>0.72916666666666663</v>
      </c>
      <c r="D927" s="41">
        <v>5223.5</v>
      </c>
      <c r="E927" s="41">
        <v>5235</v>
      </c>
      <c r="F927" s="41">
        <v>5222</v>
      </c>
      <c r="G927" s="41">
        <v>5233.5</v>
      </c>
      <c r="H927" s="41">
        <v>1140210500</v>
      </c>
      <c r="I927" s="42">
        <v>4360</v>
      </c>
    </row>
    <row r="928" spans="1:9" x14ac:dyDescent="0.25">
      <c r="A928" t="s">
        <v>9</v>
      </c>
      <c r="B928" s="39">
        <v>46106</v>
      </c>
      <c r="C928" s="40">
        <v>0.70833333333333337</v>
      </c>
      <c r="D928" s="41">
        <v>5225.5</v>
      </c>
      <c r="E928" s="41">
        <v>5227</v>
      </c>
      <c r="F928" s="41">
        <v>5221</v>
      </c>
      <c r="G928" s="41">
        <v>5223.5</v>
      </c>
      <c r="H928" s="41">
        <v>1543547500</v>
      </c>
      <c r="I928" s="42">
        <v>5910</v>
      </c>
    </row>
    <row r="929" spans="1:9" x14ac:dyDescent="0.25">
      <c r="A929" t="s">
        <v>9</v>
      </c>
      <c r="B929" s="39">
        <v>46106</v>
      </c>
      <c r="C929" s="40">
        <v>0.6875</v>
      </c>
      <c r="D929" s="41">
        <v>5226</v>
      </c>
      <c r="E929" s="41">
        <v>5233.5</v>
      </c>
      <c r="F929" s="41">
        <v>5225</v>
      </c>
      <c r="G929" s="41">
        <v>5225.5</v>
      </c>
      <c r="H929" s="41">
        <v>4090307625</v>
      </c>
      <c r="I929" s="42">
        <v>15645</v>
      </c>
    </row>
    <row r="930" spans="1:9" x14ac:dyDescent="0.25">
      <c r="A930" t="s">
        <v>9</v>
      </c>
      <c r="B930" s="39">
        <v>46106</v>
      </c>
      <c r="C930" s="40">
        <v>0.66666666666666663</v>
      </c>
      <c r="D930" s="41">
        <v>5224.5</v>
      </c>
      <c r="E930" s="41">
        <v>5232.5</v>
      </c>
      <c r="F930" s="41">
        <v>5224</v>
      </c>
      <c r="G930" s="41">
        <v>5226.5</v>
      </c>
      <c r="H930" s="41">
        <v>2242454250</v>
      </c>
      <c r="I930" s="42">
        <v>8580</v>
      </c>
    </row>
    <row r="931" spans="1:9" x14ac:dyDescent="0.25">
      <c r="A931" t="s">
        <v>9</v>
      </c>
      <c r="B931" s="39">
        <v>46106</v>
      </c>
      <c r="C931" s="40">
        <v>0.64583333333333337</v>
      </c>
      <c r="D931" s="41">
        <v>5216</v>
      </c>
      <c r="E931" s="41">
        <v>5234</v>
      </c>
      <c r="F931" s="41">
        <v>5214.5</v>
      </c>
      <c r="G931" s="41">
        <v>5224</v>
      </c>
      <c r="H931" s="41">
        <v>6309331875</v>
      </c>
      <c r="I931" s="42">
        <v>24170</v>
      </c>
    </row>
    <row r="932" spans="1:9" x14ac:dyDescent="0.25">
      <c r="A932" t="s">
        <v>9</v>
      </c>
      <c r="B932" s="39">
        <v>46106</v>
      </c>
      <c r="C932" s="40">
        <v>0.625</v>
      </c>
      <c r="D932" s="41">
        <v>5219</v>
      </c>
      <c r="E932" s="41">
        <v>5219.5</v>
      </c>
      <c r="F932" s="41">
        <v>5210</v>
      </c>
      <c r="G932" s="41">
        <v>5215.5</v>
      </c>
      <c r="H932" s="41">
        <v>2896239125</v>
      </c>
      <c r="I932" s="42">
        <v>11110</v>
      </c>
    </row>
    <row r="933" spans="1:9" x14ac:dyDescent="0.25">
      <c r="A933" t="s">
        <v>9</v>
      </c>
      <c r="B933" s="39">
        <v>46106</v>
      </c>
      <c r="C933" s="40">
        <v>0.60416666666666663</v>
      </c>
      <c r="D933" s="41">
        <v>5220.5</v>
      </c>
      <c r="E933" s="41">
        <v>5222</v>
      </c>
      <c r="F933" s="41">
        <v>5212.5</v>
      </c>
      <c r="G933" s="41">
        <v>5218</v>
      </c>
      <c r="H933" s="41">
        <v>4312188125</v>
      </c>
      <c r="I933" s="42">
        <v>16535</v>
      </c>
    </row>
    <row r="934" spans="1:9" x14ac:dyDescent="0.25">
      <c r="A934" t="s">
        <v>9</v>
      </c>
      <c r="B934" s="39">
        <v>46106</v>
      </c>
      <c r="C934" s="40">
        <v>0.58333333333333337</v>
      </c>
      <c r="D934" s="41">
        <v>5222.5</v>
      </c>
      <c r="E934" s="41">
        <v>5230</v>
      </c>
      <c r="F934" s="41">
        <v>5218.5</v>
      </c>
      <c r="G934" s="41">
        <v>5220</v>
      </c>
      <c r="H934" s="41">
        <v>2101519125</v>
      </c>
      <c r="I934" s="42">
        <v>8045</v>
      </c>
    </row>
    <row r="935" spans="1:9" x14ac:dyDescent="0.25">
      <c r="A935" t="s">
        <v>9</v>
      </c>
      <c r="B935" s="39">
        <v>46106</v>
      </c>
      <c r="C935" s="40">
        <v>0.5625</v>
      </c>
      <c r="D935" s="41">
        <v>5224</v>
      </c>
      <c r="E935" s="41">
        <v>5225</v>
      </c>
      <c r="F935" s="41">
        <v>5217</v>
      </c>
      <c r="G935" s="41">
        <v>5223</v>
      </c>
      <c r="H935" s="41">
        <v>2363996125</v>
      </c>
      <c r="I935" s="42">
        <v>9055</v>
      </c>
    </row>
    <row r="936" spans="1:9" x14ac:dyDescent="0.25">
      <c r="A936" t="s">
        <v>9</v>
      </c>
      <c r="B936" s="39">
        <v>46106</v>
      </c>
      <c r="C936" s="40">
        <v>0.54166666666666663</v>
      </c>
      <c r="D936" s="41">
        <v>5225.5</v>
      </c>
      <c r="E936" s="41">
        <v>5234</v>
      </c>
      <c r="F936" s="41">
        <v>5220</v>
      </c>
      <c r="G936" s="41">
        <v>5224</v>
      </c>
      <c r="H936" s="41">
        <v>2646533625</v>
      </c>
      <c r="I936" s="42">
        <v>10125</v>
      </c>
    </row>
    <row r="937" spans="1:9" x14ac:dyDescent="0.25">
      <c r="A937" t="s">
        <v>9</v>
      </c>
      <c r="B937" s="39">
        <v>46106</v>
      </c>
      <c r="C937" s="40">
        <v>0.52083333333333337</v>
      </c>
      <c r="D937" s="41">
        <v>5228.5</v>
      </c>
      <c r="E937" s="41">
        <v>5235</v>
      </c>
      <c r="F937" s="41">
        <v>5225.5</v>
      </c>
      <c r="G937" s="41">
        <v>5226</v>
      </c>
      <c r="H937" s="41">
        <v>2192741625</v>
      </c>
      <c r="I937" s="42">
        <v>8385</v>
      </c>
    </row>
    <row r="938" spans="1:9" x14ac:dyDescent="0.25">
      <c r="A938" t="s">
        <v>9</v>
      </c>
      <c r="B938" s="39">
        <v>46106</v>
      </c>
      <c r="C938" s="40">
        <v>0.5</v>
      </c>
      <c r="D938" s="41">
        <v>5216.5</v>
      </c>
      <c r="E938" s="41">
        <v>5237</v>
      </c>
      <c r="F938" s="41">
        <v>5215</v>
      </c>
      <c r="G938" s="41">
        <v>5229</v>
      </c>
      <c r="H938" s="41">
        <v>3393278625</v>
      </c>
      <c r="I938" s="42">
        <v>12985</v>
      </c>
    </row>
    <row r="939" spans="1:9" x14ac:dyDescent="0.25">
      <c r="A939" t="s">
        <v>9</v>
      </c>
      <c r="B939" s="39">
        <v>46106</v>
      </c>
      <c r="C939" s="40">
        <v>0.47916666666666669</v>
      </c>
      <c r="D939" s="41">
        <v>5231.5</v>
      </c>
      <c r="E939" s="41">
        <v>5232.5</v>
      </c>
      <c r="F939" s="41">
        <v>5213</v>
      </c>
      <c r="G939" s="41">
        <v>5216.5</v>
      </c>
      <c r="H939" s="41">
        <v>5470951875</v>
      </c>
      <c r="I939" s="42">
        <v>20940</v>
      </c>
    </row>
    <row r="940" spans="1:9" x14ac:dyDescent="0.25">
      <c r="A940" t="s">
        <v>9</v>
      </c>
      <c r="B940" s="39">
        <v>46106</v>
      </c>
      <c r="C940" s="40">
        <v>0.45833333333333331</v>
      </c>
      <c r="D940" s="41">
        <v>5249.5</v>
      </c>
      <c r="E940" s="41">
        <v>5254</v>
      </c>
      <c r="F940" s="41">
        <v>5227.5</v>
      </c>
      <c r="G940" s="41">
        <v>5232.5</v>
      </c>
      <c r="H940" s="41">
        <v>4928160000</v>
      </c>
      <c r="I940" s="42">
        <v>18805</v>
      </c>
    </row>
    <row r="941" spans="1:9" x14ac:dyDescent="0.25">
      <c r="A941" t="s">
        <v>9</v>
      </c>
      <c r="B941" s="39">
        <v>46106</v>
      </c>
      <c r="C941" s="40">
        <v>0.4375</v>
      </c>
      <c r="D941" s="41">
        <v>5238.5</v>
      </c>
      <c r="E941" s="41">
        <v>5254</v>
      </c>
      <c r="F941" s="41">
        <v>5231.5</v>
      </c>
      <c r="G941" s="41">
        <v>5249.5</v>
      </c>
      <c r="H941" s="41">
        <v>4215701375</v>
      </c>
      <c r="I941" s="42">
        <v>16080</v>
      </c>
    </row>
    <row r="942" spans="1:9" x14ac:dyDescent="0.25">
      <c r="A942" t="s">
        <v>9</v>
      </c>
      <c r="B942" s="39">
        <v>46106</v>
      </c>
      <c r="C942" s="40">
        <v>0.41666666666666669</v>
      </c>
      <c r="D942" s="41">
        <v>5236</v>
      </c>
      <c r="E942" s="41">
        <v>5247</v>
      </c>
      <c r="F942" s="41">
        <v>5232.5</v>
      </c>
      <c r="G942" s="41">
        <v>5239.5</v>
      </c>
      <c r="H942" s="41">
        <v>4389602625</v>
      </c>
      <c r="I942" s="42">
        <v>16755</v>
      </c>
    </row>
    <row r="943" spans="1:9" x14ac:dyDescent="0.25">
      <c r="A943" t="s">
        <v>9</v>
      </c>
      <c r="B943" s="39">
        <v>46106</v>
      </c>
      <c r="C943" s="40">
        <v>0.39583333333333331</v>
      </c>
      <c r="D943" s="41">
        <v>5240.5</v>
      </c>
      <c r="E943" s="41">
        <v>5250.5</v>
      </c>
      <c r="F943" s="41">
        <v>5235.5</v>
      </c>
      <c r="G943" s="41">
        <v>5236.5</v>
      </c>
      <c r="H943" s="41">
        <v>3308133750</v>
      </c>
      <c r="I943" s="42">
        <v>12620</v>
      </c>
    </row>
    <row r="944" spans="1:9" x14ac:dyDescent="0.25">
      <c r="A944" t="s">
        <v>9</v>
      </c>
      <c r="B944" s="39">
        <v>46106</v>
      </c>
      <c r="C944" s="40">
        <v>0.375</v>
      </c>
      <c r="D944" s="41">
        <v>5222.5</v>
      </c>
      <c r="E944" s="41">
        <v>5246.5</v>
      </c>
      <c r="F944" s="41">
        <v>5219.5</v>
      </c>
      <c r="G944" s="41">
        <v>5240</v>
      </c>
      <c r="H944" s="41">
        <v>4043466250</v>
      </c>
      <c r="I944" s="42">
        <v>15460</v>
      </c>
    </row>
    <row r="945" spans="1:9" x14ac:dyDescent="0.25">
      <c r="A945" t="s">
        <v>9</v>
      </c>
      <c r="B945" s="39">
        <v>46105</v>
      </c>
      <c r="C945" s="40">
        <v>0.75</v>
      </c>
      <c r="D945" s="41">
        <v>5240.5</v>
      </c>
      <c r="E945" s="41">
        <v>5244.5</v>
      </c>
      <c r="F945" s="41">
        <v>5239.5</v>
      </c>
      <c r="G945" s="41">
        <v>5242.5</v>
      </c>
      <c r="H945" s="41">
        <v>300056125</v>
      </c>
      <c r="I945" s="42">
        <v>1145</v>
      </c>
    </row>
    <row r="946" spans="1:9" x14ac:dyDescent="0.25">
      <c r="A946" t="s">
        <v>9</v>
      </c>
      <c r="B946" s="39">
        <v>46105</v>
      </c>
      <c r="C946" s="40">
        <v>0.72916666666666663</v>
      </c>
      <c r="D946" s="41">
        <v>5240.5</v>
      </c>
      <c r="E946" s="41">
        <v>5244</v>
      </c>
      <c r="F946" s="41">
        <v>5220.5</v>
      </c>
      <c r="G946" s="41">
        <v>5242</v>
      </c>
      <c r="H946" s="41">
        <v>2569964375</v>
      </c>
      <c r="I946" s="42">
        <v>9820</v>
      </c>
    </row>
    <row r="947" spans="1:9" x14ac:dyDescent="0.25">
      <c r="A947" t="s">
        <v>9</v>
      </c>
      <c r="B947" s="39">
        <v>46105</v>
      </c>
      <c r="C947" s="40">
        <v>0.70833333333333337</v>
      </c>
      <c r="D947" s="41">
        <v>5262</v>
      </c>
      <c r="E947" s="41">
        <v>5263</v>
      </c>
      <c r="F947" s="41">
        <v>5229.5</v>
      </c>
      <c r="G947" s="41">
        <v>5239</v>
      </c>
      <c r="H947" s="41">
        <v>2928630750</v>
      </c>
      <c r="I947" s="42">
        <v>11165</v>
      </c>
    </row>
    <row r="948" spans="1:9" x14ac:dyDescent="0.25">
      <c r="A948" t="s">
        <v>9</v>
      </c>
      <c r="B948" s="39">
        <v>46105</v>
      </c>
      <c r="C948" s="40">
        <v>0.6875</v>
      </c>
      <c r="D948" s="41">
        <v>5264</v>
      </c>
      <c r="E948" s="41">
        <v>5267.5</v>
      </c>
      <c r="F948" s="41">
        <v>5262.5</v>
      </c>
      <c r="G948" s="41">
        <v>5262.5</v>
      </c>
      <c r="H948" s="41">
        <v>5537835375</v>
      </c>
      <c r="I948" s="42">
        <v>21035</v>
      </c>
    </row>
    <row r="949" spans="1:9" x14ac:dyDescent="0.25">
      <c r="A949" t="s">
        <v>9</v>
      </c>
      <c r="B949" s="39">
        <v>46105</v>
      </c>
      <c r="C949" s="40">
        <v>0.66666666666666663</v>
      </c>
      <c r="D949" s="41">
        <v>5268.5</v>
      </c>
      <c r="E949" s="41">
        <v>5268.5</v>
      </c>
      <c r="F949" s="41">
        <v>5258.5</v>
      </c>
      <c r="G949" s="41">
        <v>5264</v>
      </c>
      <c r="H949" s="41">
        <v>2090532125</v>
      </c>
      <c r="I949" s="42">
        <v>7945</v>
      </c>
    </row>
    <row r="950" spans="1:9" x14ac:dyDescent="0.25">
      <c r="A950" t="s">
        <v>9</v>
      </c>
      <c r="B950" s="39">
        <v>46105</v>
      </c>
      <c r="C950" s="40">
        <v>0.64583333333333337</v>
      </c>
      <c r="D950" s="41">
        <v>5266.5</v>
      </c>
      <c r="E950" s="41">
        <v>5274</v>
      </c>
      <c r="F950" s="41">
        <v>5261.5</v>
      </c>
      <c r="G950" s="41">
        <v>5269.5</v>
      </c>
      <c r="H950" s="41">
        <v>3599766500</v>
      </c>
      <c r="I950" s="42">
        <v>13665</v>
      </c>
    </row>
    <row r="951" spans="1:9" x14ac:dyDescent="0.25">
      <c r="A951" t="s">
        <v>9</v>
      </c>
      <c r="B951" s="39">
        <v>46105</v>
      </c>
      <c r="C951" s="40">
        <v>0.625</v>
      </c>
      <c r="D951" s="41">
        <v>5274.5</v>
      </c>
      <c r="E951" s="41">
        <v>5279.5</v>
      </c>
      <c r="F951" s="41">
        <v>5266</v>
      </c>
      <c r="G951" s="41">
        <v>5266</v>
      </c>
      <c r="H951" s="41">
        <v>5480446000</v>
      </c>
      <c r="I951" s="42">
        <v>20785</v>
      </c>
    </row>
    <row r="952" spans="1:9" x14ac:dyDescent="0.25">
      <c r="A952" t="s">
        <v>9</v>
      </c>
      <c r="B952" s="39">
        <v>46105</v>
      </c>
      <c r="C952" s="40">
        <v>0.60416666666666663</v>
      </c>
      <c r="D952" s="41">
        <v>5280</v>
      </c>
      <c r="E952" s="41">
        <v>5286.5</v>
      </c>
      <c r="F952" s="41">
        <v>5267.5</v>
      </c>
      <c r="G952" s="41">
        <v>5274.5</v>
      </c>
      <c r="H952" s="41">
        <v>7023097625</v>
      </c>
      <c r="I952" s="42">
        <v>26610</v>
      </c>
    </row>
    <row r="953" spans="1:9" x14ac:dyDescent="0.25">
      <c r="A953" t="s">
        <v>9</v>
      </c>
      <c r="B953" s="39">
        <v>46105</v>
      </c>
      <c r="C953" s="40">
        <v>0.58333333333333337</v>
      </c>
      <c r="D953" s="41">
        <v>5268</v>
      </c>
      <c r="E953" s="41">
        <v>5283.5</v>
      </c>
      <c r="F953" s="41">
        <v>5267.5</v>
      </c>
      <c r="G953" s="41">
        <v>5279.5</v>
      </c>
      <c r="H953" s="41">
        <v>5854737875</v>
      </c>
      <c r="I953" s="42">
        <v>22195</v>
      </c>
    </row>
    <row r="954" spans="1:9" x14ac:dyDescent="0.25">
      <c r="A954" t="s">
        <v>9</v>
      </c>
      <c r="B954" s="39">
        <v>46105</v>
      </c>
      <c r="C954" s="40">
        <v>0.5625</v>
      </c>
      <c r="D954" s="41">
        <v>5263</v>
      </c>
      <c r="E954" s="41">
        <v>5270</v>
      </c>
      <c r="F954" s="41">
        <v>5259.5</v>
      </c>
      <c r="G954" s="41">
        <v>5268.5</v>
      </c>
      <c r="H954" s="41">
        <v>3728736125</v>
      </c>
      <c r="I954" s="42">
        <v>14165</v>
      </c>
    </row>
    <row r="955" spans="1:9" x14ac:dyDescent="0.25">
      <c r="A955" t="s">
        <v>9</v>
      </c>
      <c r="B955" s="39">
        <v>46105</v>
      </c>
      <c r="C955" s="40">
        <v>0.54166666666666663</v>
      </c>
      <c r="D955" s="41">
        <v>5275</v>
      </c>
      <c r="E955" s="41">
        <v>5277.5</v>
      </c>
      <c r="F955" s="41">
        <v>5260.5</v>
      </c>
      <c r="G955" s="41">
        <v>5263</v>
      </c>
      <c r="H955" s="41">
        <v>2971323125</v>
      </c>
      <c r="I955" s="42">
        <v>11280</v>
      </c>
    </row>
    <row r="956" spans="1:9" x14ac:dyDescent="0.25">
      <c r="A956" t="s">
        <v>9</v>
      </c>
      <c r="B956" s="39">
        <v>46105</v>
      </c>
      <c r="C956" s="40">
        <v>0.52083333333333337</v>
      </c>
      <c r="D956" s="41">
        <v>5260</v>
      </c>
      <c r="E956" s="41">
        <v>5274.5</v>
      </c>
      <c r="F956" s="41">
        <v>5257</v>
      </c>
      <c r="G956" s="41">
        <v>5274.5</v>
      </c>
      <c r="H956" s="41">
        <v>3885226875</v>
      </c>
      <c r="I956" s="42">
        <v>14760</v>
      </c>
    </row>
    <row r="957" spans="1:9" x14ac:dyDescent="0.25">
      <c r="A957" t="s">
        <v>9</v>
      </c>
      <c r="B957" s="39">
        <v>46105</v>
      </c>
      <c r="C957" s="40">
        <v>0.5</v>
      </c>
      <c r="D957" s="41">
        <v>5269</v>
      </c>
      <c r="E957" s="41">
        <v>5271.5</v>
      </c>
      <c r="F957" s="41">
        <v>5251</v>
      </c>
      <c r="G957" s="41">
        <v>5261</v>
      </c>
      <c r="H957" s="41">
        <v>3520148250</v>
      </c>
      <c r="I957" s="42">
        <v>13380</v>
      </c>
    </row>
    <row r="958" spans="1:9" x14ac:dyDescent="0.25">
      <c r="A958" t="s">
        <v>9</v>
      </c>
      <c r="B958" s="39">
        <v>46105</v>
      </c>
      <c r="C958" s="40">
        <v>0.47916666666666669</v>
      </c>
      <c r="D958" s="41">
        <v>5261.5</v>
      </c>
      <c r="E958" s="41">
        <v>5280</v>
      </c>
      <c r="F958" s="41">
        <v>5259.5</v>
      </c>
      <c r="G958" s="41">
        <v>5269.5</v>
      </c>
      <c r="H958" s="41">
        <v>6324738250</v>
      </c>
      <c r="I958" s="42">
        <v>24005</v>
      </c>
    </row>
    <row r="959" spans="1:9" x14ac:dyDescent="0.25">
      <c r="A959" t="s">
        <v>9</v>
      </c>
      <c r="B959" s="39">
        <v>46105</v>
      </c>
      <c r="C959" s="40">
        <v>0.45833333333333331</v>
      </c>
      <c r="D959" s="41">
        <v>5267</v>
      </c>
      <c r="E959" s="41">
        <v>5268</v>
      </c>
      <c r="F959" s="41">
        <v>5255</v>
      </c>
      <c r="G959" s="41">
        <v>5261</v>
      </c>
      <c r="H959" s="41">
        <v>4366879250</v>
      </c>
      <c r="I959" s="42">
        <v>16600</v>
      </c>
    </row>
    <row r="960" spans="1:9" x14ac:dyDescent="0.25">
      <c r="A960" t="s">
        <v>9</v>
      </c>
      <c r="B960" s="39">
        <v>46105</v>
      </c>
      <c r="C960" s="40">
        <v>0.4375</v>
      </c>
      <c r="D960" s="41">
        <v>5285.5</v>
      </c>
      <c r="E960" s="41">
        <v>5286</v>
      </c>
      <c r="F960" s="41">
        <v>5266.5</v>
      </c>
      <c r="G960" s="41">
        <v>5267</v>
      </c>
      <c r="H960" s="41">
        <v>4673611750</v>
      </c>
      <c r="I960" s="42">
        <v>17715</v>
      </c>
    </row>
    <row r="961" spans="1:9" x14ac:dyDescent="0.25">
      <c r="A961" t="s">
        <v>9</v>
      </c>
      <c r="B961" s="39">
        <v>46105</v>
      </c>
      <c r="C961" s="40">
        <v>0.41666666666666669</v>
      </c>
      <c r="D961" s="41">
        <v>5274</v>
      </c>
      <c r="E961" s="41">
        <v>5285.5</v>
      </c>
      <c r="F961" s="41">
        <v>5260.5</v>
      </c>
      <c r="G961" s="41">
        <v>5285</v>
      </c>
      <c r="H961" s="41">
        <v>5065366375</v>
      </c>
      <c r="I961" s="42">
        <v>19215</v>
      </c>
    </row>
    <row r="962" spans="1:9" x14ac:dyDescent="0.25">
      <c r="A962" t="s">
        <v>9</v>
      </c>
      <c r="B962" s="39">
        <v>46105</v>
      </c>
      <c r="C962" s="40">
        <v>0.39583333333333331</v>
      </c>
      <c r="D962" s="41">
        <v>5268</v>
      </c>
      <c r="E962" s="41">
        <v>5287.5</v>
      </c>
      <c r="F962" s="41">
        <v>5267</v>
      </c>
      <c r="G962" s="41">
        <v>5274</v>
      </c>
      <c r="H962" s="41">
        <v>4077665625</v>
      </c>
      <c r="I962" s="42">
        <v>15450</v>
      </c>
    </row>
    <row r="963" spans="1:9" x14ac:dyDescent="0.25">
      <c r="A963" t="s">
        <v>9</v>
      </c>
      <c r="B963" s="39">
        <v>46105</v>
      </c>
      <c r="C963" s="40">
        <v>0.375</v>
      </c>
      <c r="D963" s="41">
        <v>5261.5</v>
      </c>
      <c r="E963" s="41">
        <v>5283</v>
      </c>
      <c r="F963" s="41">
        <v>5254</v>
      </c>
      <c r="G963" s="41">
        <v>5268</v>
      </c>
      <c r="H963" s="41">
        <v>2460592875</v>
      </c>
      <c r="I963" s="42">
        <v>9335</v>
      </c>
    </row>
    <row r="964" spans="1:9" x14ac:dyDescent="0.25">
      <c r="A964" t="s">
        <v>9</v>
      </c>
      <c r="B964" s="39">
        <v>46104</v>
      </c>
      <c r="C964" s="40">
        <v>0.75</v>
      </c>
      <c r="D964" s="41">
        <v>5244.5</v>
      </c>
      <c r="E964" s="41">
        <v>5248</v>
      </c>
      <c r="F964" s="41">
        <v>5241</v>
      </c>
      <c r="G964" s="41">
        <v>5246.5</v>
      </c>
      <c r="H964" s="41">
        <v>308149625</v>
      </c>
      <c r="I964" s="42">
        <v>1175</v>
      </c>
    </row>
    <row r="965" spans="1:9" x14ac:dyDescent="0.25">
      <c r="A965" t="s">
        <v>9</v>
      </c>
      <c r="B965" s="39">
        <v>46104</v>
      </c>
      <c r="C965" s="40">
        <v>0.72916666666666663</v>
      </c>
      <c r="D965" s="41">
        <v>5244</v>
      </c>
      <c r="E965" s="41">
        <v>5246</v>
      </c>
      <c r="F965" s="41">
        <v>5241</v>
      </c>
      <c r="G965" s="41">
        <v>5244.5</v>
      </c>
      <c r="H965" s="41">
        <v>839032625</v>
      </c>
      <c r="I965" s="42">
        <v>3200</v>
      </c>
    </row>
    <row r="966" spans="1:9" x14ac:dyDescent="0.25">
      <c r="A966" t="s">
        <v>9</v>
      </c>
      <c r="B966" s="39">
        <v>46104</v>
      </c>
      <c r="C966" s="40">
        <v>0.70833333333333337</v>
      </c>
      <c r="D966" s="41">
        <v>5251.5</v>
      </c>
      <c r="E966" s="41">
        <v>5252.5</v>
      </c>
      <c r="F966" s="41">
        <v>5242</v>
      </c>
      <c r="G966" s="41">
        <v>5244.5</v>
      </c>
      <c r="H966" s="41">
        <v>1423543875</v>
      </c>
      <c r="I966" s="42">
        <v>5425</v>
      </c>
    </row>
    <row r="967" spans="1:9" x14ac:dyDescent="0.25">
      <c r="A967" t="s">
        <v>9</v>
      </c>
      <c r="B967" s="39">
        <v>46104</v>
      </c>
      <c r="C967" s="40">
        <v>0.6875</v>
      </c>
      <c r="D967" s="41">
        <v>5242.5</v>
      </c>
      <c r="E967" s="41">
        <v>5253.5</v>
      </c>
      <c r="F967" s="41">
        <v>5241</v>
      </c>
      <c r="G967" s="41">
        <v>5251</v>
      </c>
      <c r="H967" s="41">
        <v>3309484625</v>
      </c>
      <c r="I967" s="42">
        <v>12620</v>
      </c>
    </row>
    <row r="968" spans="1:9" x14ac:dyDescent="0.25">
      <c r="A968" t="s">
        <v>9</v>
      </c>
      <c r="B968" s="39">
        <v>46104</v>
      </c>
      <c r="C968" s="40">
        <v>0.66666666666666663</v>
      </c>
      <c r="D968" s="41">
        <v>5235</v>
      </c>
      <c r="E968" s="41">
        <v>5245</v>
      </c>
      <c r="F968" s="41">
        <v>5234</v>
      </c>
      <c r="G968" s="41">
        <v>5243.5</v>
      </c>
      <c r="H968" s="41">
        <v>2459399375</v>
      </c>
      <c r="I968" s="42">
        <v>9385</v>
      </c>
    </row>
    <row r="969" spans="1:9" x14ac:dyDescent="0.25">
      <c r="A969" t="s">
        <v>9</v>
      </c>
      <c r="B969" s="39">
        <v>46104</v>
      </c>
      <c r="C969" s="40">
        <v>0.64583333333333337</v>
      </c>
      <c r="D969" s="41">
        <v>5243</v>
      </c>
      <c r="E969" s="41">
        <v>5243.5</v>
      </c>
      <c r="F969" s="41">
        <v>5228.5</v>
      </c>
      <c r="G969" s="41">
        <v>5235</v>
      </c>
      <c r="H969" s="41">
        <v>4744508250</v>
      </c>
      <c r="I969" s="42">
        <v>18125</v>
      </c>
    </row>
    <row r="970" spans="1:9" x14ac:dyDescent="0.25">
      <c r="A970" t="s">
        <v>9</v>
      </c>
      <c r="B970" s="39">
        <v>46104</v>
      </c>
      <c r="C970" s="40">
        <v>0.625</v>
      </c>
      <c r="D970" s="41">
        <v>5236</v>
      </c>
      <c r="E970" s="41">
        <v>5252</v>
      </c>
      <c r="F970" s="41">
        <v>5236</v>
      </c>
      <c r="G970" s="41">
        <v>5243</v>
      </c>
      <c r="H970" s="41">
        <v>3361395500</v>
      </c>
      <c r="I970" s="42">
        <v>12825</v>
      </c>
    </row>
    <row r="971" spans="1:9" x14ac:dyDescent="0.25">
      <c r="A971" t="s">
        <v>9</v>
      </c>
      <c r="B971" s="39">
        <v>46104</v>
      </c>
      <c r="C971" s="40">
        <v>0.60416666666666663</v>
      </c>
      <c r="D971" s="41">
        <v>5246</v>
      </c>
      <c r="E971" s="41">
        <v>5246.5</v>
      </c>
      <c r="F971" s="41">
        <v>5234</v>
      </c>
      <c r="G971" s="41">
        <v>5237</v>
      </c>
      <c r="H971" s="41">
        <v>4402216375</v>
      </c>
      <c r="I971" s="42">
        <v>16810</v>
      </c>
    </row>
    <row r="972" spans="1:9" x14ac:dyDescent="0.25">
      <c r="A972" t="s">
        <v>9</v>
      </c>
      <c r="B972" s="39">
        <v>46104</v>
      </c>
      <c r="C972" s="40">
        <v>0.58333333333333337</v>
      </c>
      <c r="D972" s="41">
        <v>5250.5</v>
      </c>
      <c r="E972" s="41">
        <v>5254</v>
      </c>
      <c r="F972" s="41">
        <v>5245</v>
      </c>
      <c r="G972" s="41">
        <v>5246</v>
      </c>
      <c r="H972" s="41">
        <v>2288417375</v>
      </c>
      <c r="I972" s="42">
        <v>8720</v>
      </c>
    </row>
    <row r="973" spans="1:9" x14ac:dyDescent="0.25">
      <c r="A973" t="s">
        <v>9</v>
      </c>
      <c r="B973" s="39">
        <v>46104</v>
      </c>
      <c r="C973" s="40">
        <v>0.5625</v>
      </c>
      <c r="D973" s="41">
        <v>5268.5</v>
      </c>
      <c r="E973" s="41">
        <v>5269</v>
      </c>
      <c r="F973" s="41">
        <v>5247.5</v>
      </c>
      <c r="G973" s="41">
        <v>5251.5</v>
      </c>
      <c r="H973" s="41">
        <v>4094577375</v>
      </c>
      <c r="I973" s="42">
        <v>15580</v>
      </c>
    </row>
    <row r="974" spans="1:9" x14ac:dyDescent="0.25">
      <c r="A974" t="s">
        <v>9</v>
      </c>
      <c r="B974" s="39">
        <v>46104</v>
      </c>
      <c r="C974" s="40">
        <v>0.54166666666666663</v>
      </c>
      <c r="D974" s="41">
        <v>5256.5</v>
      </c>
      <c r="E974" s="41">
        <v>5269</v>
      </c>
      <c r="F974" s="41">
        <v>5243</v>
      </c>
      <c r="G974" s="41">
        <v>5268</v>
      </c>
      <c r="H974" s="41">
        <v>4196718125</v>
      </c>
      <c r="I974" s="42">
        <v>15970</v>
      </c>
    </row>
    <row r="975" spans="1:9" x14ac:dyDescent="0.25">
      <c r="A975" t="s">
        <v>9</v>
      </c>
      <c r="B975" s="39">
        <v>46104</v>
      </c>
      <c r="C975" s="40">
        <v>0.52083333333333337</v>
      </c>
      <c r="D975" s="41">
        <v>5240</v>
      </c>
      <c r="E975" s="41">
        <v>5260</v>
      </c>
      <c r="F975" s="41">
        <v>5239</v>
      </c>
      <c r="G975" s="41">
        <v>5256</v>
      </c>
      <c r="H975" s="41">
        <v>5941542750</v>
      </c>
      <c r="I975" s="42">
        <v>22645</v>
      </c>
    </row>
    <row r="976" spans="1:9" x14ac:dyDescent="0.25">
      <c r="A976" t="s">
        <v>9</v>
      </c>
      <c r="B976" s="39">
        <v>46104</v>
      </c>
      <c r="C976" s="40">
        <v>0.5</v>
      </c>
      <c r="D976" s="41">
        <v>5242</v>
      </c>
      <c r="E976" s="41">
        <v>5243.5</v>
      </c>
      <c r="F976" s="41">
        <v>5224.5</v>
      </c>
      <c r="G976" s="41">
        <v>5239.5</v>
      </c>
      <c r="H976" s="41">
        <v>5318223750</v>
      </c>
      <c r="I976" s="42">
        <v>20320</v>
      </c>
    </row>
    <row r="977" spans="1:9" x14ac:dyDescent="0.25">
      <c r="A977" t="s">
        <v>9</v>
      </c>
      <c r="B977" s="39">
        <v>46104</v>
      </c>
      <c r="C977" s="40">
        <v>0.47916666666666669</v>
      </c>
      <c r="D977" s="41">
        <v>5237.5</v>
      </c>
      <c r="E977" s="41">
        <v>5246.5</v>
      </c>
      <c r="F977" s="41">
        <v>5233.5</v>
      </c>
      <c r="G977" s="41">
        <v>5243</v>
      </c>
      <c r="H977" s="41">
        <v>6568791500</v>
      </c>
      <c r="I977" s="42">
        <v>25075</v>
      </c>
    </row>
    <row r="978" spans="1:9" x14ac:dyDescent="0.25">
      <c r="A978" t="s">
        <v>9</v>
      </c>
      <c r="B978" s="39">
        <v>46104</v>
      </c>
      <c r="C978" s="40">
        <v>0.45833333333333331</v>
      </c>
      <c r="D978" s="41">
        <v>5269</v>
      </c>
      <c r="E978" s="41">
        <v>5270</v>
      </c>
      <c r="F978" s="41">
        <v>5234</v>
      </c>
      <c r="G978" s="41">
        <v>5237.5</v>
      </c>
      <c r="H978" s="41">
        <v>9096516000</v>
      </c>
      <c r="I978" s="42">
        <v>34650</v>
      </c>
    </row>
    <row r="979" spans="1:9" x14ac:dyDescent="0.25">
      <c r="A979" t="s">
        <v>9</v>
      </c>
      <c r="B979" s="39">
        <v>46104</v>
      </c>
      <c r="C979" s="40">
        <v>0.4375</v>
      </c>
      <c r="D979" s="41">
        <v>5275.5</v>
      </c>
      <c r="E979" s="41">
        <v>5289.5</v>
      </c>
      <c r="F979" s="41">
        <v>5263.5</v>
      </c>
      <c r="G979" s="41">
        <v>5269.5</v>
      </c>
      <c r="H979" s="41">
        <v>5712539875</v>
      </c>
      <c r="I979" s="42">
        <v>21665</v>
      </c>
    </row>
    <row r="980" spans="1:9" x14ac:dyDescent="0.25">
      <c r="A980" t="s">
        <v>9</v>
      </c>
      <c r="B980" s="39">
        <v>46104</v>
      </c>
      <c r="C980" s="40">
        <v>0.41666666666666669</v>
      </c>
      <c r="D980" s="41">
        <v>5264.5</v>
      </c>
      <c r="E980" s="41">
        <v>5281</v>
      </c>
      <c r="F980" s="41">
        <v>5263.5</v>
      </c>
      <c r="G980" s="41">
        <v>5276.5</v>
      </c>
      <c r="H980" s="41">
        <v>5192360125</v>
      </c>
      <c r="I980" s="42">
        <v>19690</v>
      </c>
    </row>
    <row r="981" spans="1:9" x14ac:dyDescent="0.25">
      <c r="A981" t="s">
        <v>9</v>
      </c>
      <c r="B981" s="39">
        <v>46104</v>
      </c>
      <c r="C981" s="40">
        <v>0.39583333333333331</v>
      </c>
      <c r="D981" s="41">
        <v>5285.5</v>
      </c>
      <c r="E981" s="41">
        <v>5302</v>
      </c>
      <c r="F981" s="41">
        <v>5263</v>
      </c>
      <c r="G981" s="41">
        <v>5265.5</v>
      </c>
      <c r="H981" s="41">
        <v>6833764875</v>
      </c>
      <c r="I981" s="42">
        <v>25885</v>
      </c>
    </row>
    <row r="982" spans="1:9" x14ac:dyDescent="0.25">
      <c r="A982" t="s">
        <v>9</v>
      </c>
      <c r="B982" s="39">
        <v>46104</v>
      </c>
      <c r="C982" s="40">
        <v>0.375</v>
      </c>
      <c r="D982" s="41">
        <v>5301</v>
      </c>
      <c r="E982" s="41">
        <v>5324.5</v>
      </c>
      <c r="F982" s="41">
        <v>5283</v>
      </c>
      <c r="G982" s="41">
        <v>5285</v>
      </c>
      <c r="H982" s="41">
        <v>8335968000</v>
      </c>
      <c r="I982" s="42">
        <v>31440</v>
      </c>
    </row>
    <row r="983" spans="1:9" x14ac:dyDescent="0.25">
      <c r="A983" t="s">
        <v>9</v>
      </c>
      <c r="B983" s="39">
        <v>46101</v>
      </c>
      <c r="C983" s="40">
        <v>0.75</v>
      </c>
      <c r="D983" s="41">
        <v>5325.5</v>
      </c>
      <c r="E983" s="41">
        <v>5327.5</v>
      </c>
      <c r="F983" s="41">
        <v>5281</v>
      </c>
      <c r="G983" s="41">
        <v>5296.5</v>
      </c>
      <c r="H983" s="41">
        <v>1455421875</v>
      </c>
      <c r="I983" s="42">
        <v>5490</v>
      </c>
    </row>
    <row r="984" spans="1:9" x14ac:dyDescent="0.25">
      <c r="A984" t="s">
        <v>9</v>
      </c>
      <c r="B984" s="39">
        <v>46101</v>
      </c>
      <c r="C984" s="40">
        <v>0.72916666666666663</v>
      </c>
      <c r="D984" s="41">
        <v>5324</v>
      </c>
      <c r="E984" s="41">
        <v>5331.5</v>
      </c>
      <c r="F984" s="41">
        <v>5319</v>
      </c>
      <c r="G984" s="41">
        <v>5325.5</v>
      </c>
      <c r="H984" s="41">
        <v>1698787375</v>
      </c>
      <c r="I984" s="42">
        <v>6380</v>
      </c>
    </row>
    <row r="985" spans="1:9" x14ac:dyDescent="0.25">
      <c r="A985" t="s">
        <v>9</v>
      </c>
      <c r="B985" s="39">
        <v>46101</v>
      </c>
      <c r="C985" s="40">
        <v>0.70833333333333337</v>
      </c>
      <c r="D985" s="41">
        <v>5323.5</v>
      </c>
      <c r="E985" s="41">
        <v>5325.5</v>
      </c>
      <c r="F985" s="41">
        <v>5318.5</v>
      </c>
      <c r="G985" s="41">
        <v>5323.5</v>
      </c>
      <c r="H985" s="41">
        <v>2023448125</v>
      </c>
      <c r="I985" s="42">
        <v>7605</v>
      </c>
    </row>
    <row r="986" spans="1:9" x14ac:dyDescent="0.25">
      <c r="A986" t="s">
        <v>9</v>
      </c>
      <c r="B986" s="39">
        <v>46101</v>
      </c>
      <c r="C986" s="40">
        <v>0.6875</v>
      </c>
      <c r="D986" s="41">
        <v>5330</v>
      </c>
      <c r="E986" s="41">
        <v>5337.5</v>
      </c>
      <c r="F986" s="41">
        <v>5322</v>
      </c>
      <c r="G986" s="41">
        <v>5323.5</v>
      </c>
      <c r="H986" s="41">
        <v>5969616875</v>
      </c>
      <c r="I986" s="42">
        <v>22395</v>
      </c>
    </row>
    <row r="987" spans="1:9" x14ac:dyDescent="0.25">
      <c r="A987" t="s">
        <v>9</v>
      </c>
      <c r="B987" s="39">
        <v>46101</v>
      </c>
      <c r="C987" s="40">
        <v>0.66666666666666663</v>
      </c>
      <c r="D987" s="41">
        <v>5333</v>
      </c>
      <c r="E987" s="41">
        <v>5336</v>
      </c>
      <c r="F987" s="41">
        <v>5324</v>
      </c>
      <c r="G987" s="41">
        <v>5331</v>
      </c>
      <c r="H987" s="41">
        <v>5372104250</v>
      </c>
      <c r="I987" s="42">
        <v>20155</v>
      </c>
    </row>
    <row r="988" spans="1:9" x14ac:dyDescent="0.25">
      <c r="A988" t="s">
        <v>9</v>
      </c>
      <c r="B988" s="39">
        <v>46101</v>
      </c>
      <c r="C988" s="40">
        <v>0.64583333333333337</v>
      </c>
      <c r="D988" s="41">
        <v>5319.5</v>
      </c>
      <c r="E988" s="41">
        <v>5333.5</v>
      </c>
      <c r="F988" s="41">
        <v>5318</v>
      </c>
      <c r="G988" s="41">
        <v>5333</v>
      </c>
      <c r="H988" s="41">
        <v>5049379000</v>
      </c>
      <c r="I988" s="42">
        <v>18955</v>
      </c>
    </row>
    <row r="989" spans="1:9" x14ac:dyDescent="0.25">
      <c r="A989" t="s">
        <v>9</v>
      </c>
      <c r="B989" s="39">
        <v>46101</v>
      </c>
      <c r="C989" s="40">
        <v>0.625</v>
      </c>
      <c r="D989" s="41">
        <v>5313.5</v>
      </c>
      <c r="E989" s="41">
        <v>5329.5</v>
      </c>
      <c r="F989" s="41">
        <v>5308</v>
      </c>
      <c r="G989" s="41">
        <v>5320.5</v>
      </c>
      <c r="H989" s="41">
        <v>4400482750</v>
      </c>
      <c r="I989" s="42">
        <v>16550</v>
      </c>
    </row>
    <row r="990" spans="1:9" x14ac:dyDescent="0.25">
      <c r="A990" t="s">
        <v>9</v>
      </c>
      <c r="B990" s="39">
        <v>46101</v>
      </c>
      <c r="C990" s="40">
        <v>0.60416666666666663</v>
      </c>
      <c r="D990" s="41">
        <v>5314.5</v>
      </c>
      <c r="E990" s="41">
        <v>5325.5</v>
      </c>
      <c r="F990" s="41">
        <v>5311.5</v>
      </c>
      <c r="G990" s="41">
        <v>5314.5</v>
      </c>
      <c r="H990" s="41">
        <v>4106960250</v>
      </c>
      <c r="I990" s="42">
        <v>15445</v>
      </c>
    </row>
    <row r="991" spans="1:9" x14ac:dyDescent="0.25">
      <c r="A991" t="s">
        <v>9</v>
      </c>
      <c r="B991" s="39">
        <v>46101</v>
      </c>
      <c r="C991" s="40">
        <v>0.58333333333333337</v>
      </c>
      <c r="D991" s="41">
        <v>5304</v>
      </c>
      <c r="E991" s="41">
        <v>5316</v>
      </c>
      <c r="F991" s="41">
        <v>5298.5</v>
      </c>
      <c r="G991" s="41">
        <v>5314.5</v>
      </c>
      <c r="H991" s="41">
        <v>5081830000</v>
      </c>
      <c r="I991" s="42">
        <v>19150</v>
      </c>
    </row>
    <row r="992" spans="1:9" x14ac:dyDescent="0.25">
      <c r="A992" t="s">
        <v>9</v>
      </c>
      <c r="B992" s="39">
        <v>46101</v>
      </c>
      <c r="C992" s="40">
        <v>0.5625</v>
      </c>
      <c r="D992" s="41">
        <v>5298</v>
      </c>
      <c r="E992" s="41">
        <v>5309</v>
      </c>
      <c r="F992" s="41">
        <v>5298</v>
      </c>
      <c r="G992" s="41">
        <v>5305.5</v>
      </c>
      <c r="H992" s="41">
        <v>2684144000</v>
      </c>
      <c r="I992" s="42">
        <v>10125</v>
      </c>
    </row>
    <row r="993" spans="1:9" x14ac:dyDescent="0.25">
      <c r="A993" t="s">
        <v>9</v>
      </c>
      <c r="B993" s="39">
        <v>46101</v>
      </c>
      <c r="C993" s="40">
        <v>0.54166666666666663</v>
      </c>
      <c r="D993" s="41">
        <v>5303</v>
      </c>
      <c r="E993" s="41">
        <v>5307</v>
      </c>
      <c r="F993" s="41">
        <v>5281.5</v>
      </c>
      <c r="G993" s="41">
        <v>5297.5</v>
      </c>
      <c r="H993" s="41">
        <v>5410569125</v>
      </c>
      <c r="I993" s="42">
        <v>20435</v>
      </c>
    </row>
    <row r="994" spans="1:9" x14ac:dyDescent="0.25">
      <c r="A994" t="s">
        <v>9</v>
      </c>
      <c r="B994" s="39">
        <v>46101</v>
      </c>
      <c r="C994" s="40">
        <v>0.52083333333333337</v>
      </c>
      <c r="D994" s="41">
        <v>5300</v>
      </c>
      <c r="E994" s="41">
        <v>5307.5</v>
      </c>
      <c r="F994" s="41">
        <v>5289</v>
      </c>
      <c r="G994" s="41">
        <v>5303.5</v>
      </c>
      <c r="H994" s="41">
        <v>4678334250</v>
      </c>
      <c r="I994" s="42">
        <v>17655</v>
      </c>
    </row>
    <row r="995" spans="1:9" x14ac:dyDescent="0.25">
      <c r="A995" t="s">
        <v>9</v>
      </c>
      <c r="B995" s="39">
        <v>46101</v>
      </c>
      <c r="C995" s="40">
        <v>0.5</v>
      </c>
      <c r="D995" s="41">
        <v>5311.5</v>
      </c>
      <c r="E995" s="41">
        <v>5311.5</v>
      </c>
      <c r="F995" s="41">
        <v>5287</v>
      </c>
      <c r="G995" s="41">
        <v>5299.5</v>
      </c>
      <c r="H995" s="41">
        <v>5644355625</v>
      </c>
      <c r="I995" s="42">
        <v>21295</v>
      </c>
    </row>
    <row r="996" spans="1:9" x14ac:dyDescent="0.25">
      <c r="A996" t="s">
        <v>9</v>
      </c>
      <c r="B996" s="39">
        <v>46101</v>
      </c>
      <c r="C996" s="40">
        <v>0.47916666666666669</v>
      </c>
      <c r="D996" s="41">
        <v>5321</v>
      </c>
      <c r="E996" s="41">
        <v>5321</v>
      </c>
      <c r="F996" s="41">
        <v>5306.5</v>
      </c>
      <c r="G996" s="41">
        <v>5312</v>
      </c>
      <c r="H996" s="41">
        <v>5537881625</v>
      </c>
      <c r="I996" s="42">
        <v>20850</v>
      </c>
    </row>
    <row r="997" spans="1:9" x14ac:dyDescent="0.25">
      <c r="A997" t="s">
        <v>9</v>
      </c>
      <c r="B997" s="39">
        <v>46101</v>
      </c>
      <c r="C997" s="40">
        <v>0.45833333333333331</v>
      </c>
      <c r="D997" s="41">
        <v>5300</v>
      </c>
      <c r="E997" s="41">
        <v>5323</v>
      </c>
      <c r="F997" s="41">
        <v>5297.5</v>
      </c>
      <c r="G997" s="41">
        <v>5320.5</v>
      </c>
      <c r="H997" s="41">
        <v>11452700750</v>
      </c>
      <c r="I997" s="42">
        <v>43130</v>
      </c>
    </row>
    <row r="998" spans="1:9" x14ac:dyDescent="0.25">
      <c r="A998" t="s">
        <v>9</v>
      </c>
      <c r="B998" s="39">
        <v>46101</v>
      </c>
      <c r="C998" s="40">
        <v>0.4375</v>
      </c>
      <c r="D998" s="41">
        <v>5283.5</v>
      </c>
      <c r="E998" s="41">
        <v>5301.5</v>
      </c>
      <c r="F998" s="41">
        <v>5279</v>
      </c>
      <c r="G998" s="41">
        <v>5299.5</v>
      </c>
      <c r="H998" s="41">
        <v>8445380000</v>
      </c>
      <c r="I998" s="42">
        <v>31925</v>
      </c>
    </row>
    <row r="999" spans="1:9" x14ac:dyDescent="0.25">
      <c r="A999" t="s">
        <v>9</v>
      </c>
      <c r="B999" s="39">
        <v>46101</v>
      </c>
      <c r="C999" s="40">
        <v>0.41666666666666669</v>
      </c>
      <c r="D999" s="41">
        <v>5257.5</v>
      </c>
      <c r="E999" s="41">
        <v>5284</v>
      </c>
      <c r="F999" s="41">
        <v>5256.5</v>
      </c>
      <c r="G999" s="41">
        <v>5282.5</v>
      </c>
      <c r="H999" s="41">
        <v>3107326000</v>
      </c>
      <c r="I999" s="42">
        <v>11790</v>
      </c>
    </row>
    <row r="1000" spans="1:9" x14ac:dyDescent="0.25">
      <c r="A1000" t="s">
        <v>9</v>
      </c>
      <c r="B1000" s="39">
        <v>46101</v>
      </c>
      <c r="C1000" s="40">
        <v>0.39583333333333331</v>
      </c>
      <c r="D1000" s="41">
        <v>5249.5</v>
      </c>
      <c r="E1000" s="41">
        <v>5268.5</v>
      </c>
      <c r="F1000" s="41">
        <v>5248</v>
      </c>
      <c r="G1000" s="41">
        <v>5258</v>
      </c>
      <c r="H1000" s="41">
        <v>4233956000</v>
      </c>
      <c r="I1000" s="42">
        <v>16095</v>
      </c>
    </row>
    <row r="1001" spans="1:9" x14ac:dyDescent="0.25">
      <c r="A1001" t="s">
        <v>9</v>
      </c>
      <c r="B1001" s="39">
        <v>46101</v>
      </c>
      <c r="C1001" s="40">
        <v>0.375</v>
      </c>
      <c r="D1001" s="41">
        <v>5261</v>
      </c>
      <c r="E1001" s="41">
        <v>5263</v>
      </c>
      <c r="F1001" s="41">
        <v>5246.5</v>
      </c>
      <c r="G1001" s="41">
        <v>5249.5</v>
      </c>
      <c r="H1001" s="41">
        <v>3236654875</v>
      </c>
      <c r="I1001" s="42">
        <v>12320</v>
      </c>
    </row>
    <row r="1002" spans="1:9" x14ac:dyDescent="0.25">
      <c r="A1002" t="s">
        <v>9</v>
      </c>
      <c r="B1002" s="39">
        <v>46100</v>
      </c>
      <c r="C1002" s="40">
        <v>0.75</v>
      </c>
      <c r="D1002" s="41">
        <v>5235.5</v>
      </c>
      <c r="E1002" s="41">
        <v>5241</v>
      </c>
      <c r="F1002" s="41">
        <v>5233</v>
      </c>
      <c r="G1002" s="41">
        <v>5238</v>
      </c>
      <c r="H1002" s="41">
        <v>219966250</v>
      </c>
      <c r="I1002" s="42">
        <v>840</v>
      </c>
    </row>
    <row r="1003" spans="1:9" x14ac:dyDescent="0.25">
      <c r="A1003" t="s">
        <v>9</v>
      </c>
      <c r="B1003" s="39">
        <v>46100</v>
      </c>
      <c r="C1003" s="40">
        <v>0.72916666666666663</v>
      </c>
      <c r="D1003" s="41">
        <v>5237</v>
      </c>
      <c r="E1003" s="41">
        <v>5241.5</v>
      </c>
      <c r="F1003" s="41">
        <v>5234.5</v>
      </c>
      <c r="G1003" s="41">
        <v>5236</v>
      </c>
      <c r="H1003" s="41">
        <v>5548359375</v>
      </c>
      <c r="I1003" s="42">
        <v>21185</v>
      </c>
    </row>
    <row r="1004" spans="1:9" x14ac:dyDescent="0.25">
      <c r="A1004" t="s">
        <v>9</v>
      </c>
      <c r="B1004" s="39">
        <v>46100</v>
      </c>
      <c r="C1004" s="40">
        <v>0.70833333333333337</v>
      </c>
      <c r="D1004" s="41">
        <v>5228.5</v>
      </c>
      <c r="E1004" s="41">
        <v>5238.5</v>
      </c>
      <c r="F1004" s="41">
        <v>5227</v>
      </c>
      <c r="G1004" s="41">
        <v>5236</v>
      </c>
      <c r="H1004" s="41">
        <v>4011999375</v>
      </c>
      <c r="I1004" s="42">
        <v>15335</v>
      </c>
    </row>
    <row r="1005" spans="1:9" x14ac:dyDescent="0.25">
      <c r="A1005" t="s">
        <v>9</v>
      </c>
      <c r="B1005" s="39">
        <v>46100</v>
      </c>
      <c r="C1005" s="40">
        <v>0.6875</v>
      </c>
      <c r="D1005" s="41">
        <v>5228</v>
      </c>
      <c r="E1005" s="41">
        <v>5244.5</v>
      </c>
      <c r="F1005" s="41">
        <v>5222.5</v>
      </c>
      <c r="G1005" s="41">
        <v>5230.5</v>
      </c>
      <c r="H1005" s="41">
        <v>3717062125</v>
      </c>
      <c r="I1005" s="42">
        <v>14200</v>
      </c>
    </row>
    <row r="1006" spans="1:9" x14ac:dyDescent="0.25">
      <c r="A1006" t="s">
        <v>9</v>
      </c>
      <c r="B1006" s="39">
        <v>46100</v>
      </c>
      <c r="C1006" s="40">
        <v>0.66666666666666663</v>
      </c>
      <c r="D1006" s="41">
        <v>5251.5</v>
      </c>
      <c r="E1006" s="41">
        <v>5251.5</v>
      </c>
      <c r="F1006" s="41">
        <v>5216</v>
      </c>
      <c r="G1006" s="41">
        <v>5228.5</v>
      </c>
      <c r="H1006" s="41">
        <v>6351835875</v>
      </c>
      <c r="I1006" s="42">
        <v>24295</v>
      </c>
    </row>
    <row r="1007" spans="1:9" x14ac:dyDescent="0.25">
      <c r="A1007" t="s">
        <v>9</v>
      </c>
      <c r="B1007" s="39">
        <v>46100</v>
      </c>
      <c r="C1007" s="40">
        <v>0.64583333333333337</v>
      </c>
      <c r="D1007" s="41">
        <v>5261.5</v>
      </c>
      <c r="E1007" s="41">
        <v>5274</v>
      </c>
      <c r="F1007" s="41">
        <v>5250</v>
      </c>
      <c r="G1007" s="41">
        <v>5251</v>
      </c>
      <c r="H1007" s="41">
        <v>5453746000</v>
      </c>
      <c r="I1007" s="42">
        <v>20710</v>
      </c>
    </row>
    <row r="1008" spans="1:9" x14ac:dyDescent="0.25">
      <c r="A1008" t="s">
        <v>9</v>
      </c>
      <c r="B1008" s="39">
        <v>46100</v>
      </c>
      <c r="C1008" s="40">
        <v>0.625</v>
      </c>
      <c r="D1008" s="41">
        <v>5256</v>
      </c>
      <c r="E1008" s="41">
        <v>5265</v>
      </c>
      <c r="F1008" s="41">
        <v>5254.5</v>
      </c>
      <c r="G1008" s="41">
        <v>5261.5</v>
      </c>
      <c r="H1008" s="41">
        <v>2742335875</v>
      </c>
      <c r="I1008" s="42">
        <v>10430</v>
      </c>
    </row>
    <row r="1009" spans="1:9" x14ac:dyDescent="0.25">
      <c r="A1009" t="s">
        <v>9</v>
      </c>
      <c r="B1009" s="39">
        <v>46100</v>
      </c>
      <c r="C1009" s="40">
        <v>0.60416666666666663</v>
      </c>
      <c r="D1009" s="41">
        <v>5252</v>
      </c>
      <c r="E1009" s="41">
        <v>5259.5</v>
      </c>
      <c r="F1009" s="41">
        <v>5248.5</v>
      </c>
      <c r="G1009" s="41">
        <v>5256</v>
      </c>
      <c r="H1009" s="41">
        <v>2196452125</v>
      </c>
      <c r="I1009">
        <v>8360</v>
      </c>
    </row>
    <row r="1010" spans="1:9" x14ac:dyDescent="0.25">
      <c r="A1010" t="s">
        <v>9</v>
      </c>
      <c r="B1010" s="39">
        <v>46100</v>
      </c>
      <c r="C1010" s="40">
        <v>0.58333333333333337</v>
      </c>
      <c r="D1010" s="41">
        <v>5263.5</v>
      </c>
      <c r="E1010" s="41">
        <v>5274.5</v>
      </c>
      <c r="F1010" s="41">
        <v>5249.5</v>
      </c>
      <c r="G1010" s="41">
        <v>5253</v>
      </c>
      <c r="H1010" s="41">
        <v>3791848500</v>
      </c>
      <c r="I1010" s="42">
        <v>14420</v>
      </c>
    </row>
    <row r="1011" spans="1:9" x14ac:dyDescent="0.25">
      <c r="A1011" t="s">
        <v>9</v>
      </c>
      <c r="B1011" s="39">
        <v>46100</v>
      </c>
      <c r="C1011" s="40">
        <v>0.5625</v>
      </c>
      <c r="D1011" s="41">
        <v>5258.5</v>
      </c>
      <c r="E1011" s="41">
        <v>5271.5</v>
      </c>
      <c r="F1011" s="41">
        <v>5257</v>
      </c>
      <c r="G1011" s="41">
        <v>5265</v>
      </c>
      <c r="H1011" s="41">
        <v>955402500</v>
      </c>
      <c r="I1011" s="42">
        <v>3630</v>
      </c>
    </row>
    <row r="1012" spans="1:9" x14ac:dyDescent="0.25">
      <c r="A1012" t="s">
        <v>9</v>
      </c>
      <c r="B1012" s="39">
        <v>46100</v>
      </c>
      <c r="C1012" s="40">
        <v>0.54166666666666663</v>
      </c>
      <c r="D1012" s="41">
        <v>5260</v>
      </c>
      <c r="E1012" s="41">
        <v>5264.5</v>
      </c>
      <c r="F1012" s="41">
        <v>5249</v>
      </c>
      <c r="G1012" s="41">
        <v>5257.5</v>
      </c>
      <c r="H1012" s="41">
        <v>3007900875</v>
      </c>
      <c r="I1012" s="42">
        <v>11440</v>
      </c>
    </row>
    <row r="1013" spans="1:9" x14ac:dyDescent="0.25">
      <c r="A1013" t="s">
        <v>9</v>
      </c>
      <c r="B1013" s="39">
        <v>46100</v>
      </c>
      <c r="C1013" s="40">
        <v>0.52083333333333337</v>
      </c>
      <c r="D1013" s="41">
        <v>5268</v>
      </c>
      <c r="E1013" s="41">
        <v>5281</v>
      </c>
      <c r="F1013" s="41">
        <v>5251</v>
      </c>
      <c r="G1013" s="41">
        <v>5260</v>
      </c>
      <c r="H1013" s="41">
        <v>3572823500</v>
      </c>
      <c r="I1013" s="42">
        <v>13565</v>
      </c>
    </row>
    <row r="1014" spans="1:9" x14ac:dyDescent="0.25">
      <c r="A1014" t="s">
        <v>9</v>
      </c>
      <c r="B1014" s="39">
        <v>46100</v>
      </c>
      <c r="C1014" s="40">
        <v>0.5</v>
      </c>
      <c r="D1014" s="41">
        <v>5263</v>
      </c>
      <c r="E1014" s="41">
        <v>5269</v>
      </c>
      <c r="F1014" s="41">
        <v>5247.5</v>
      </c>
      <c r="G1014" s="41">
        <v>5267.5</v>
      </c>
      <c r="H1014" s="41">
        <v>3891235125</v>
      </c>
      <c r="I1014" s="42">
        <v>14800</v>
      </c>
    </row>
    <row r="1015" spans="1:9" x14ac:dyDescent="0.25">
      <c r="A1015" t="s">
        <v>9</v>
      </c>
      <c r="B1015" s="39">
        <v>46100</v>
      </c>
      <c r="C1015" s="40">
        <v>0.47916666666666669</v>
      </c>
      <c r="D1015" s="41">
        <v>5292</v>
      </c>
      <c r="E1015" s="41">
        <v>5292</v>
      </c>
      <c r="F1015" s="41">
        <v>5259</v>
      </c>
      <c r="G1015" s="41">
        <v>5262.5</v>
      </c>
      <c r="H1015" s="41">
        <v>4369280750</v>
      </c>
      <c r="I1015" s="42">
        <v>16575</v>
      </c>
    </row>
    <row r="1016" spans="1:9" x14ac:dyDescent="0.25">
      <c r="A1016" t="s">
        <v>9</v>
      </c>
      <c r="B1016" s="39">
        <v>46100</v>
      </c>
      <c r="C1016" s="40">
        <v>0.45833333333333331</v>
      </c>
      <c r="D1016" s="41">
        <v>5277.5</v>
      </c>
      <c r="E1016" s="41">
        <v>5294</v>
      </c>
      <c r="F1016" s="41">
        <v>5271.5</v>
      </c>
      <c r="G1016" s="41">
        <v>5292.5</v>
      </c>
      <c r="H1016" s="41">
        <v>6123077625</v>
      </c>
      <c r="I1016" s="42">
        <v>23195</v>
      </c>
    </row>
    <row r="1017" spans="1:9" x14ac:dyDescent="0.25">
      <c r="A1017" t="s">
        <v>9</v>
      </c>
      <c r="B1017" s="39">
        <v>46100</v>
      </c>
      <c r="C1017" s="40">
        <v>0.4375</v>
      </c>
      <c r="D1017" s="41">
        <v>5296.5</v>
      </c>
      <c r="E1017" s="41">
        <v>5308</v>
      </c>
      <c r="F1017" s="41">
        <v>5276.5</v>
      </c>
      <c r="G1017" s="41">
        <v>5279</v>
      </c>
      <c r="H1017" s="41">
        <v>6331867750</v>
      </c>
      <c r="I1017" s="42">
        <v>23935</v>
      </c>
    </row>
    <row r="1018" spans="1:9" x14ac:dyDescent="0.25">
      <c r="A1018" t="s">
        <v>9</v>
      </c>
      <c r="B1018" s="39">
        <v>46100</v>
      </c>
      <c r="C1018" s="40">
        <v>0.41666666666666669</v>
      </c>
      <c r="D1018" s="41">
        <v>5296</v>
      </c>
      <c r="E1018" s="41">
        <v>5329</v>
      </c>
      <c r="F1018" s="41">
        <v>5287</v>
      </c>
      <c r="G1018" s="41">
        <v>5296.5</v>
      </c>
      <c r="H1018" s="41">
        <v>10227866880</v>
      </c>
      <c r="I1018" s="42">
        <v>38550</v>
      </c>
    </row>
    <row r="1019" spans="1:9" x14ac:dyDescent="0.25">
      <c r="A1019" t="s">
        <v>9</v>
      </c>
      <c r="B1019" s="39">
        <v>46100</v>
      </c>
      <c r="C1019" s="40">
        <v>0.39583333333333331</v>
      </c>
      <c r="D1019" s="41">
        <v>5324</v>
      </c>
      <c r="E1019" s="41">
        <v>5327</v>
      </c>
      <c r="F1019" s="41">
        <v>5292.5</v>
      </c>
      <c r="G1019" s="41">
        <v>5297</v>
      </c>
      <c r="H1019" s="41">
        <v>6244499625</v>
      </c>
      <c r="I1019" s="42">
        <v>23540</v>
      </c>
    </row>
    <row r="1020" spans="1:9" x14ac:dyDescent="0.25">
      <c r="A1020" t="s">
        <v>9</v>
      </c>
      <c r="B1020" s="39">
        <v>46100</v>
      </c>
      <c r="C1020" s="40">
        <v>0.375</v>
      </c>
      <c r="D1020" s="41">
        <v>5256</v>
      </c>
      <c r="E1020" s="41">
        <v>5328.5</v>
      </c>
      <c r="F1020" s="41">
        <v>5255.5</v>
      </c>
      <c r="G1020" s="41">
        <v>5325</v>
      </c>
      <c r="H1020" s="41">
        <v>7548711250</v>
      </c>
      <c r="I1020" s="42">
        <v>28505</v>
      </c>
    </row>
    <row r="1021" spans="1:9" x14ac:dyDescent="0.25">
      <c r="A1021" t="s">
        <v>9</v>
      </c>
      <c r="B1021" s="39">
        <v>46099</v>
      </c>
      <c r="C1021" s="40">
        <v>0.75</v>
      </c>
      <c r="D1021" s="41">
        <v>5283</v>
      </c>
      <c r="E1021" s="41">
        <v>5289</v>
      </c>
      <c r="F1021" s="41">
        <v>5261</v>
      </c>
      <c r="G1021" s="41">
        <v>5261.5</v>
      </c>
      <c r="H1021" s="41">
        <v>1023517375</v>
      </c>
      <c r="I1021" s="42">
        <v>3880</v>
      </c>
    </row>
    <row r="1022" spans="1:9" x14ac:dyDescent="0.25">
      <c r="A1022" t="s">
        <v>9</v>
      </c>
      <c r="B1022" s="39">
        <v>46099</v>
      </c>
      <c r="C1022" s="40">
        <v>0.72916666666666663</v>
      </c>
      <c r="D1022" s="41">
        <v>5277</v>
      </c>
      <c r="E1022" s="41">
        <v>5285</v>
      </c>
      <c r="F1022" s="41">
        <v>5272</v>
      </c>
      <c r="G1022" s="41">
        <v>5283</v>
      </c>
      <c r="H1022" s="41">
        <v>1522534875</v>
      </c>
      <c r="I1022" s="42">
        <v>5770</v>
      </c>
    </row>
    <row r="1023" spans="1:9" x14ac:dyDescent="0.25">
      <c r="A1023" t="s">
        <v>9</v>
      </c>
      <c r="B1023" s="39">
        <v>46099</v>
      </c>
      <c r="C1023" s="40">
        <v>0.70833333333333337</v>
      </c>
      <c r="D1023" s="41">
        <v>5259.5</v>
      </c>
      <c r="E1023" s="41">
        <v>5278.5</v>
      </c>
      <c r="F1023" s="41">
        <v>5257.5</v>
      </c>
      <c r="G1023" s="41">
        <v>5277</v>
      </c>
      <c r="H1023" s="41">
        <v>2471420000</v>
      </c>
      <c r="I1023" s="42">
        <v>9385</v>
      </c>
    </row>
    <row r="1024" spans="1:9" x14ac:dyDescent="0.25">
      <c r="A1024" t="s">
        <v>9</v>
      </c>
      <c r="B1024" s="39">
        <v>46099</v>
      </c>
      <c r="C1024" s="40">
        <v>0.6875</v>
      </c>
      <c r="D1024" s="41">
        <v>5244</v>
      </c>
      <c r="E1024" s="41">
        <v>5261</v>
      </c>
      <c r="F1024" s="41">
        <v>5237</v>
      </c>
      <c r="G1024" s="41">
        <v>5258.5</v>
      </c>
      <c r="H1024" s="41">
        <v>3055202750</v>
      </c>
      <c r="I1024" s="42">
        <v>11645</v>
      </c>
    </row>
    <row r="1025" spans="1:9" x14ac:dyDescent="0.25">
      <c r="A1025" t="s">
        <v>9</v>
      </c>
      <c r="B1025" s="39">
        <v>46099</v>
      </c>
      <c r="C1025" s="40">
        <v>0.66666666666666663</v>
      </c>
      <c r="D1025" s="41">
        <v>5240</v>
      </c>
      <c r="E1025" s="41">
        <v>5246.5</v>
      </c>
      <c r="F1025" s="41">
        <v>5232.5</v>
      </c>
      <c r="G1025" s="41">
        <v>5244</v>
      </c>
      <c r="H1025" s="41">
        <v>4378391000</v>
      </c>
      <c r="I1025" s="42">
        <v>16715</v>
      </c>
    </row>
    <row r="1026" spans="1:9" x14ac:dyDescent="0.25">
      <c r="A1026" t="s">
        <v>9</v>
      </c>
      <c r="B1026" s="39">
        <v>46099</v>
      </c>
      <c r="C1026" s="40">
        <v>0.64583333333333337</v>
      </c>
      <c r="D1026" s="41">
        <v>5227.5</v>
      </c>
      <c r="E1026" s="41">
        <v>5240.5</v>
      </c>
      <c r="F1026" s="41">
        <v>5223.5</v>
      </c>
      <c r="G1026" s="41">
        <v>5239</v>
      </c>
      <c r="H1026" s="41">
        <v>3066852125</v>
      </c>
      <c r="I1026" s="42">
        <v>11720</v>
      </c>
    </row>
    <row r="1027" spans="1:9" x14ac:dyDescent="0.25">
      <c r="A1027" t="s">
        <v>9</v>
      </c>
      <c r="B1027" s="39">
        <v>46099</v>
      </c>
      <c r="C1027" s="40">
        <v>0.625</v>
      </c>
      <c r="D1027" s="41">
        <v>5219</v>
      </c>
      <c r="E1027" s="41">
        <v>5231</v>
      </c>
      <c r="F1027" s="41">
        <v>5211.5</v>
      </c>
      <c r="G1027" s="41">
        <v>5226</v>
      </c>
      <c r="H1027" s="41">
        <v>3491956500</v>
      </c>
      <c r="I1027" s="42">
        <v>13375</v>
      </c>
    </row>
    <row r="1028" spans="1:9" x14ac:dyDescent="0.25">
      <c r="A1028" t="s">
        <v>9</v>
      </c>
      <c r="B1028" s="39">
        <v>46099</v>
      </c>
      <c r="C1028" s="40">
        <v>0.60416666666666663</v>
      </c>
      <c r="D1028" s="41">
        <v>5225.5</v>
      </c>
      <c r="E1028" s="41">
        <v>5228.5</v>
      </c>
      <c r="F1028" s="41">
        <v>5214</v>
      </c>
      <c r="G1028" s="41">
        <v>5218</v>
      </c>
      <c r="H1028" s="41">
        <v>2511353250</v>
      </c>
      <c r="I1028" s="42">
        <v>9620</v>
      </c>
    </row>
    <row r="1029" spans="1:9" x14ac:dyDescent="0.25">
      <c r="A1029" t="s">
        <v>9</v>
      </c>
      <c r="B1029" s="39">
        <v>46099</v>
      </c>
      <c r="C1029" s="40">
        <v>0.58333333333333337</v>
      </c>
      <c r="D1029" s="41">
        <v>5220.5</v>
      </c>
      <c r="E1029" s="41">
        <v>5228.5</v>
      </c>
      <c r="F1029" s="41">
        <v>5219.5</v>
      </c>
      <c r="G1029" s="41">
        <v>5225</v>
      </c>
      <c r="H1029" s="41">
        <v>3023802500</v>
      </c>
      <c r="I1029" s="42">
        <v>11575</v>
      </c>
    </row>
    <row r="1030" spans="1:9" x14ac:dyDescent="0.25">
      <c r="A1030" t="s">
        <v>9</v>
      </c>
      <c r="B1030" s="39">
        <v>46099</v>
      </c>
      <c r="C1030" s="40">
        <v>0.5625</v>
      </c>
      <c r="D1030" s="41">
        <v>5209.5</v>
      </c>
      <c r="E1030" s="41">
        <v>5228.5</v>
      </c>
      <c r="F1030" s="41">
        <v>5209.5</v>
      </c>
      <c r="G1030" s="41">
        <v>5219.5</v>
      </c>
      <c r="H1030" s="41">
        <v>4911622125</v>
      </c>
      <c r="I1030" s="42">
        <v>18820</v>
      </c>
    </row>
    <row r="1031" spans="1:9" x14ac:dyDescent="0.25">
      <c r="A1031" t="s">
        <v>9</v>
      </c>
      <c r="B1031" s="39">
        <v>46099</v>
      </c>
      <c r="C1031" s="40">
        <v>0.54166666666666663</v>
      </c>
      <c r="D1031" s="41">
        <v>5218.5</v>
      </c>
      <c r="E1031" s="41">
        <v>5220.5</v>
      </c>
      <c r="F1031" s="41">
        <v>5207.5</v>
      </c>
      <c r="G1031" s="41">
        <v>5209.5</v>
      </c>
      <c r="H1031" s="41">
        <v>2125884625</v>
      </c>
      <c r="I1031" s="42">
        <v>8155</v>
      </c>
    </row>
    <row r="1032" spans="1:9" x14ac:dyDescent="0.25">
      <c r="A1032" t="s">
        <v>9</v>
      </c>
      <c r="B1032" s="39">
        <v>46099</v>
      </c>
      <c r="C1032" s="40">
        <v>0.52083333333333337</v>
      </c>
      <c r="D1032" s="41">
        <v>5219.5</v>
      </c>
      <c r="E1032" s="41">
        <v>5220</v>
      </c>
      <c r="F1032" s="41">
        <v>5213</v>
      </c>
      <c r="G1032" s="41">
        <v>5218</v>
      </c>
      <c r="H1032" s="41">
        <v>2365915125</v>
      </c>
      <c r="I1032" s="42">
        <v>9070</v>
      </c>
    </row>
    <row r="1033" spans="1:9" x14ac:dyDescent="0.25">
      <c r="A1033" t="s">
        <v>9</v>
      </c>
      <c r="B1033" s="39">
        <v>46099</v>
      </c>
      <c r="C1033" s="40">
        <v>0.5</v>
      </c>
      <c r="D1033" s="41">
        <v>5219.5</v>
      </c>
      <c r="E1033" s="41">
        <v>5222</v>
      </c>
      <c r="F1033" s="41">
        <v>5209</v>
      </c>
      <c r="G1033" s="41">
        <v>5219.5</v>
      </c>
      <c r="H1033" s="41">
        <v>3861861500</v>
      </c>
      <c r="I1033" s="42">
        <v>14805</v>
      </c>
    </row>
    <row r="1034" spans="1:9" x14ac:dyDescent="0.25">
      <c r="A1034" t="s">
        <v>9</v>
      </c>
      <c r="B1034" s="39">
        <v>46099</v>
      </c>
      <c r="C1034" s="40">
        <v>0.47916666666666669</v>
      </c>
      <c r="D1034" s="41">
        <v>5238.5</v>
      </c>
      <c r="E1034" s="41">
        <v>5239.5</v>
      </c>
      <c r="F1034" s="41">
        <v>5218.5</v>
      </c>
      <c r="G1034" s="41">
        <v>5219.5</v>
      </c>
      <c r="H1034" s="41">
        <v>3354750500</v>
      </c>
      <c r="I1034" s="42">
        <v>12835</v>
      </c>
    </row>
    <row r="1035" spans="1:9" x14ac:dyDescent="0.25">
      <c r="A1035" t="s">
        <v>9</v>
      </c>
      <c r="B1035" s="39">
        <v>46099</v>
      </c>
      <c r="C1035" s="40">
        <v>0.45833333333333331</v>
      </c>
      <c r="D1035" s="41">
        <v>5229</v>
      </c>
      <c r="E1035" s="41">
        <v>5241.5</v>
      </c>
      <c r="F1035" s="41">
        <v>5217</v>
      </c>
      <c r="G1035" s="41">
        <v>5239</v>
      </c>
      <c r="H1035" s="41">
        <v>4161301375</v>
      </c>
      <c r="I1035" s="42">
        <v>15925</v>
      </c>
    </row>
    <row r="1036" spans="1:9" x14ac:dyDescent="0.25">
      <c r="A1036" t="s">
        <v>9</v>
      </c>
      <c r="B1036" s="39">
        <v>46099</v>
      </c>
      <c r="C1036" s="40">
        <v>0.4375</v>
      </c>
      <c r="D1036" s="41">
        <v>5235</v>
      </c>
      <c r="E1036" s="41">
        <v>5238.5</v>
      </c>
      <c r="F1036" s="41">
        <v>5228</v>
      </c>
      <c r="G1036" s="41">
        <v>5229</v>
      </c>
      <c r="H1036" s="41">
        <v>7126318625</v>
      </c>
      <c r="I1036" s="42">
        <v>27240</v>
      </c>
    </row>
    <row r="1037" spans="1:9" x14ac:dyDescent="0.25">
      <c r="A1037" t="s">
        <v>9</v>
      </c>
      <c r="B1037" s="39">
        <v>46099</v>
      </c>
      <c r="C1037" s="40">
        <v>0.41666666666666669</v>
      </c>
      <c r="D1037" s="41">
        <v>5246</v>
      </c>
      <c r="E1037" s="41">
        <v>5248</v>
      </c>
      <c r="F1037" s="41">
        <v>5234</v>
      </c>
      <c r="G1037" s="41">
        <v>5234.5</v>
      </c>
      <c r="H1037" s="41">
        <v>4498001625</v>
      </c>
      <c r="I1037" s="42">
        <v>17165</v>
      </c>
    </row>
    <row r="1038" spans="1:9" x14ac:dyDescent="0.25">
      <c r="A1038" t="s">
        <v>9</v>
      </c>
      <c r="B1038" s="39">
        <v>46099</v>
      </c>
      <c r="C1038" s="40">
        <v>0.39583333333333331</v>
      </c>
      <c r="D1038" s="41">
        <v>5227</v>
      </c>
      <c r="E1038" s="41">
        <v>5247</v>
      </c>
      <c r="F1038" s="41">
        <v>5225</v>
      </c>
      <c r="G1038" s="41">
        <v>5246</v>
      </c>
      <c r="H1038" s="41">
        <v>4959569375</v>
      </c>
      <c r="I1038" s="42">
        <v>18940</v>
      </c>
    </row>
    <row r="1039" spans="1:9" x14ac:dyDescent="0.25">
      <c r="A1039" t="s">
        <v>9</v>
      </c>
      <c r="B1039" s="39">
        <v>46099</v>
      </c>
      <c r="C1039" s="40">
        <v>0.375</v>
      </c>
      <c r="D1039" s="41">
        <v>5210</v>
      </c>
      <c r="E1039" s="41">
        <v>5229</v>
      </c>
      <c r="F1039" s="41">
        <v>5200.5</v>
      </c>
      <c r="G1039" s="41">
        <v>5226</v>
      </c>
      <c r="H1039" s="41">
        <v>5465868125</v>
      </c>
      <c r="I1039" s="42">
        <v>20945</v>
      </c>
    </row>
    <row r="1040" spans="1:9" x14ac:dyDescent="0.25">
      <c r="A1040" t="s">
        <v>9</v>
      </c>
      <c r="B1040" s="39">
        <v>46098</v>
      </c>
      <c r="C1040" s="40">
        <v>0.75</v>
      </c>
      <c r="D1040" s="41">
        <v>5210.5</v>
      </c>
      <c r="E1040" s="41">
        <v>5215.5</v>
      </c>
      <c r="F1040" s="41">
        <v>5208.5</v>
      </c>
      <c r="G1040" s="41">
        <v>5215</v>
      </c>
      <c r="H1040" s="41">
        <v>402673250</v>
      </c>
      <c r="I1040" s="42">
        <v>1545</v>
      </c>
    </row>
    <row r="1041" spans="1:9" x14ac:dyDescent="0.25">
      <c r="A1041" t="s">
        <v>9</v>
      </c>
      <c r="B1041" s="39">
        <v>46098</v>
      </c>
      <c r="C1041" s="40">
        <v>0.72916666666666663</v>
      </c>
      <c r="D1041" s="41">
        <v>5215</v>
      </c>
      <c r="E1041" s="41">
        <v>5216</v>
      </c>
      <c r="F1041" s="41">
        <v>5208.5</v>
      </c>
      <c r="G1041" s="41">
        <v>5211.5</v>
      </c>
      <c r="H1041" s="41">
        <v>1930455875</v>
      </c>
      <c r="I1041" s="42">
        <v>7405</v>
      </c>
    </row>
    <row r="1042" spans="1:9" x14ac:dyDescent="0.25">
      <c r="A1042" t="s">
        <v>9</v>
      </c>
      <c r="B1042" s="39">
        <v>46098</v>
      </c>
      <c r="C1042" s="40">
        <v>0.70833333333333337</v>
      </c>
      <c r="D1042" s="41">
        <v>5218</v>
      </c>
      <c r="E1042" s="41">
        <v>5219.5</v>
      </c>
      <c r="F1042" s="41">
        <v>5213</v>
      </c>
      <c r="G1042" s="41">
        <v>5215</v>
      </c>
      <c r="H1042" s="41">
        <v>1423981375</v>
      </c>
      <c r="I1042" s="42">
        <v>5460</v>
      </c>
    </row>
    <row r="1043" spans="1:9" x14ac:dyDescent="0.25">
      <c r="A1043" t="s">
        <v>9</v>
      </c>
      <c r="B1043" s="39">
        <v>46098</v>
      </c>
      <c r="C1043" s="40">
        <v>0.6875</v>
      </c>
      <c r="D1043" s="41">
        <v>5222.5</v>
      </c>
      <c r="E1043" s="41">
        <v>5230</v>
      </c>
      <c r="F1043" s="41">
        <v>5216</v>
      </c>
      <c r="G1043" s="41">
        <v>5217.5</v>
      </c>
      <c r="H1043" s="41">
        <v>1534647125</v>
      </c>
      <c r="I1043" s="42">
        <v>5875</v>
      </c>
    </row>
    <row r="1044" spans="1:9" x14ac:dyDescent="0.25">
      <c r="A1044" t="s">
        <v>9</v>
      </c>
      <c r="B1044" s="39">
        <v>46098</v>
      </c>
      <c r="C1044" s="40">
        <v>0.66666666666666663</v>
      </c>
      <c r="D1044" s="41">
        <v>5216</v>
      </c>
      <c r="E1044" s="41">
        <v>5223.5</v>
      </c>
      <c r="F1044" s="41">
        <v>5213.5</v>
      </c>
      <c r="G1044" s="41">
        <v>5222.5</v>
      </c>
      <c r="H1044" s="41">
        <v>4413354375</v>
      </c>
      <c r="I1044" s="42">
        <v>16915</v>
      </c>
    </row>
    <row r="1045" spans="1:9" x14ac:dyDescent="0.25">
      <c r="A1045" t="s">
        <v>9</v>
      </c>
      <c r="B1045" s="39">
        <v>46098</v>
      </c>
      <c r="C1045" s="40">
        <v>0.64583333333333337</v>
      </c>
      <c r="D1045" s="41">
        <v>5208</v>
      </c>
      <c r="E1045" s="41">
        <v>5228.5</v>
      </c>
      <c r="F1045" s="41">
        <v>5207</v>
      </c>
      <c r="G1045" s="41">
        <v>5215.5</v>
      </c>
      <c r="H1045" s="41">
        <v>4788688875</v>
      </c>
      <c r="I1045" s="42">
        <v>18360</v>
      </c>
    </row>
    <row r="1046" spans="1:9" x14ac:dyDescent="0.25">
      <c r="A1046" t="s">
        <v>9</v>
      </c>
      <c r="B1046" s="39">
        <v>46098</v>
      </c>
      <c r="C1046" s="40">
        <v>0.625</v>
      </c>
      <c r="D1046" s="41">
        <v>5198.5</v>
      </c>
      <c r="E1046" s="41">
        <v>5209</v>
      </c>
      <c r="F1046" s="41">
        <v>5195.5</v>
      </c>
      <c r="G1046" s="41">
        <v>5208</v>
      </c>
      <c r="H1046" s="41">
        <v>3720044250</v>
      </c>
      <c r="I1046" s="42">
        <v>14305</v>
      </c>
    </row>
    <row r="1047" spans="1:9" x14ac:dyDescent="0.25">
      <c r="A1047" t="s">
        <v>9</v>
      </c>
      <c r="B1047" s="39">
        <v>46098</v>
      </c>
      <c r="C1047" s="40">
        <v>0.60416666666666663</v>
      </c>
      <c r="D1047" s="41">
        <v>5218</v>
      </c>
      <c r="E1047" s="41">
        <v>5219.5</v>
      </c>
      <c r="F1047" s="41">
        <v>5198</v>
      </c>
      <c r="G1047" s="41">
        <v>5198.5</v>
      </c>
      <c r="H1047" s="41">
        <v>4592216125</v>
      </c>
      <c r="I1047" s="42">
        <v>17650</v>
      </c>
    </row>
    <row r="1048" spans="1:9" x14ac:dyDescent="0.25">
      <c r="A1048" t="s">
        <v>9</v>
      </c>
      <c r="B1048" s="39">
        <v>46098</v>
      </c>
      <c r="C1048" s="40">
        <v>0.58333333333333337</v>
      </c>
      <c r="D1048" s="41">
        <v>5218.5</v>
      </c>
      <c r="E1048" s="41">
        <v>5223</v>
      </c>
      <c r="F1048" s="41">
        <v>5216.5</v>
      </c>
      <c r="G1048" s="41">
        <v>5218</v>
      </c>
      <c r="H1048" s="41">
        <v>5067680750</v>
      </c>
      <c r="I1048" s="42">
        <v>19415</v>
      </c>
    </row>
    <row r="1049" spans="1:9" x14ac:dyDescent="0.25">
      <c r="A1049" t="s">
        <v>9</v>
      </c>
      <c r="B1049" s="39">
        <v>46098</v>
      </c>
      <c r="C1049" s="40">
        <v>0.5625</v>
      </c>
      <c r="D1049" s="41">
        <v>5212.5</v>
      </c>
      <c r="E1049" s="41">
        <v>5219</v>
      </c>
      <c r="F1049" s="41">
        <v>5211.5</v>
      </c>
      <c r="G1049" s="41">
        <v>5218</v>
      </c>
      <c r="H1049" s="41">
        <v>2912532500</v>
      </c>
      <c r="I1049" s="42">
        <v>11165</v>
      </c>
    </row>
    <row r="1050" spans="1:9" x14ac:dyDescent="0.25">
      <c r="A1050" t="s">
        <v>9</v>
      </c>
      <c r="B1050" s="39">
        <v>46098</v>
      </c>
      <c r="C1050" s="40">
        <v>0.54166666666666663</v>
      </c>
      <c r="D1050" s="41">
        <v>5216</v>
      </c>
      <c r="E1050" s="41">
        <v>5220</v>
      </c>
      <c r="F1050" s="41">
        <v>5210.5</v>
      </c>
      <c r="G1050" s="41">
        <v>5213</v>
      </c>
      <c r="H1050" s="41">
        <v>2181023000</v>
      </c>
      <c r="I1050" s="42">
        <v>8365</v>
      </c>
    </row>
    <row r="1051" spans="1:9" x14ac:dyDescent="0.25">
      <c r="A1051" t="s">
        <v>9</v>
      </c>
      <c r="B1051" s="39">
        <v>46098</v>
      </c>
      <c r="C1051" s="40">
        <v>0.52083333333333337</v>
      </c>
      <c r="D1051" s="41">
        <v>5232.5</v>
      </c>
      <c r="E1051" s="41">
        <v>5237</v>
      </c>
      <c r="F1051" s="41">
        <v>5216</v>
      </c>
      <c r="G1051" s="41">
        <v>5216</v>
      </c>
      <c r="H1051" s="41">
        <v>3955099625</v>
      </c>
      <c r="I1051" s="42">
        <v>15125</v>
      </c>
    </row>
    <row r="1052" spans="1:9" x14ac:dyDescent="0.25">
      <c r="A1052" t="s">
        <v>9</v>
      </c>
      <c r="B1052" s="39">
        <v>46098</v>
      </c>
      <c r="C1052" s="40">
        <v>0.5</v>
      </c>
      <c r="D1052" s="41">
        <v>5217.5</v>
      </c>
      <c r="E1052" s="41">
        <v>5235.5</v>
      </c>
      <c r="F1052" s="41">
        <v>5215</v>
      </c>
      <c r="G1052" s="41">
        <v>5232</v>
      </c>
      <c r="H1052" s="41">
        <v>3081899750</v>
      </c>
      <c r="I1052" s="42">
        <v>11800</v>
      </c>
    </row>
    <row r="1053" spans="1:9" x14ac:dyDescent="0.25">
      <c r="A1053" t="s">
        <v>9</v>
      </c>
      <c r="B1053" s="39">
        <v>46098</v>
      </c>
      <c r="C1053" s="40">
        <v>0.47916666666666669</v>
      </c>
      <c r="D1053" s="41">
        <v>5222.5</v>
      </c>
      <c r="E1053" s="41">
        <v>5226</v>
      </c>
      <c r="F1053" s="41">
        <v>5215.5</v>
      </c>
      <c r="G1053" s="41">
        <v>5217.5</v>
      </c>
      <c r="H1053" s="41">
        <v>2552263875</v>
      </c>
      <c r="I1053" s="42">
        <v>9780</v>
      </c>
    </row>
    <row r="1054" spans="1:9" x14ac:dyDescent="0.25">
      <c r="A1054" t="s">
        <v>9</v>
      </c>
      <c r="B1054" s="39">
        <v>46098</v>
      </c>
      <c r="C1054" s="40">
        <v>0.45833333333333331</v>
      </c>
      <c r="D1054" s="41">
        <v>5220</v>
      </c>
      <c r="E1054" s="41">
        <v>5224</v>
      </c>
      <c r="F1054" s="41">
        <v>5207.5</v>
      </c>
      <c r="G1054" s="41">
        <v>5222.5</v>
      </c>
      <c r="H1054" s="41">
        <v>4231258000</v>
      </c>
      <c r="I1054" s="42">
        <v>16220</v>
      </c>
    </row>
    <row r="1055" spans="1:9" x14ac:dyDescent="0.25">
      <c r="A1055" t="s">
        <v>9</v>
      </c>
      <c r="B1055" s="39">
        <v>46098</v>
      </c>
      <c r="C1055" s="40">
        <v>0.4375</v>
      </c>
      <c r="D1055" s="41">
        <v>5216</v>
      </c>
      <c r="E1055" s="41">
        <v>5224.5</v>
      </c>
      <c r="F1055" s="41">
        <v>5211</v>
      </c>
      <c r="G1055" s="41">
        <v>5220</v>
      </c>
      <c r="H1055" s="41">
        <v>2940914875</v>
      </c>
      <c r="I1055" s="42">
        <v>11275</v>
      </c>
    </row>
    <row r="1056" spans="1:9" x14ac:dyDescent="0.25">
      <c r="A1056" t="s">
        <v>9</v>
      </c>
      <c r="B1056" s="39">
        <v>46098</v>
      </c>
      <c r="C1056" s="40">
        <v>0.41666666666666669</v>
      </c>
      <c r="D1056" s="41">
        <v>5228.5</v>
      </c>
      <c r="E1056" s="41">
        <v>5231</v>
      </c>
      <c r="F1056" s="41">
        <v>5214.5</v>
      </c>
      <c r="G1056" s="41">
        <v>5215.5</v>
      </c>
      <c r="H1056" s="41">
        <v>5081403250</v>
      </c>
      <c r="I1056" s="42">
        <v>19465</v>
      </c>
    </row>
    <row r="1057" spans="1:9" x14ac:dyDescent="0.25">
      <c r="A1057" t="s">
        <v>9</v>
      </c>
      <c r="B1057" s="39">
        <v>46098</v>
      </c>
      <c r="C1057" s="40">
        <v>0.39583333333333331</v>
      </c>
      <c r="D1057" s="41">
        <v>5224.5</v>
      </c>
      <c r="E1057" s="41">
        <v>5233</v>
      </c>
      <c r="F1057" s="41">
        <v>5215.5</v>
      </c>
      <c r="G1057" s="41">
        <v>5228</v>
      </c>
      <c r="H1057" s="41">
        <v>8335670375</v>
      </c>
      <c r="I1057" s="42">
        <v>31915</v>
      </c>
    </row>
    <row r="1058" spans="1:9" x14ac:dyDescent="0.25">
      <c r="A1058" t="s">
        <v>9</v>
      </c>
      <c r="B1058" s="39">
        <v>46098</v>
      </c>
      <c r="C1058" s="40">
        <v>0.375</v>
      </c>
      <c r="D1058" s="41">
        <v>5253</v>
      </c>
      <c r="E1058" s="41">
        <v>5261</v>
      </c>
      <c r="F1058" s="41">
        <v>5222</v>
      </c>
      <c r="G1058" s="41">
        <v>5225</v>
      </c>
      <c r="H1058" s="41">
        <v>4233134500</v>
      </c>
      <c r="I1058" s="42">
        <v>16170</v>
      </c>
    </row>
    <row r="1059" spans="1:9" x14ac:dyDescent="0.25">
      <c r="A1059" t="s">
        <v>9</v>
      </c>
      <c r="B1059" s="39">
        <v>46097</v>
      </c>
      <c r="C1059" s="40">
        <v>0.75</v>
      </c>
      <c r="D1059" s="41">
        <v>5252</v>
      </c>
      <c r="E1059" s="41">
        <v>5256</v>
      </c>
      <c r="F1059" s="41">
        <v>5251</v>
      </c>
      <c r="G1059" s="41">
        <v>5255</v>
      </c>
      <c r="H1059" s="41">
        <v>538484500</v>
      </c>
      <c r="I1059" s="42">
        <v>2050</v>
      </c>
    </row>
    <row r="1060" spans="1:9" x14ac:dyDescent="0.25">
      <c r="A1060" t="s">
        <v>9</v>
      </c>
      <c r="B1060" s="39">
        <v>46097</v>
      </c>
      <c r="C1060" s="40">
        <v>0.72916666666666663</v>
      </c>
      <c r="D1060" s="41">
        <v>5253</v>
      </c>
      <c r="E1060" s="41">
        <v>5258</v>
      </c>
      <c r="F1060" s="41">
        <v>5251</v>
      </c>
      <c r="G1060" s="41">
        <v>5252.5</v>
      </c>
      <c r="H1060" s="41">
        <v>960095000</v>
      </c>
      <c r="I1060" s="42">
        <v>3655</v>
      </c>
    </row>
    <row r="1061" spans="1:9" x14ac:dyDescent="0.25">
      <c r="A1061" t="s">
        <v>9</v>
      </c>
      <c r="B1061" s="39">
        <v>46097</v>
      </c>
      <c r="C1061" s="40">
        <v>0.70833333333333337</v>
      </c>
      <c r="D1061" s="41">
        <v>5250.5</v>
      </c>
      <c r="E1061" s="41">
        <v>5254</v>
      </c>
      <c r="F1061" s="41">
        <v>5248</v>
      </c>
      <c r="G1061" s="41">
        <v>5253.5</v>
      </c>
      <c r="H1061" s="41">
        <v>900619000</v>
      </c>
      <c r="I1061" s="42">
        <v>3430</v>
      </c>
    </row>
    <row r="1062" spans="1:9" x14ac:dyDescent="0.25">
      <c r="A1062" t="s">
        <v>9</v>
      </c>
      <c r="B1062" s="39">
        <v>46097</v>
      </c>
      <c r="C1062" s="40">
        <v>0.6875</v>
      </c>
      <c r="D1062" s="41">
        <v>5250</v>
      </c>
      <c r="E1062" s="41">
        <v>5254</v>
      </c>
      <c r="F1062" s="41">
        <v>5247.5</v>
      </c>
      <c r="G1062" s="41">
        <v>5251</v>
      </c>
      <c r="H1062" s="41">
        <v>2167606375</v>
      </c>
      <c r="I1062" s="42">
        <v>8255</v>
      </c>
    </row>
    <row r="1063" spans="1:9" x14ac:dyDescent="0.25">
      <c r="A1063" t="s">
        <v>9</v>
      </c>
      <c r="B1063" s="39">
        <v>46097</v>
      </c>
      <c r="C1063" s="40">
        <v>0.66666666666666663</v>
      </c>
      <c r="D1063" s="41">
        <v>5253</v>
      </c>
      <c r="E1063" s="41">
        <v>5253.5</v>
      </c>
      <c r="F1063" s="41">
        <v>5246.5</v>
      </c>
      <c r="G1063" s="41">
        <v>5250</v>
      </c>
      <c r="H1063" s="41">
        <v>3435184250</v>
      </c>
      <c r="I1063" s="42">
        <v>13085</v>
      </c>
    </row>
    <row r="1064" spans="1:9" x14ac:dyDescent="0.25">
      <c r="A1064" t="s">
        <v>9</v>
      </c>
      <c r="B1064" s="39">
        <v>46097</v>
      </c>
      <c r="C1064" s="40">
        <v>0.64583333333333337</v>
      </c>
      <c r="D1064" s="41">
        <v>5259</v>
      </c>
      <c r="E1064" s="41">
        <v>5262</v>
      </c>
      <c r="F1064" s="41">
        <v>5248</v>
      </c>
      <c r="G1064" s="41">
        <v>5253</v>
      </c>
      <c r="H1064" s="41">
        <v>4264890125</v>
      </c>
      <c r="I1064" s="42">
        <v>16235</v>
      </c>
    </row>
    <row r="1065" spans="1:9" x14ac:dyDescent="0.25">
      <c r="A1065" t="s">
        <v>9</v>
      </c>
      <c r="B1065" s="39">
        <v>46097</v>
      </c>
      <c r="C1065" s="40">
        <v>0.625</v>
      </c>
      <c r="D1065" s="41">
        <v>5278.5</v>
      </c>
      <c r="E1065" s="41">
        <v>5279</v>
      </c>
      <c r="F1065" s="41">
        <v>5258.5</v>
      </c>
      <c r="G1065" s="41">
        <v>5259.5</v>
      </c>
      <c r="H1065" s="41">
        <v>3895846250</v>
      </c>
      <c r="I1065" s="42">
        <v>14790</v>
      </c>
    </row>
    <row r="1066" spans="1:9" x14ac:dyDescent="0.25">
      <c r="A1066" t="s">
        <v>9</v>
      </c>
      <c r="B1066" s="39">
        <v>46097</v>
      </c>
      <c r="C1066" s="40">
        <v>0.60416666666666663</v>
      </c>
      <c r="D1066" s="41">
        <v>5276</v>
      </c>
      <c r="E1066" s="41">
        <v>5281.5</v>
      </c>
      <c r="F1066" s="41">
        <v>5273</v>
      </c>
      <c r="G1066" s="41">
        <v>5279</v>
      </c>
      <c r="H1066" s="41">
        <v>944776500</v>
      </c>
      <c r="I1066" s="42">
        <v>3580</v>
      </c>
    </row>
    <row r="1067" spans="1:9" x14ac:dyDescent="0.25">
      <c r="A1067" t="s">
        <v>9</v>
      </c>
      <c r="B1067" s="39">
        <v>46097</v>
      </c>
      <c r="C1067" s="40">
        <v>0.58333333333333337</v>
      </c>
      <c r="D1067" s="41">
        <v>5283.5</v>
      </c>
      <c r="E1067" s="41">
        <v>5284</v>
      </c>
      <c r="F1067" s="41">
        <v>5273.5</v>
      </c>
      <c r="G1067" s="41">
        <v>5276</v>
      </c>
      <c r="H1067" s="41">
        <v>2169584125</v>
      </c>
      <c r="I1067" s="42">
        <v>8220</v>
      </c>
    </row>
    <row r="1068" spans="1:9" x14ac:dyDescent="0.25">
      <c r="A1068" t="s">
        <v>9</v>
      </c>
      <c r="B1068" s="39">
        <v>46097</v>
      </c>
      <c r="C1068" s="40">
        <v>0.5625</v>
      </c>
      <c r="D1068" s="41">
        <v>5287.5</v>
      </c>
      <c r="E1068" s="41">
        <v>5294</v>
      </c>
      <c r="F1068" s="41">
        <v>5279</v>
      </c>
      <c r="G1068" s="41">
        <v>5284</v>
      </c>
      <c r="H1068" s="41">
        <v>1986058875</v>
      </c>
      <c r="I1068" s="42">
        <v>7515</v>
      </c>
    </row>
    <row r="1069" spans="1:9" x14ac:dyDescent="0.25">
      <c r="A1069" t="s">
        <v>9</v>
      </c>
      <c r="B1069" s="39">
        <v>46097</v>
      </c>
      <c r="C1069" s="40">
        <v>0.54166666666666663</v>
      </c>
      <c r="D1069" s="41">
        <v>5287</v>
      </c>
      <c r="E1069" s="41">
        <v>5290</v>
      </c>
      <c r="F1069" s="41">
        <v>5276.5</v>
      </c>
      <c r="G1069" s="41">
        <v>5288</v>
      </c>
      <c r="H1069" s="41">
        <v>4258209000</v>
      </c>
      <c r="I1069" s="42">
        <v>16120</v>
      </c>
    </row>
    <row r="1070" spans="1:9" x14ac:dyDescent="0.25">
      <c r="A1070" t="s">
        <v>9</v>
      </c>
      <c r="B1070" s="39">
        <v>46097</v>
      </c>
      <c r="C1070" s="40">
        <v>0.52083333333333337</v>
      </c>
      <c r="D1070" s="41">
        <v>5285.5</v>
      </c>
      <c r="E1070" s="41">
        <v>5292.5</v>
      </c>
      <c r="F1070" s="41">
        <v>5278.5</v>
      </c>
      <c r="G1070" s="41">
        <v>5286.5</v>
      </c>
      <c r="H1070" s="41">
        <v>1440330375</v>
      </c>
      <c r="I1070" s="42">
        <v>5450</v>
      </c>
    </row>
    <row r="1071" spans="1:9" x14ac:dyDescent="0.25">
      <c r="A1071" t="s">
        <v>9</v>
      </c>
      <c r="B1071" s="39">
        <v>46097</v>
      </c>
      <c r="C1071" s="40">
        <v>0.5</v>
      </c>
      <c r="D1071" s="41">
        <v>5290</v>
      </c>
      <c r="E1071" s="41">
        <v>5293</v>
      </c>
      <c r="F1071" s="41">
        <v>5284</v>
      </c>
      <c r="G1071" s="41">
        <v>5285.5</v>
      </c>
      <c r="H1071" s="41">
        <v>2586516750</v>
      </c>
      <c r="I1071" s="42">
        <v>9780</v>
      </c>
    </row>
    <row r="1072" spans="1:9" x14ac:dyDescent="0.25">
      <c r="A1072" t="s">
        <v>9</v>
      </c>
      <c r="B1072" s="39">
        <v>46097</v>
      </c>
      <c r="C1072" s="40">
        <v>0.47916666666666669</v>
      </c>
      <c r="D1072" s="41">
        <v>5282</v>
      </c>
      <c r="E1072" s="41">
        <v>5302</v>
      </c>
      <c r="F1072" s="41">
        <v>5282</v>
      </c>
      <c r="G1072" s="41">
        <v>5290.5</v>
      </c>
      <c r="H1072" s="41">
        <v>3160114250</v>
      </c>
      <c r="I1072" s="42">
        <v>11935</v>
      </c>
    </row>
    <row r="1073" spans="1:9" x14ac:dyDescent="0.25">
      <c r="A1073" t="s">
        <v>9</v>
      </c>
      <c r="B1073" s="39">
        <v>46097</v>
      </c>
      <c r="C1073" s="40">
        <v>0.45833333333333331</v>
      </c>
      <c r="D1073" s="41">
        <v>5277</v>
      </c>
      <c r="E1073" s="41">
        <v>5284</v>
      </c>
      <c r="F1073" s="41">
        <v>5273.5</v>
      </c>
      <c r="G1073" s="41">
        <v>5282.5</v>
      </c>
      <c r="H1073" s="41">
        <v>3191122625</v>
      </c>
      <c r="I1073" s="42">
        <v>12090</v>
      </c>
    </row>
    <row r="1074" spans="1:9" x14ac:dyDescent="0.25">
      <c r="A1074" t="s">
        <v>9</v>
      </c>
      <c r="B1074" s="39">
        <v>46097</v>
      </c>
      <c r="C1074" s="40">
        <v>0.4375</v>
      </c>
      <c r="D1074" s="41">
        <v>5299.5</v>
      </c>
      <c r="E1074" s="41">
        <v>5299.5</v>
      </c>
      <c r="F1074" s="41">
        <v>5272</v>
      </c>
      <c r="G1074" s="41">
        <v>5276.5</v>
      </c>
      <c r="H1074" s="41">
        <v>4523790250</v>
      </c>
      <c r="I1074" s="42">
        <v>17120</v>
      </c>
    </row>
    <row r="1075" spans="1:9" x14ac:dyDescent="0.25">
      <c r="A1075" t="s">
        <v>9</v>
      </c>
      <c r="B1075" s="39">
        <v>46097</v>
      </c>
      <c r="C1075" s="40">
        <v>0.41666666666666669</v>
      </c>
      <c r="D1075" s="41">
        <v>5283.5</v>
      </c>
      <c r="E1075" s="41">
        <v>5300</v>
      </c>
      <c r="F1075" s="41">
        <v>5278</v>
      </c>
      <c r="G1075" s="41">
        <v>5299</v>
      </c>
      <c r="H1075" s="41">
        <v>3218493750</v>
      </c>
      <c r="I1075" s="42">
        <v>12170</v>
      </c>
    </row>
    <row r="1076" spans="1:9" x14ac:dyDescent="0.25">
      <c r="A1076" t="s">
        <v>9</v>
      </c>
      <c r="B1076" s="39">
        <v>46097</v>
      </c>
      <c r="C1076" s="40">
        <v>0.39583333333333331</v>
      </c>
      <c r="D1076" s="41">
        <v>5282</v>
      </c>
      <c r="E1076" s="41">
        <v>5288</v>
      </c>
      <c r="F1076" s="41">
        <v>5277.5</v>
      </c>
      <c r="G1076" s="41">
        <v>5285</v>
      </c>
      <c r="H1076" s="41">
        <v>2531020625</v>
      </c>
      <c r="I1076" s="42">
        <v>9585</v>
      </c>
    </row>
    <row r="1077" spans="1:9" x14ac:dyDescent="0.25">
      <c r="A1077" t="s">
        <v>9</v>
      </c>
      <c r="B1077" s="39">
        <v>46097</v>
      </c>
      <c r="C1077" s="40">
        <v>0.375</v>
      </c>
      <c r="D1077" s="41">
        <v>5303</v>
      </c>
      <c r="E1077" s="41">
        <v>5306</v>
      </c>
      <c r="F1077" s="41">
        <v>5278</v>
      </c>
      <c r="G1077" s="41">
        <v>5282.5</v>
      </c>
      <c r="H1077" s="41">
        <v>6299417500</v>
      </c>
      <c r="I1077" s="42">
        <v>23825</v>
      </c>
    </row>
    <row r="1078" spans="1:9" x14ac:dyDescent="0.25">
      <c r="A1078" t="s">
        <v>9</v>
      </c>
      <c r="B1078" s="39">
        <v>46094</v>
      </c>
      <c r="C1078" s="40">
        <v>0.75</v>
      </c>
      <c r="D1078" s="41">
        <v>5346.5</v>
      </c>
      <c r="E1078" s="41">
        <v>5358</v>
      </c>
      <c r="F1078" s="41">
        <v>5346</v>
      </c>
      <c r="G1078" s="41">
        <v>5353.5</v>
      </c>
      <c r="H1078" s="41">
        <v>1564813875</v>
      </c>
      <c r="I1078" s="42">
        <v>5850</v>
      </c>
    </row>
    <row r="1079" spans="1:9" x14ac:dyDescent="0.25">
      <c r="A1079" t="s">
        <v>9</v>
      </c>
      <c r="B1079" s="39">
        <v>46094</v>
      </c>
      <c r="C1079" s="40">
        <v>0.72916666666666663</v>
      </c>
      <c r="D1079" s="41">
        <v>5345</v>
      </c>
      <c r="E1079" s="41">
        <v>5349</v>
      </c>
      <c r="F1079" s="41">
        <v>5340</v>
      </c>
      <c r="G1079" s="41">
        <v>5346</v>
      </c>
      <c r="H1079" s="41">
        <v>1810219875</v>
      </c>
      <c r="I1079" s="42">
        <v>6775</v>
      </c>
    </row>
    <row r="1080" spans="1:9" x14ac:dyDescent="0.25">
      <c r="A1080" t="s">
        <v>9</v>
      </c>
      <c r="B1080" s="39">
        <v>46094</v>
      </c>
      <c r="C1080" s="40">
        <v>0.70833333333333337</v>
      </c>
      <c r="D1080" s="41">
        <v>5339</v>
      </c>
      <c r="E1080" s="41">
        <v>5346</v>
      </c>
      <c r="F1080" s="41">
        <v>5336.5</v>
      </c>
      <c r="G1080" s="41">
        <v>5345</v>
      </c>
      <c r="H1080" s="41">
        <v>5494249875</v>
      </c>
      <c r="I1080" s="42">
        <v>20565</v>
      </c>
    </row>
    <row r="1081" spans="1:9" x14ac:dyDescent="0.25">
      <c r="A1081" t="s">
        <v>9</v>
      </c>
      <c r="B1081" s="39">
        <v>46094</v>
      </c>
      <c r="C1081" s="40">
        <v>0.6875</v>
      </c>
      <c r="D1081" s="41">
        <v>5335</v>
      </c>
      <c r="E1081" s="41">
        <v>5347.5</v>
      </c>
      <c r="F1081" s="41">
        <v>5334.5</v>
      </c>
      <c r="G1081" s="41">
        <v>5338.5</v>
      </c>
      <c r="H1081" s="41">
        <v>3824713500</v>
      </c>
      <c r="I1081" s="42">
        <v>14320</v>
      </c>
    </row>
    <row r="1082" spans="1:9" x14ac:dyDescent="0.25">
      <c r="A1082" t="s">
        <v>9</v>
      </c>
      <c r="B1082" s="39">
        <v>46094</v>
      </c>
      <c r="C1082" s="40">
        <v>0.66666666666666663</v>
      </c>
      <c r="D1082" s="41">
        <v>5321</v>
      </c>
      <c r="E1082" s="41">
        <v>5337.5</v>
      </c>
      <c r="F1082" s="41">
        <v>5319.5</v>
      </c>
      <c r="G1082" s="41">
        <v>5336</v>
      </c>
      <c r="H1082" s="41">
        <v>3359952500</v>
      </c>
      <c r="I1082" s="42">
        <v>12605</v>
      </c>
    </row>
    <row r="1083" spans="1:9" x14ac:dyDescent="0.25">
      <c r="A1083" t="s">
        <v>9</v>
      </c>
      <c r="B1083" s="39">
        <v>46094</v>
      </c>
      <c r="C1083" s="40">
        <v>0.64583333333333337</v>
      </c>
      <c r="D1083" s="41">
        <v>5327</v>
      </c>
      <c r="E1083" s="41">
        <v>5327</v>
      </c>
      <c r="F1083" s="41">
        <v>5316.5</v>
      </c>
      <c r="G1083" s="41">
        <v>5321.5</v>
      </c>
      <c r="H1083" s="41">
        <v>3787892750</v>
      </c>
      <c r="I1083" s="42">
        <v>14235</v>
      </c>
    </row>
    <row r="1084" spans="1:9" x14ac:dyDescent="0.25">
      <c r="A1084" t="s">
        <v>9</v>
      </c>
      <c r="B1084" s="39">
        <v>46094</v>
      </c>
      <c r="C1084" s="40">
        <v>0.625</v>
      </c>
      <c r="D1084" s="41">
        <v>5316.5</v>
      </c>
      <c r="E1084" s="41">
        <v>5332.5</v>
      </c>
      <c r="F1084" s="41">
        <v>5311</v>
      </c>
      <c r="G1084" s="41">
        <v>5325.5</v>
      </c>
      <c r="H1084" s="41">
        <v>6007468375</v>
      </c>
      <c r="I1084" s="42">
        <v>22570</v>
      </c>
    </row>
    <row r="1085" spans="1:9" x14ac:dyDescent="0.25">
      <c r="A1085" t="s">
        <v>9</v>
      </c>
      <c r="B1085" s="39">
        <v>46094</v>
      </c>
      <c r="C1085" s="40">
        <v>0.60416666666666663</v>
      </c>
      <c r="D1085" s="41">
        <v>5309.5</v>
      </c>
      <c r="E1085" s="41">
        <v>5327</v>
      </c>
      <c r="F1085" s="41">
        <v>5306</v>
      </c>
      <c r="G1085" s="41">
        <v>5316</v>
      </c>
      <c r="H1085" s="41">
        <v>5991067250</v>
      </c>
      <c r="I1085" s="42">
        <v>22530</v>
      </c>
    </row>
    <row r="1086" spans="1:9" x14ac:dyDescent="0.25">
      <c r="A1086" t="s">
        <v>9</v>
      </c>
      <c r="B1086" s="39">
        <v>46094</v>
      </c>
      <c r="C1086" s="40">
        <v>0.58333333333333337</v>
      </c>
      <c r="D1086" s="41">
        <v>5305.5</v>
      </c>
      <c r="E1086" s="41">
        <v>5318</v>
      </c>
      <c r="F1086" s="41">
        <v>5304.5</v>
      </c>
      <c r="G1086" s="41">
        <v>5310</v>
      </c>
      <c r="H1086" s="41">
        <v>3601842500</v>
      </c>
      <c r="I1086" s="42">
        <v>13565</v>
      </c>
    </row>
    <row r="1087" spans="1:9" x14ac:dyDescent="0.25">
      <c r="A1087" t="s">
        <v>9</v>
      </c>
      <c r="B1087" s="39">
        <v>46094</v>
      </c>
      <c r="C1087" s="40">
        <v>0.5625</v>
      </c>
      <c r="D1087" s="41">
        <v>5314.5</v>
      </c>
      <c r="E1087" s="41">
        <v>5314.5</v>
      </c>
      <c r="F1087" s="41">
        <v>5297.5</v>
      </c>
      <c r="G1087" s="41">
        <v>5306</v>
      </c>
      <c r="H1087" s="41">
        <v>6186525375</v>
      </c>
      <c r="I1087" s="42">
        <v>23320</v>
      </c>
    </row>
    <row r="1088" spans="1:9" x14ac:dyDescent="0.25">
      <c r="A1088" t="s">
        <v>9</v>
      </c>
      <c r="B1088" s="39">
        <v>46094</v>
      </c>
      <c r="C1088" s="40">
        <v>0.54166666666666663</v>
      </c>
      <c r="D1088" s="41">
        <v>5314.5</v>
      </c>
      <c r="E1088" s="41">
        <v>5317</v>
      </c>
      <c r="F1088" s="41">
        <v>5298.5</v>
      </c>
      <c r="G1088" s="41">
        <v>5315.5</v>
      </c>
      <c r="H1088" s="41">
        <v>4520075750</v>
      </c>
      <c r="I1088" s="42">
        <v>17030</v>
      </c>
    </row>
    <row r="1089" spans="1:9" x14ac:dyDescent="0.25">
      <c r="A1089" t="s">
        <v>9</v>
      </c>
      <c r="B1089" s="39">
        <v>46094</v>
      </c>
      <c r="C1089" s="40">
        <v>0.52083333333333337</v>
      </c>
      <c r="D1089" s="41">
        <v>5295.5</v>
      </c>
      <c r="E1089" s="41">
        <v>5319.5</v>
      </c>
      <c r="F1089" s="41">
        <v>5267</v>
      </c>
      <c r="G1089" s="41">
        <v>5314.5</v>
      </c>
      <c r="H1089" s="41">
        <v>9709781500</v>
      </c>
      <c r="I1089" s="42">
        <v>36615</v>
      </c>
    </row>
    <row r="1090" spans="1:9" x14ac:dyDescent="0.25">
      <c r="A1090" t="s">
        <v>9</v>
      </c>
      <c r="B1090" s="39">
        <v>46094</v>
      </c>
      <c r="C1090" s="40">
        <v>0.5</v>
      </c>
      <c r="D1090" s="41">
        <v>5280.5</v>
      </c>
      <c r="E1090" s="41">
        <v>5299.5</v>
      </c>
      <c r="F1090" s="41">
        <v>5268</v>
      </c>
      <c r="G1090" s="41">
        <v>5296</v>
      </c>
      <c r="H1090" s="41">
        <v>5518974250</v>
      </c>
      <c r="I1090" s="42">
        <v>20885</v>
      </c>
    </row>
    <row r="1091" spans="1:9" x14ac:dyDescent="0.25">
      <c r="A1091" t="s">
        <v>9</v>
      </c>
      <c r="B1091" s="39">
        <v>46094</v>
      </c>
      <c r="C1091" s="40">
        <v>0.47916666666666669</v>
      </c>
      <c r="D1091" s="41">
        <v>5255</v>
      </c>
      <c r="E1091" s="41">
        <v>5282</v>
      </c>
      <c r="F1091" s="41">
        <v>5249.5</v>
      </c>
      <c r="G1091" s="41">
        <v>5281.5</v>
      </c>
      <c r="H1091" s="41">
        <v>5226249125</v>
      </c>
      <c r="I1091" s="42">
        <v>19840</v>
      </c>
    </row>
    <row r="1092" spans="1:9" x14ac:dyDescent="0.25">
      <c r="A1092" t="s">
        <v>9</v>
      </c>
      <c r="B1092" s="39">
        <v>46094</v>
      </c>
      <c r="C1092" s="40">
        <v>0.45833333333333331</v>
      </c>
      <c r="D1092" s="41">
        <v>5244.5</v>
      </c>
      <c r="E1092" s="41">
        <v>5263.5</v>
      </c>
      <c r="F1092" s="41">
        <v>5243</v>
      </c>
      <c r="G1092" s="41">
        <v>5255</v>
      </c>
      <c r="H1092" s="41">
        <v>2627588125</v>
      </c>
      <c r="I1092" s="42">
        <v>10005</v>
      </c>
    </row>
    <row r="1093" spans="1:9" x14ac:dyDescent="0.25">
      <c r="A1093" t="s">
        <v>9</v>
      </c>
      <c r="B1093" s="39">
        <v>46094</v>
      </c>
      <c r="C1093" s="40">
        <v>0.4375</v>
      </c>
      <c r="D1093" s="41">
        <v>5250</v>
      </c>
      <c r="E1093" s="41">
        <v>5258</v>
      </c>
      <c r="F1093" s="41">
        <v>5238</v>
      </c>
      <c r="G1093" s="41">
        <v>5244</v>
      </c>
      <c r="H1093" s="41">
        <v>4287266875</v>
      </c>
      <c r="I1093" s="42">
        <v>16350</v>
      </c>
    </row>
    <row r="1094" spans="1:9" x14ac:dyDescent="0.25">
      <c r="A1094" t="s">
        <v>9</v>
      </c>
      <c r="B1094" s="39">
        <v>46094</v>
      </c>
      <c r="C1094" s="40">
        <v>0.41666666666666669</v>
      </c>
      <c r="D1094" s="41">
        <v>5249.5</v>
      </c>
      <c r="E1094" s="41">
        <v>5269</v>
      </c>
      <c r="F1094" s="41">
        <v>5247.5</v>
      </c>
      <c r="G1094" s="41">
        <v>5252.5</v>
      </c>
      <c r="H1094" s="41">
        <v>3256882625</v>
      </c>
      <c r="I1094" s="42">
        <v>12385</v>
      </c>
    </row>
    <row r="1095" spans="1:9" x14ac:dyDescent="0.25">
      <c r="A1095" t="s">
        <v>9</v>
      </c>
      <c r="B1095" s="39">
        <v>46094</v>
      </c>
      <c r="C1095" s="40">
        <v>0.39583333333333331</v>
      </c>
      <c r="D1095" s="41">
        <v>5262</v>
      </c>
      <c r="E1095" s="41">
        <v>5266.5</v>
      </c>
      <c r="F1095" s="41">
        <v>5249.5</v>
      </c>
      <c r="G1095" s="41">
        <v>5249.5</v>
      </c>
      <c r="H1095" s="41">
        <v>3131387000</v>
      </c>
      <c r="I1095" s="42">
        <v>11915</v>
      </c>
    </row>
    <row r="1096" spans="1:9" x14ac:dyDescent="0.25">
      <c r="A1096" t="s">
        <v>9</v>
      </c>
      <c r="B1096" s="39">
        <v>46094</v>
      </c>
      <c r="C1096" s="40">
        <v>0.375</v>
      </c>
      <c r="D1096" s="41">
        <v>5264</v>
      </c>
      <c r="E1096" s="41">
        <v>5266</v>
      </c>
      <c r="F1096" s="41">
        <v>5248.5</v>
      </c>
      <c r="G1096" s="41">
        <v>5262</v>
      </c>
      <c r="H1096" s="41">
        <v>4524290125</v>
      </c>
      <c r="I1096" s="42">
        <v>17210</v>
      </c>
    </row>
    <row r="1097" spans="1:9" x14ac:dyDescent="0.25">
      <c r="A1097" t="s">
        <v>9</v>
      </c>
      <c r="B1097" s="39">
        <v>46093</v>
      </c>
      <c r="C1097" s="40">
        <v>0.75</v>
      </c>
      <c r="D1097" s="41">
        <v>5269</v>
      </c>
      <c r="E1097" s="41">
        <v>5285</v>
      </c>
      <c r="F1097" s="41">
        <v>5267</v>
      </c>
      <c r="G1097" s="41">
        <v>5281.5</v>
      </c>
      <c r="H1097" s="41">
        <v>987936125</v>
      </c>
      <c r="I1097" s="42">
        <v>3745</v>
      </c>
    </row>
    <row r="1098" spans="1:9" x14ac:dyDescent="0.25">
      <c r="A1098" t="s">
        <v>9</v>
      </c>
      <c r="B1098" s="39">
        <v>46093</v>
      </c>
      <c r="C1098" s="40">
        <v>0.72916666666666663</v>
      </c>
      <c r="D1098" s="41">
        <v>5270.5</v>
      </c>
      <c r="E1098" s="41">
        <v>5275.5</v>
      </c>
      <c r="F1098" s="41">
        <v>5267</v>
      </c>
      <c r="G1098" s="41">
        <v>5269</v>
      </c>
      <c r="H1098" s="41">
        <v>2282152000</v>
      </c>
      <c r="I1098" s="42">
        <v>8660</v>
      </c>
    </row>
    <row r="1099" spans="1:9" x14ac:dyDescent="0.25">
      <c r="A1099" t="s">
        <v>9</v>
      </c>
      <c r="B1099" s="39">
        <v>46093</v>
      </c>
      <c r="C1099" s="40">
        <v>0.70833333333333337</v>
      </c>
      <c r="D1099" s="41">
        <v>5268</v>
      </c>
      <c r="E1099" s="41">
        <v>5273.5</v>
      </c>
      <c r="F1099" s="41">
        <v>5264.5</v>
      </c>
      <c r="G1099" s="41">
        <v>5270.5</v>
      </c>
      <c r="H1099" s="41">
        <v>2594549125</v>
      </c>
      <c r="I1099" s="42">
        <v>9845</v>
      </c>
    </row>
    <row r="1100" spans="1:9" x14ac:dyDescent="0.25">
      <c r="A1100" t="s">
        <v>9</v>
      </c>
      <c r="B1100" s="39">
        <v>46093</v>
      </c>
      <c r="C1100" s="40">
        <v>0.6875</v>
      </c>
      <c r="D1100" s="41">
        <v>5261.5</v>
      </c>
      <c r="E1100" s="41">
        <v>5274.5</v>
      </c>
      <c r="F1100" s="41">
        <v>5258.5</v>
      </c>
      <c r="G1100" s="41">
        <v>5267.5</v>
      </c>
      <c r="H1100" s="41">
        <v>3110404250</v>
      </c>
      <c r="I1100" s="42">
        <v>11810</v>
      </c>
    </row>
    <row r="1101" spans="1:9" x14ac:dyDescent="0.25">
      <c r="A1101" t="s">
        <v>9</v>
      </c>
      <c r="B1101" s="39">
        <v>46093</v>
      </c>
      <c r="C1101" s="40">
        <v>0.66666666666666663</v>
      </c>
      <c r="D1101" s="41">
        <v>5258.5</v>
      </c>
      <c r="E1101" s="41">
        <v>5265</v>
      </c>
      <c r="F1101" s="41">
        <v>5257</v>
      </c>
      <c r="G1101" s="41">
        <v>5261.5</v>
      </c>
      <c r="H1101" s="41">
        <v>5433269875</v>
      </c>
      <c r="I1101" s="42">
        <v>20655</v>
      </c>
    </row>
    <row r="1102" spans="1:9" x14ac:dyDescent="0.25">
      <c r="A1102" t="s">
        <v>9</v>
      </c>
      <c r="B1102" s="39">
        <v>46093</v>
      </c>
      <c r="C1102" s="40">
        <v>0.64583333333333337</v>
      </c>
      <c r="D1102" s="41">
        <v>5256.5</v>
      </c>
      <c r="E1102" s="41">
        <v>5259.5</v>
      </c>
      <c r="F1102" s="41">
        <v>5251</v>
      </c>
      <c r="G1102" s="41">
        <v>5258.5</v>
      </c>
      <c r="H1102" s="41">
        <v>2627302875</v>
      </c>
      <c r="I1102" s="42">
        <v>10000</v>
      </c>
    </row>
    <row r="1103" spans="1:9" x14ac:dyDescent="0.25">
      <c r="A1103" t="s">
        <v>9</v>
      </c>
      <c r="B1103" s="39">
        <v>46093</v>
      </c>
      <c r="C1103" s="40">
        <v>0.625</v>
      </c>
      <c r="D1103" s="41">
        <v>5244</v>
      </c>
      <c r="E1103" s="41">
        <v>5258.5</v>
      </c>
      <c r="F1103" s="41">
        <v>5239.5</v>
      </c>
      <c r="G1103" s="41">
        <v>5256</v>
      </c>
      <c r="H1103" s="41">
        <v>3736122750</v>
      </c>
      <c r="I1103" s="42">
        <v>14235</v>
      </c>
    </row>
    <row r="1104" spans="1:9" x14ac:dyDescent="0.25">
      <c r="A1104" t="s">
        <v>9</v>
      </c>
      <c r="B1104" s="39">
        <v>46093</v>
      </c>
      <c r="C1104" s="40">
        <v>0.60416666666666663</v>
      </c>
      <c r="D1104" s="41">
        <v>5238.5</v>
      </c>
      <c r="E1104" s="41">
        <v>5248.5</v>
      </c>
      <c r="F1104" s="41">
        <v>5235</v>
      </c>
      <c r="G1104" s="41">
        <v>5244.5</v>
      </c>
      <c r="H1104" s="41">
        <v>1960617500</v>
      </c>
      <c r="I1104" s="42">
        <v>7480</v>
      </c>
    </row>
    <row r="1105" spans="1:9" x14ac:dyDescent="0.25">
      <c r="A1105" t="s">
        <v>9</v>
      </c>
      <c r="B1105" s="39">
        <v>46093</v>
      </c>
      <c r="C1105" s="40">
        <v>0.58333333333333337</v>
      </c>
      <c r="D1105" s="41">
        <v>5230.5</v>
      </c>
      <c r="E1105" s="41">
        <v>5240</v>
      </c>
      <c r="F1105" s="41">
        <v>5221.5</v>
      </c>
      <c r="G1105" s="41">
        <v>5238.5</v>
      </c>
      <c r="H1105" s="41">
        <v>4152249125</v>
      </c>
      <c r="I1105" s="42">
        <v>15880</v>
      </c>
    </row>
    <row r="1106" spans="1:9" x14ac:dyDescent="0.25">
      <c r="A1106" t="s">
        <v>9</v>
      </c>
      <c r="B1106" s="39">
        <v>46093</v>
      </c>
      <c r="C1106" s="40">
        <v>0.5625</v>
      </c>
      <c r="D1106" s="41">
        <v>5238</v>
      </c>
      <c r="E1106" s="41">
        <v>5239.5</v>
      </c>
      <c r="F1106" s="41">
        <v>5222.5</v>
      </c>
      <c r="G1106" s="41">
        <v>5230.5</v>
      </c>
      <c r="H1106" s="41">
        <v>3032344375</v>
      </c>
      <c r="I1106" s="42">
        <v>11600</v>
      </c>
    </row>
    <row r="1107" spans="1:9" x14ac:dyDescent="0.25">
      <c r="A1107" t="s">
        <v>9</v>
      </c>
      <c r="B1107" s="39">
        <v>46093</v>
      </c>
      <c r="C1107" s="40">
        <v>0.54166666666666663</v>
      </c>
      <c r="D1107" s="41">
        <v>5238.5</v>
      </c>
      <c r="E1107" s="41">
        <v>5244.5</v>
      </c>
      <c r="F1107" s="41">
        <v>5225</v>
      </c>
      <c r="G1107" s="41">
        <v>5237</v>
      </c>
      <c r="H1107" s="41">
        <v>3890238125</v>
      </c>
      <c r="I1107" s="42">
        <v>14860</v>
      </c>
    </row>
    <row r="1108" spans="1:9" x14ac:dyDescent="0.25">
      <c r="A1108" t="s">
        <v>9</v>
      </c>
      <c r="B1108" s="39">
        <v>46093</v>
      </c>
      <c r="C1108" s="40">
        <v>0.52083333333333337</v>
      </c>
      <c r="D1108" s="41">
        <v>5249</v>
      </c>
      <c r="E1108" s="41">
        <v>5251</v>
      </c>
      <c r="F1108" s="41">
        <v>5227</v>
      </c>
      <c r="G1108" s="41">
        <v>5238</v>
      </c>
      <c r="H1108" s="41">
        <v>7071748000</v>
      </c>
      <c r="I1108" s="42">
        <v>27000</v>
      </c>
    </row>
    <row r="1109" spans="1:9" x14ac:dyDescent="0.25">
      <c r="A1109" t="s">
        <v>9</v>
      </c>
      <c r="B1109" s="39">
        <v>46093</v>
      </c>
      <c r="C1109" s="40">
        <v>0.5</v>
      </c>
      <c r="D1109" s="41">
        <v>5240</v>
      </c>
      <c r="E1109" s="41">
        <v>5262.5</v>
      </c>
      <c r="F1109" s="41">
        <v>5238.5</v>
      </c>
      <c r="G1109" s="41">
        <v>5249</v>
      </c>
      <c r="H1109" s="41">
        <v>5595601000</v>
      </c>
      <c r="I1109" s="42">
        <v>21305</v>
      </c>
    </row>
    <row r="1110" spans="1:9" x14ac:dyDescent="0.25">
      <c r="A1110" t="s">
        <v>9</v>
      </c>
      <c r="B1110" s="39">
        <v>46093</v>
      </c>
      <c r="C1110" s="40">
        <v>0.47916666666666669</v>
      </c>
      <c r="D1110" s="41">
        <v>5229.5</v>
      </c>
      <c r="E1110" s="41">
        <v>5249.5</v>
      </c>
      <c r="F1110" s="41">
        <v>5221.5</v>
      </c>
      <c r="G1110" s="41">
        <v>5240.5</v>
      </c>
      <c r="H1110" s="41">
        <v>6356490250</v>
      </c>
      <c r="I1110" s="42">
        <v>24275</v>
      </c>
    </row>
    <row r="1111" spans="1:9" x14ac:dyDescent="0.25">
      <c r="A1111" t="s">
        <v>9</v>
      </c>
      <c r="B1111" s="39">
        <v>46093</v>
      </c>
      <c r="C1111" s="40">
        <v>0.45833333333333331</v>
      </c>
      <c r="D1111" s="41">
        <v>5234</v>
      </c>
      <c r="E1111" s="41">
        <v>5235</v>
      </c>
      <c r="F1111" s="41">
        <v>5222</v>
      </c>
      <c r="G1111" s="41">
        <v>5229.5</v>
      </c>
      <c r="H1111" s="41">
        <v>6636069500</v>
      </c>
      <c r="I1111" s="42">
        <v>25385</v>
      </c>
    </row>
    <row r="1112" spans="1:9" x14ac:dyDescent="0.25">
      <c r="A1112" t="s">
        <v>9</v>
      </c>
      <c r="B1112" s="39">
        <v>46093</v>
      </c>
      <c r="C1112" s="40">
        <v>0.4375</v>
      </c>
      <c r="D1112" s="41">
        <v>5207</v>
      </c>
      <c r="E1112" s="41">
        <v>5243.5</v>
      </c>
      <c r="F1112" s="41">
        <v>5205.5</v>
      </c>
      <c r="G1112" s="41">
        <v>5234</v>
      </c>
      <c r="H1112" s="41">
        <v>8333201125</v>
      </c>
      <c r="I1112" s="42">
        <v>31905</v>
      </c>
    </row>
    <row r="1113" spans="1:9" x14ac:dyDescent="0.25">
      <c r="A1113" t="s">
        <v>9</v>
      </c>
      <c r="B1113" s="39">
        <v>46093</v>
      </c>
      <c r="C1113" s="40">
        <v>0.41666666666666669</v>
      </c>
      <c r="D1113" s="41">
        <v>5199</v>
      </c>
      <c r="E1113" s="41">
        <v>5214.5</v>
      </c>
      <c r="F1113" s="41">
        <v>5181</v>
      </c>
      <c r="G1113" s="41">
        <v>5207</v>
      </c>
      <c r="H1113" s="41">
        <v>5151717750</v>
      </c>
      <c r="I1113" s="42">
        <v>19825</v>
      </c>
    </row>
    <row r="1114" spans="1:9" x14ac:dyDescent="0.25">
      <c r="A1114" t="s">
        <v>9</v>
      </c>
      <c r="B1114" s="39">
        <v>46093</v>
      </c>
      <c r="C1114" s="40">
        <v>0.39583333333333331</v>
      </c>
      <c r="D1114" s="41">
        <v>5197</v>
      </c>
      <c r="E1114" s="41">
        <v>5202.5</v>
      </c>
      <c r="F1114" s="41">
        <v>5189</v>
      </c>
      <c r="G1114" s="41">
        <v>5199.5</v>
      </c>
      <c r="H1114" s="41">
        <v>3725291000</v>
      </c>
      <c r="I1114" s="42">
        <v>14340</v>
      </c>
    </row>
    <row r="1115" spans="1:9" x14ac:dyDescent="0.25">
      <c r="A1115" t="s">
        <v>9</v>
      </c>
      <c r="B1115" s="39">
        <v>46093</v>
      </c>
      <c r="C1115" s="40">
        <v>0.375</v>
      </c>
      <c r="D1115" s="41">
        <v>5187</v>
      </c>
      <c r="E1115" s="41">
        <v>5206</v>
      </c>
      <c r="F1115" s="41">
        <v>5187</v>
      </c>
      <c r="G1115" s="41">
        <v>5197.5</v>
      </c>
      <c r="H1115" s="41">
        <v>3466301375</v>
      </c>
      <c r="I1115" s="42">
        <v>13340</v>
      </c>
    </row>
    <row r="1116" spans="1:9" x14ac:dyDescent="0.25">
      <c r="A1116" t="s">
        <v>9</v>
      </c>
      <c r="B1116" s="39">
        <v>46092</v>
      </c>
      <c r="C1116" s="40">
        <v>0.75</v>
      </c>
      <c r="D1116" s="41">
        <v>5182.5</v>
      </c>
      <c r="E1116" s="41">
        <v>5184.5</v>
      </c>
      <c r="F1116" s="41">
        <v>5179</v>
      </c>
      <c r="G1116" s="41">
        <v>5180.5</v>
      </c>
      <c r="H1116" s="41">
        <v>202111750</v>
      </c>
      <c r="I1116" s="42">
        <v>780</v>
      </c>
    </row>
    <row r="1117" spans="1:9" x14ac:dyDescent="0.25">
      <c r="A1117" t="s">
        <v>9</v>
      </c>
      <c r="B1117" s="39">
        <v>46092</v>
      </c>
      <c r="C1117" s="40">
        <v>0.72916666666666663</v>
      </c>
      <c r="D1117" s="41">
        <v>5183</v>
      </c>
      <c r="E1117" s="41">
        <v>5184.5</v>
      </c>
      <c r="F1117" s="41">
        <v>5178.5</v>
      </c>
      <c r="G1117" s="41">
        <v>5182</v>
      </c>
      <c r="H1117" s="41">
        <v>1130947000</v>
      </c>
      <c r="I1117" s="42">
        <v>4365</v>
      </c>
    </row>
    <row r="1118" spans="1:9" x14ac:dyDescent="0.25">
      <c r="A1118" t="s">
        <v>9</v>
      </c>
      <c r="B1118" s="39">
        <v>46092</v>
      </c>
      <c r="C1118" s="40">
        <v>0.70833333333333337</v>
      </c>
      <c r="D1118" s="41">
        <v>5184</v>
      </c>
      <c r="E1118" s="41">
        <v>5186.5</v>
      </c>
      <c r="F1118" s="41">
        <v>5181</v>
      </c>
      <c r="G1118" s="41">
        <v>5183.5</v>
      </c>
      <c r="H1118" s="41">
        <v>2478067250</v>
      </c>
      <c r="I1118" s="42">
        <v>9560</v>
      </c>
    </row>
    <row r="1119" spans="1:9" x14ac:dyDescent="0.25">
      <c r="A1119" t="s">
        <v>9</v>
      </c>
      <c r="B1119" s="39">
        <v>46092</v>
      </c>
      <c r="C1119" s="40">
        <v>0.6875</v>
      </c>
      <c r="D1119" s="41">
        <v>5187</v>
      </c>
      <c r="E1119" s="41">
        <v>5189</v>
      </c>
      <c r="F1119" s="41">
        <v>5183</v>
      </c>
      <c r="G1119" s="41">
        <v>5184</v>
      </c>
      <c r="H1119" s="41">
        <v>1103208875</v>
      </c>
      <c r="I1119" s="42">
        <v>4255</v>
      </c>
    </row>
    <row r="1120" spans="1:9" x14ac:dyDescent="0.25">
      <c r="A1120" t="s">
        <v>9</v>
      </c>
      <c r="B1120" s="39">
        <v>46092</v>
      </c>
      <c r="C1120" s="40">
        <v>0.66666666666666663</v>
      </c>
      <c r="D1120" s="41">
        <v>5182</v>
      </c>
      <c r="E1120" s="41">
        <v>5193</v>
      </c>
      <c r="F1120" s="41">
        <v>5181.5</v>
      </c>
      <c r="G1120" s="41">
        <v>5187</v>
      </c>
      <c r="H1120" s="41">
        <v>3324175000</v>
      </c>
      <c r="I1120" s="42">
        <v>12815</v>
      </c>
    </row>
    <row r="1121" spans="1:9" x14ac:dyDescent="0.25">
      <c r="A1121" t="s">
        <v>9</v>
      </c>
      <c r="B1121" s="39">
        <v>46092</v>
      </c>
      <c r="C1121" s="40">
        <v>0.64583333333333337</v>
      </c>
      <c r="D1121" s="41">
        <v>5190</v>
      </c>
      <c r="E1121" s="41">
        <v>5190.5</v>
      </c>
      <c r="F1121" s="41">
        <v>5181</v>
      </c>
      <c r="G1121" s="41">
        <v>5181.5</v>
      </c>
      <c r="H1121" s="41">
        <v>3180702250</v>
      </c>
      <c r="I1121" s="42">
        <v>12265</v>
      </c>
    </row>
    <row r="1122" spans="1:9" x14ac:dyDescent="0.25">
      <c r="A1122" t="s">
        <v>9</v>
      </c>
      <c r="B1122" s="39">
        <v>46092</v>
      </c>
      <c r="C1122" s="40">
        <v>0.625</v>
      </c>
      <c r="D1122" s="41">
        <v>5192</v>
      </c>
      <c r="E1122" s="41">
        <v>5199.5</v>
      </c>
      <c r="F1122" s="41">
        <v>5187</v>
      </c>
      <c r="G1122" s="41">
        <v>5189.5</v>
      </c>
      <c r="H1122" s="41">
        <v>3363920750</v>
      </c>
      <c r="I1122" s="42">
        <v>12955</v>
      </c>
    </row>
    <row r="1123" spans="1:9" x14ac:dyDescent="0.25">
      <c r="A1123" t="s">
        <v>9</v>
      </c>
      <c r="B1123" s="39">
        <v>46092</v>
      </c>
      <c r="C1123" s="40">
        <v>0.60416666666666663</v>
      </c>
      <c r="D1123" s="41">
        <v>5185.5</v>
      </c>
      <c r="E1123" s="41">
        <v>5198</v>
      </c>
      <c r="F1123" s="41">
        <v>5185.5</v>
      </c>
      <c r="G1123" s="41">
        <v>5191.5</v>
      </c>
      <c r="H1123" s="41">
        <v>3487939500</v>
      </c>
      <c r="I1123" s="42">
        <v>13435</v>
      </c>
    </row>
    <row r="1124" spans="1:9" x14ac:dyDescent="0.25">
      <c r="A1124" t="s">
        <v>9</v>
      </c>
      <c r="B1124" s="39">
        <v>46092</v>
      </c>
      <c r="C1124" s="40">
        <v>0.58333333333333337</v>
      </c>
      <c r="D1124" s="41">
        <v>5186</v>
      </c>
      <c r="E1124" s="41">
        <v>5190.5</v>
      </c>
      <c r="F1124" s="41">
        <v>5183.5</v>
      </c>
      <c r="G1124" s="41">
        <v>5186</v>
      </c>
      <c r="H1124" s="41">
        <v>2010408375</v>
      </c>
      <c r="I1124" s="42">
        <v>7750</v>
      </c>
    </row>
    <row r="1125" spans="1:9" x14ac:dyDescent="0.25">
      <c r="A1125" t="s">
        <v>9</v>
      </c>
      <c r="B1125" s="39">
        <v>46092</v>
      </c>
      <c r="C1125" s="40">
        <v>0.5625</v>
      </c>
      <c r="D1125" s="41">
        <v>5184</v>
      </c>
      <c r="E1125" s="41">
        <v>5186.5</v>
      </c>
      <c r="F1125" s="41">
        <v>5177.5</v>
      </c>
      <c r="G1125" s="41">
        <v>5185.5</v>
      </c>
      <c r="H1125" s="41">
        <v>1474317875</v>
      </c>
      <c r="I1125" s="42">
        <v>5690</v>
      </c>
    </row>
    <row r="1126" spans="1:9" x14ac:dyDescent="0.25">
      <c r="A1126" t="s">
        <v>9</v>
      </c>
      <c r="B1126" s="39">
        <v>46092</v>
      </c>
      <c r="C1126" s="40">
        <v>0.54166666666666663</v>
      </c>
      <c r="D1126" s="41">
        <v>5183</v>
      </c>
      <c r="E1126" s="41">
        <v>5188</v>
      </c>
      <c r="F1126" s="41">
        <v>5181.5</v>
      </c>
      <c r="G1126" s="41">
        <v>5185</v>
      </c>
      <c r="H1126" s="41">
        <v>3185850000</v>
      </c>
      <c r="I1126" s="42">
        <v>12290</v>
      </c>
    </row>
    <row r="1127" spans="1:9" x14ac:dyDescent="0.25">
      <c r="A1127" t="s">
        <v>9</v>
      </c>
      <c r="B1127" s="39">
        <v>46092</v>
      </c>
      <c r="C1127" s="40">
        <v>0.52083333333333337</v>
      </c>
      <c r="D1127" s="41">
        <v>5183</v>
      </c>
      <c r="E1127" s="41">
        <v>5185</v>
      </c>
      <c r="F1127" s="41">
        <v>5172.5</v>
      </c>
      <c r="G1127" s="41">
        <v>5182.5</v>
      </c>
      <c r="H1127" s="41">
        <v>2870262625</v>
      </c>
      <c r="I1127" s="42">
        <v>11080</v>
      </c>
    </row>
    <row r="1128" spans="1:9" x14ac:dyDescent="0.25">
      <c r="A1128" t="s">
        <v>9</v>
      </c>
      <c r="B1128" s="39">
        <v>46092</v>
      </c>
      <c r="C1128" s="40">
        <v>0.5</v>
      </c>
      <c r="D1128" s="41">
        <v>5179</v>
      </c>
      <c r="E1128" s="41">
        <v>5184</v>
      </c>
      <c r="F1128" s="41">
        <v>5171.5</v>
      </c>
      <c r="G1128" s="41">
        <v>5182.5</v>
      </c>
      <c r="H1128" s="41">
        <v>5451536000</v>
      </c>
      <c r="I1128" s="42">
        <v>21055</v>
      </c>
    </row>
    <row r="1129" spans="1:9" x14ac:dyDescent="0.25">
      <c r="A1129" t="s">
        <v>9</v>
      </c>
      <c r="B1129" s="39">
        <v>46092</v>
      </c>
      <c r="C1129" s="40">
        <v>0.47916666666666669</v>
      </c>
      <c r="D1129" s="41">
        <v>5182</v>
      </c>
      <c r="E1129" s="41">
        <v>5185</v>
      </c>
      <c r="F1129" s="41">
        <v>5177.5</v>
      </c>
      <c r="G1129" s="41">
        <v>5179</v>
      </c>
      <c r="H1129" s="41">
        <v>6400048125</v>
      </c>
      <c r="I1129" s="42">
        <v>24705</v>
      </c>
    </row>
    <row r="1130" spans="1:9" x14ac:dyDescent="0.25">
      <c r="A1130" t="s">
        <v>9</v>
      </c>
      <c r="B1130" s="39">
        <v>46092</v>
      </c>
      <c r="C1130" s="40">
        <v>0.45833333333333331</v>
      </c>
      <c r="D1130" s="41">
        <v>5180</v>
      </c>
      <c r="E1130" s="41">
        <v>5188</v>
      </c>
      <c r="F1130" s="41">
        <v>5172</v>
      </c>
      <c r="G1130" s="41">
        <v>5182.5</v>
      </c>
      <c r="H1130" s="41">
        <v>5443637750</v>
      </c>
      <c r="I1130" s="42">
        <v>21020</v>
      </c>
    </row>
    <row r="1131" spans="1:9" x14ac:dyDescent="0.25">
      <c r="A1131" t="s">
        <v>9</v>
      </c>
      <c r="B1131" s="39">
        <v>46092</v>
      </c>
      <c r="C1131" s="40">
        <v>0.4375</v>
      </c>
      <c r="D1131" s="41">
        <v>5188</v>
      </c>
      <c r="E1131" s="41">
        <v>5195.5</v>
      </c>
      <c r="F1131" s="41">
        <v>5179.5</v>
      </c>
      <c r="G1131" s="41">
        <v>5179.5</v>
      </c>
      <c r="H1131" s="41">
        <v>3523581875</v>
      </c>
      <c r="I1131" s="42">
        <v>13580</v>
      </c>
    </row>
    <row r="1132" spans="1:9" x14ac:dyDescent="0.25">
      <c r="A1132" t="s">
        <v>9</v>
      </c>
      <c r="B1132" s="39">
        <v>46092</v>
      </c>
      <c r="C1132" s="40">
        <v>0.41666666666666669</v>
      </c>
      <c r="D1132" s="41">
        <v>5205.5</v>
      </c>
      <c r="E1132" s="41">
        <v>5206</v>
      </c>
      <c r="F1132" s="41">
        <v>5183</v>
      </c>
      <c r="G1132" s="41">
        <v>5188</v>
      </c>
      <c r="H1132" s="41">
        <v>4193336875</v>
      </c>
      <c r="I1132" s="42">
        <v>16155</v>
      </c>
    </row>
    <row r="1133" spans="1:9" x14ac:dyDescent="0.25">
      <c r="A1133" t="s">
        <v>9</v>
      </c>
      <c r="B1133" s="39">
        <v>46092</v>
      </c>
      <c r="C1133" s="40">
        <v>0.39583333333333331</v>
      </c>
      <c r="D1133" s="41">
        <v>5182</v>
      </c>
      <c r="E1133" s="41">
        <v>5208</v>
      </c>
      <c r="F1133" s="41">
        <v>5180</v>
      </c>
      <c r="G1133" s="41">
        <v>5206.5</v>
      </c>
      <c r="H1133" s="41">
        <v>4524290500</v>
      </c>
      <c r="I1133" s="42">
        <v>17405</v>
      </c>
    </row>
    <row r="1134" spans="1:9" x14ac:dyDescent="0.25">
      <c r="A1134" t="s">
        <v>9</v>
      </c>
      <c r="B1134" s="39">
        <v>46092</v>
      </c>
      <c r="C1134" s="40">
        <v>0.375</v>
      </c>
      <c r="D1134" s="41">
        <v>5192</v>
      </c>
      <c r="E1134" s="41">
        <v>5195</v>
      </c>
      <c r="F1134" s="41">
        <v>5178.5</v>
      </c>
      <c r="G1134" s="41">
        <v>5182.5</v>
      </c>
      <c r="H1134" s="41">
        <v>3824987375</v>
      </c>
      <c r="I1134" s="42">
        <v>14750</v>
      </c>
    </row>
    <row r="1135" spans="1:9" x14ac:dyDescent="0.25">
      <c r="A1135" t="s">
        <v>9</v>
      </c>
      <c r="B1135" s="39">
        <v>46091</v>
      </c>
      <c r="C1135" s="40">
        <v>0.75</v>
      </c>
      <c r="D1135" s="41">
        <v>5188</v>
      </c>
      <c r="E1135" s="41">
        <v>5194.5</v>
      </c>
      <c r="F1135" s="41">
        <v>5187.5</v>
      </c>
      <c r="G1135" s="41">
        <v>5190.5</v>
      </c>
      <c r="H1135" s="41">
        <v>671001500</v>
      </c>
      <c r="I1135" s="42">
        <v>2585</v>
      </c>
    </row>
    <row r="1136" spans="1:9" x14ac:dyDescent="0.25">
      <c r="A1136" t="s">
        <v>9</v>
      </c>
      <c r="B1136" s="39">
        <v>46091</v>
      </c>
      <c r="C1136" s="40">
        <v>0.72916666666666663</v>
      </c>
      <c r="D1136" s="41">
        <v>5185</v>
      </c>
      <c r="E1136" s="41">
        <v>5190</v>
      </c>
      <c r="F1136" s="41">
        <v>5183.5</v>
      </c>
      <c r="G1136" s="41">
        <v>5187.5</v>
      </c>
      <c r="H1136" s="41">
        <v>1526357000</v>
      </c>
      <c r="I1136" s="42">
        <v>5885</v>
      </c>
    </row>
    <row r="1137" spans="1:9" x14ac:dyDescent="0.25">
      <c r="A1137" t="s">
        <v>9</v>
      </c>
      <c r="B1137" s="39">
        <v>46091</v>
      </c>
      <c r="C1137" s="40">
        <v>0.70833333333333337</v>
      </c>
      <c r="D1137" s="41">
        <v>5184.5</v>
      </c>
      <c r="E1137" s="41">
        <v>5189</v>
      </c>
      <c r="F1137" s="41">
        <v>5182.5</v>
      </c>
      <c r="G1137" s="41">
        <v>5185</v>
      </c>
      <c r="H1137" s="41">
        <v>2248173125</v>
      </c>
      <c r="I1137" s="42">
        <v>8670</v>
      </c>
    </row>
    <row r="1138" spans="1:9" x14ac:dyDescent="0.25">
      <c r="A1138" t="s">
        <v>9</v>
      </c>
      <c r="B1138" s="39">
        <v>46091</v>
      </c>
      <c r="C1138" s="40">
        <v>0.6875</v>
      </c>
      <c r="D1138" s="41">
        <v>5187.5</v>
      </c>
      <c r="E1138" s="41">
        <v>5196.5</v>
      </c>
      <c r="F1138" s="41">
        <v>5182</v>
      </c>
      <c r="G1138" s="41">
        <v>5184.5</v>
      </c>
      <c r="H1138" s="41">
        <v>3409608625</v>
      </c>
      <c r="I1138" s="42">
        <v>13140</v>
      </c>
    </row>
    <row r="1139" spans="1:9" x14ac:dyDescent="0.25">
      <c r="A1139" t="s">
        <v>9</v>
      </c>
      <c r="B1139" s="39">
        <v>46091</v>
      </c>
      <c r="C1139" s="40">
        <v>0.66666666666666663</v>
      </c>
      <c r="D1139" s="41">
        <v>5180</v>
      </c>
      <c r="E1139" s="41">
        <v>5188</v>
      </c>
      <c r="F1139" s="41">
        <v>5176</v>
      </c>
      <c r="G1139" s="41">
        <v>5188</v>
      </c>
      <c r="H1139" s="41">
        <v>3706641875</v>
      </c>
      <c r="I1139" s="42">
        <v>14310</v>
      </c>
    </row>
    <row r="1140" spans="1:9" x14ac:dyDescent="0.25">
      <c r="A1140" t="s">
        <v>9</v>
      </c>
      <c r="B1140" s="39">
        <v>46091</v>
      </c>
      <c r="C1140" s="40">
        <v>0.64583333333333337</v>
      </c>
      <c r="D1140" s="41">
        <v>5174</v>
      </c>
      <c r="E1140" s="41">
        <v>5181.5</v>
      </c>
      <c r="F1140" s="41">
        <v>5170.5</v>
      </c>
      <c r="G1140" s="41">
        <v>5180</v>
      </c>
      <c r="H1140" s="41">
        <v>4086275750</v>
      </c>
      <c r="I1140" s="42">
        <v>15790</v>
      </c>
    </row>
    <row r="1141" spans="1:9" x14ac:dyDescent="0.25">
      <c r="A1141" t="s">
        <v>9</v>
      </c>
      <c r="B1141" s="39">
        <v>46091</v>
      </c>
      <c r="C1141" s="40">
        <v>0.625</v>
      </c>
      <c r="D1141" s="41">
        <v>5171.5</v>
      </c>
      <c r="E1141" s="41">
        <v>5193</v>
      </c>
      <c r="F1141" s="41">
        <v>5169</v>
      </c>
      <c r="G1141" s="41">
        <v>5174</v>
      </c>
      <c r="H1141" s="41">
        <v>7090047250</v>
      </c>
      <c r="I1141" s="42">
        <v>27360</v>
      </c>
    </row>
    <row r="1142" spans="1:9" x14ac:dyDescent="0.25">
      <c r="A1142" t="s">
        <v>9</v>
      </c>
      <c r="B1142" s="39">
        <v>46091</v>
      </c>
      <c r="C1142" s="40">
        <v>0.60416666666666663</v>
      </c>
      <c r="D1142" s="41">
        <v>5162</v>
      </c>
      <c r="E1142" s="41">
        <v>5174.5</v>
      </c>
      <c r="F1142" s="41">
        <v>5161.5</v>
      </c>
      <c r="G1142" s="41">
        <v>5172</v>
      </c>
      <c r="H1142" s="41">
        <v>2843530250</v>
      </c>
      <c r="I1142">
        <v>11000</v>
      </c>
    </row>
    <row r="1143" spans="1:9" x14ac:dyDescent="0.25">
      <c r="A1143" t="s">
        <v>9</v>
      </c>
      <c r="B1143" s="39">
        <v>46091</v>
      </c>
      <c r="C1143" s="40">
        <v>0.58333333333333337</v>
      </c>
      <c r="D1143" s="41">
        <v>5170</v>
      </c>
      <c r="E1143" s="41">
        <v>5170.5</v>
      </c>
      <c r="F1143" s="41">
        <v>5159.5</v>
      </c>
      <c r="G1143" s="41">
        <v>5162</v>
      </c>
      <c r="H1143" s="41">
        <v>3324416125</v>
      </c>
      <c r="I1143" s="42">
        <v>12875</v>
      </c>
    </row>
    <row r="1144" spans="1:9" x14ac:dyDescent="0.25">
      <c r="A1144" t="s">
        <v>9</v>
      </c>
      <c r="B1144" s="39">
        <v>46091</v>
      </c>
      <c r="C1144" s="40">
        <v>0.5625</v>
      </c>
      <c r="D1144" s="41">
        <v>5179.5</v>
      </c>
      <c r="E1144" s="41">
        <v>5179.5</v>
      </c>
      <c r="F1144" s="41">
        <v>5169.5</v>
      </c>
      <c r="G1144" s="41">
        <v>5170</v>
      </c>
      <c r="H1144" s="41">
        <v>3405665500</v>
      </c>
      <c r="I1144" s="42">
        <v>13165</v>
      </c>
    </row>
    <row r="1145" spans="1:9" x14ac:dyDescent="0.25">
      <c r="A1145" t="s">
        <v>9</v>
      </c>
      <c r="B1145" s="39">
        <v>46091</v>
      </c>
      <c r="C1145" s="40">
        <v>0.54166666666666663</v>
      </c>
      <c r="D1145" s="41">
        <v>5169</v>
      </c>
      <c r="E1145" s="41">
        <v>5181</v>
      </c>
      <c r="F1145" s="41">
        <v>5169</v>
      </c>
      <c r="G1145" s="41">
        <v>5179</v>
      </c>
      <c r="H1145" s="41">
        <v>4332780750</v>
      </c>
      <c r="I1145" s="42">
        <v>16740</v>
      </c>
    </row>
    <row r="1146" spans="1:9" x14ac:dyDescent="0.25">
      <c r="A1146" t="s">
        <v>9</v>
      </c>
      <c r="B1146" s="39">
        <v>46091</v>
      </c>
      <c r="C1146" s="40">
        <v>0.52083333333333337</v>
      </c>
      <c r="D1146" s="41">
        <v>5177.5</v>
      </c>
      <c r="E1146" s="41">
        <v>5179</v>
      </c>
      <c r="F1146" s="41">
        <v>5168.5</v>
      </c>
      <c r="G1146" s="41">
        <v>5169</v>
      </c>
      <c r="H1146" s="41">
        <v>2441404000</v>
      </c>
      <c r="I1146" s="42">
        <v>9440</v>
      </c>
    </row>
    <row r="1147" spans="1:9" x14ac:dyDescent="0.25">
      <c r="A1147" t="s">
        <v>9</v>
      </c>
      <c r="B1147" s="39">
        <v>46091</v>
      </c>
      <c r="C1147" s="40">
        <v>0.5</v>
      </c>
      <c r="D1147" s="41">
        <v>5181</v>
      </c>
      <c r="E1147" s="41">
        <v>5183.5</v>
      </c>
      <c r="F1147" s="41">
        <v>5174</v>
      </c>
      <c r="G1147" s="41">
        <v>5177.5</v>
      </c>
      <c r="H1147" s="41">
        <v>3294005500</v>
      </c>
      <c r="I1147" s="42">
        <v>12720</v>
      </c>
    </row>
    <row r="1148" spans="1:9" x14ac:dyDescent="0.25">
      <c r="A1148" t="s">
        <v>9</v>
      </c>
      <c r="B1148" s="39">
        <v>46091</v>
      </c>
      <c r="C1148" s="40">
        <v>0.47916666666666669</v>
      </c>
      <c r="D1148" s="41">
        <v>5192</v>
      </c>
      <c r="E1148" s="41">
        <v>5194</v>
      </c>
      <c r="F1148" s="41">
        <v>5178.5</v>
      </c>
      <c r="G1148" s="41">
        <v>5181</v>
      </c>
      <c r="H1148" s="41">
        <v>4760306875</v>
      </c>
      <c r="I1148" s="42">
        <v>18370</v>
      </c>
    </row>
    <row r="1149" spans="1:9" x14ac:dyDescent="0.25">
      <c r="A1149" t="s">
        <v>9</v>
      </c>
      <c r="B1149" s="39">
        <v>46091</v>
      </c>
      <c r="C1149" s="40">
        <v>0.45833333333333331</v>
      </c>
      <c r="D1149" s="41">
        <v>5203.5</v>
      </c>
      <c r="E1149" s="41">
        <v>5211</v>
      </c>
      <c r="F1149" s="41">
        <v>5190.5</v>
      </c>
      <c r="G1149" s="41">
        <v>5192</v>
      </c>
      <c r="H1149" s="41">
        <v>3264834750</v>
      </c>
      <c r="I1149" s="42">
        <v>12555</v>
      </c>
    </row>
    <row r="1150" spans="1:9" x14ac:dyDescent="0.25">
      <c r="A1150" t="s">
        <v>9</v>
      </c>
      <c r="B1150" s="39">
        <v>46091</v>
      </c>
      <c r="C1150" s="40">
        <v>0.4375</v>
      </c>
      <c r="D1150" s="41">
        <v>5205.5</v>
      </c>
      <c r="E1150" s="41">
        <v>5216</v>
      </c>
      <c r="F1150" s="41">
        <v>5199.5</v>
      </c>
      <c r="G1150" s="41">
        <v>5203.5</v>
      </c>
      <c r="H1150" s="41">
        <v>4859566875</v>
      </c>
      <c r="I1150" s="42">
        <v>18660</v>
      </c>
    </row>
    <row r="1151" spans="1:9" x14ac:dyDescent="0.25">
      <c r="A1151" t="s">
        <v>9</v>
      </c>
      <c r="B1151" s="39">
        <v>46091</v>
      </c>
      <c r="C1151" s="40">
        <v>0.41666666666666669</v>
      </c>
      <c r="D1151" s="41">
        <v>5203.5</v>
      </c>
      <c r="E1151" s="41">
        <v>5213.5</v>
      </c>
      <c r="F1151" s="41">
        <v>5195.5</v>
      </c>
      <c r="G1151" s="41">
        <v>5205.5</v>
      </c>
      <c r="H1151" s="41">
        <v>4975149625</v>
      </c>
      <c r="I1151" s="42">
        <v>19120</v>
      </c>
    </row>
    <row r="1152" spans="1:9" x14ac:dyDescent="0.25">
      <c r="A1152" t="s">
        <v>9</v>
      </c>
      <c r="B1152" s="39">
        <v>46091</v>
      </c>
      <c r="C1152" s="40">
        <v>0.39583333333333331</v>
      </c>
      <c r="D1152" s="41">
        <v>5210</v>
      </c>
      <c r="E1152" s="41">
        <v>5213</v>
      </c>
      <c r="F1152" s="41">
        <v>5190</v>
      </c>
      <c r="G1152" s="41">
        <v>5204</v>
      </c>
      <c r="H1152" s="41">
        <v>3145281125</v>
      </c>
      <c r="I1152" s="42">
        <v>12095</v>
      </c>
    </row>
    <row r="1153" spans="1:9" x14ac:dyDescent="0.25">
      <c r="A1153" t="s">
        <v>9</v>
      </c>
      <c r="B1153" s="39">
        <v>46091</v>
      </c>
      <c r="C1153" s="40">
        <v>0.375</v>
      </c>
      <c r="D1153" s="41">
        <v>5185</v>
      </c>
      <c r="E1153" s="41">
        <v>5209.5</v>
      </c>
      <c r="F1153" s="41">
        <v>5179.5</v>
      </c>
      <c r="G1153" s="41">
        <v>5209.5</v>
      </c>
      <c r="H1153" s="41">
        <v>5981356000</v>
      </c>
      <c r="I1153" s="42">
        <v>23025</v>
      </c>
    </row>
    <row r="1154" spans="1:9" x14ac:dyDescent="0.25">
      <c r="A1154" t="s">
        <v>9</v>
      </c>
      <c r="B1154" s="39">
        <v>46090</v>
      </c>
      <c r="C1154" s="40">
        <v>0.75</v>
      </c>
      <c r="D1154" s="41">
        <v>5190</v>
      </c>
      <c r="E1154" s="41">
        <v>5199</v>
      </c>
      <c r="F1154" s="41">
        <v>5186</v>
      </c>
      <c r="G1154" s="41">
        <v>5199</v>
      </c>
      <c r="H1154" s="41">
        <v>829460375</v>
      </c>
      <c r="I1154" s="42">
        <v>3195</v>
      </c>
    </row>
    <row r="1155" spans="1:9" x14ac:dyDescent="0.25">
      <c r="A1155" t="s">
        <v>9</v>
      </c>
      <c r="B1155" s="39">
        <v>46090</v>
      </c>
      <c r="C1155" s="40">
        <v>0.72916666666666663</v>
      </c>
      <c r="D1155" s="41">
        <v>5190.5</v>
      </c>
      <c r="E1155" s="41">
        <v>5197.5</v>
      </c>
      <c r="F1155" s="41">
        <v>5187</v>
      </c>
      <c r="G1155" s="41">
        <v>5192</v>
      </c>
      <c r="H1155" s="41">
        <v>2118312125</v>
      </c>
      <c r="I1155" s="42">
        <v>8160</v>
      </c>
    </row>
    <row r="1156" spans="1:9" x14ac:dyDescent="0.25">
      <c r="A1156" t="s">
        <v>9</v>
      </c>
      <c r="B1156" s="39">
        <v>46090</v>
      </c>
      <c r="C1156" s="40">
        <v>0.70833333333333337</v>
      </c>
      <c r="D1156" s="41">
        <v>5196.5</v>
      </c>
      <c r="E1156" s="41">
        <v>5205</v>
      </c>
      <c r="F1156" s="41">
        <v>5188.5</v>
      </c>
      <c r="G1156" s="41">
        <v>5189</v>
      </c>
      <c r="H1156" s="41">
        <v>4123087750</v>
      </c>
      <c r="I1156" s="42">
        <v>15870</v>
      </c>
    </row>
    <row r="1157" spans="1:9" x14ac:dyDescent="0.25">
      <c r="A1157" t="s">
        <v>9</v>
      </c>
      <c r="B1157" s="39">
        <v>46090</v>
      </c>
      <c r="C1157" s="40">
        <v>0.6875</v>
      </c>
      <c r="D1157" s="41">
        <v>5202.5</v>
      </c>
      <c r="E1157" s="41">
        <v>5208.5</v>
      </c>
      <c r="F1157" s="41">
        <v>5189.5</v>
      </c>
      <c r="G1157" s="41">
        <v>5195.5</v>
      </c>
      <c r="H1157" s="41">
        <v>6742431125</v>
      </c>
      <c r="I1157" s="42">
        <v>25945</v>
      </c>
    </row>
    <row r="1158" spans="1:9" x14ac:dyDescent="0.25">
      <c r="A1158" t="s">
        <v>9</v>
      </c>
      <c r="B1158" s="39">
        <v>46090</v>
      </c>
      <c r="C1158" s="40">
        <v>0.66666666666666663</v>
      </c>
      <c r="D1158" s="41">
        <v>5237</v>
      </c>
      <c r="E1158" s="41">
        <v>5237.5</v>
      </c>
      <c r="F1158" s="41">
        <v>5179</v>
      </c>
      <c r="G1158" s="41">
        <v>5203</v>
      </c>
      <c r="H1158" s="41">
        <v>7197495375</v>
      </c>
      <c r="I1158" s="42">
        <v>27615</v>
      </c>
    </row>
    <row r="1159" spans="1:9" x14ac:dyDescent="0.25">
      <c r="A1159" t="s">
        <v>9</v>
      </c>
      <c r="B1159" s="39">
        <v>46090</v>
      </c>
      <c r="C1159" s="40">
        <v>0.64583333333333337</v>
      </c>
      <c r="D1159" s="41">
        <v>5237</v>
      </c>
      <c r="E1159" s="41">
        <v>5238.5</v>
      </c>
      <c r="F1159" s="41">
        <v>5232.5</v>
      </c>
      <c r="G1159" s="41">
        <v>5237.5</v>
      </c>
      <c r="H1159" s="41">
        <v>4028465000</v>
      </c>
      <c r="I1159" s="42">
        <v>15390</v>
      </c>
    </row>
    <row r="1160" spans="1:9" x14ac:dyDescent="0.25">
      <c r="A1160" t="s">
        <v>9</v>
      </c>
      <c r="B1160" s="39">
        <v>46090</v>
      </c>
      <c r="C1160" s="40">
        <v>0.625</v>
      </c>
      <c r="D1160" s="41">
        <v>5248</v>
      </c>
      <c r="E1160" s="41">
        <v>5248</v>
      </c>
      <c r="F1160" s="41">
        <v>5235.5</v>
      </c>
      <c r="G1160" s="41">
        <v>5237</v>
      </c>
      <c r="H1160" s="41">
        <v>2560270375</v>
      </c>
      <c r="I1160" s="42">
        <v>9770</v>
      </c>
    </row>
    <row r="1161" spans="1:9" x14ac:dyDescent="0.25">
      <c r="A1161" t="s">
        <v>9</v>
      </c>
      <c r="B1161" s="39">
        <v>46090</v>
      </c>
      <c r="C1161" s="40">
        <v>0.60416666666666663</v>
      </c>
      <c r="D1161" s="41">
        <v>5251</v>
      </c>
      <c r="E1161" s="41">
        <v>5254.5</v>
      </c>
      <c r="F1161" s="41">
        <v>5246.5</v>
      </c>
      <c r="G1161" s="41">
        <v>5249</v>
      </c>
      <c r="H1161" s="41">
        <v>1229799625</v>
      </c>
      <c r="I1161" s="42">
        <v>4685</v>
      </c>
    </row>
    <row r="1162" spans="1:9" x14ac:dyDescent="0.25">
      <c r="A1162" t="s">
        <v>9</v>
      </c>
      <c r="B1162" s="39">
        <v>46090</v>
      </c>
      <c r="C1162" s="40">
        <v>0.58333333333333337</v>
      </c>
      <c r="D1162" s="41">
        <v>5243.5</v>
      </c>
      <c r="E1162" s="41">
        <v>5253.5</v>
      </c>
      <c r="F1162" s="41">
        <v>5243.5</v>
      </c>
      <c r="G1162" s="41">
        <v>5251.5</v>
      </c>
      <c r="H1162" s="41">
        <v>2994126625</v>
      </c>
      <c r="I1162" s="42">
        <v>11410</v>
      </c>
    </row>
    <row r="1163" spans="1:9" x14ac:dyDescent="0.25">
      <c r="A1163" t="s">
        <v>9</v>
      </c>
      <c r="B1163" s="39">
        <v>46090</v>
      </c>
      <c r="C1163" s="40">
        <v>0.5625</v>
      </c>
      <c r="D1163" s="41">
        <v>5241</v>
      </c>
      <c r="E1163" s="41">
        <v>5247.5</v>
      </c>
      <c r="F1163" s="41">
        <v>5238</v>
      </c>
      <c r="G1163" s="41">
        <v>5244</v>
      </c>
      <c r="H1163" s="41">
        <v>2399522250</v>
      </c>
      <c r="I1163" s="42">
        <v>9155</v>
      </c>
    </row>
    <row r="1164" spans="1:9" x14ac:dyDescent="0.25">
      <c r="A1164" t="s">
        <v>9</v>
      </c>
      <c r="B1164" s="39">
        <v>46090</v>
      </c>
      <c r="C1164" s="40">
        <v>0.54166666666666663</v>
      </c>
      <c r="D1164" s="41">
        <v>5240</v>
      </c>
      <c r="E1164" s="41">
        <v>5248</v>
      </c>
      <c r="F1164" s="41">
        <v>5233</v>
      </c>
      <c r="G1164" s="41">
        <v>5241</v>
      </c>
      <c r="H1164" s="41">
        <v>4014688625</v>
      </c>
      <c r="I1164" s="42">
        <v>15325</v>
      </c>
    </row>
    <row r="1165" spans="1:9" x14ac:dyDescent="0.25">
      <c r="A1165" t="s">
        <v>9</v>
      </c>
      <c r="B1165" s="39">
        <v>46090</v>
      </c>
      <c r="C1165" s="40">
        <v>0.52083333333333337</v>
      </c>
      <c r="D1165" s="41">
        <v>5238</v>
      </c>
      <c r="E1165" s="41">
        <v>5253.5</v>
      </c>
      <c r="F1165" s="41">
        <v>5237.5</v>
      </c>
      <c r="G1165" s="41">
        <v>5240</v>
      </c>
      <c r="H1165" s="41">
        <v>3452632875</v>
      </c>
      <c r="I1165" s="42">
        <v>13165</v>
      </c>
    </row>
    <row r="1166" spans="1:9" x14ac:dyDescent="0.25">
      <c r="A1166" t="s">
        <v>9</v>
      </c>
      <c r="B1166" s="39">
        <v>46090</v>
      </c>
      <c r="C1166" s="40">
        <v>0.5</v>
      </c>
      <c r="D1166" s="41">
        <v>5237</v>
      </c>
      <c r="E1166" s="41">
        <v>5243</v>
      </c>
      <c r="F1166" s="41">
        <v>5232</v>
      </c>
      <c r="G1166" s="41">
        <v>5238.5</v>
      </c>
      <c r="H1166" s="41">
        <v>6693812625</v>
      </c>
      <c r="I1166" s="42">
        <v>25565</v>
      </c>
    </row>
    <row r="1167" spans="1:9" x14ac:dyDescent="0.25">
      <c r="A1167" t="s">
        <v>9</v>
      </c>
      <c r="B1167" s="39">
        <v>46090</v>
      </c>
      <c r="C1167" s="40">
        <v>0.47916666666666669</v>
      </c>
      <c r="D1167" s="41">
        <v>5239</v>
      </c>
      <c r="E1167" s="41">
        <v>5243.5</v>
      </c>
      <c r="F1167" s="41">
        <v>5235</v>
      </c>
      <c r="G1167" s="41">
        <v>5236</v>
      </c>
      <c r="H1167" s="41">
        <v>5028753750</v>
      </c>
      <c r="I1167" s="42">
        <v>19200</v>
      </c>
    </row>
    <row r="1168" spans="1:9" x14ac:dyDescent="0.25">
      <c r="A1168" t="s">
        <v>9</v>
      </c>
      <c r="B1168" s="39">
        <v>46090</v>
      </c>
      <c r="C1168" s="40">
        <v>0.45833333333333331</v>
      </c>
      <c r="D1168" s="41">
        <v>5245</v>
      </c>
      <c r="E1168" s="41">
        <v>5261.5</v>
      </c>
      <c r="F1168" s="41">
        <v>5234.5</v>
      </c>
      <c r="G1168" s="41">
        <v>5238.5</v>
      </c>
      <c r="H1168" s="41">
        <v>7853985375</v>
      </c>
      <c r="I1168" s="42">
        <v>29935</v>
      </c>
    </row>
    <row r="1169" spans="1:9" x14ac:dyDescent="0.25">
      <c r="A1169" t="s">
        <v>9</v>
      </c>
      <c r="B1169" s="39">
        <v>46090</v>
      </c>
      <c r="C1169" s="40">
        <v>0.4375</v>
      </c>
      <c r="D1169" s="41">
        <v>5249</v>
      </c>
      <c r="E1169" s="41">
        <v>5254</v>
      </c>
      <c r="F1169" s="41">
        <v>5242.5</v>
      </c>
      <c r="G1169" s="41">
        <v>5245</v>
      </c>
      <c r="H1169" s="41">
        <v>6457477375</v>
      </c>
      <c r="I1169" s="42">
        <v>24610</v>
      </c>
    </row>
    <row r="1170" spans="1:9" x14ac:dyDescent="0.25">
      <c r="A1170" t="s">
        <v>9</v>
      </c>
      <c r="B1170" s="39">
        <v>46090</v>
      </c>
      <c r="C1170" s="40">
        <v>0.41666666666666669</v>
      </c>
      <c r="D1170" s="41">
        <v>5268.5</v>
      </c>
      <c r="E1170" s="41">
        <v>5270</v>
      </c>
      <c r="F1170" s="41">
        <v>5248</v>
      </c>
      <c r="G1170" s="41">
        <v>5249</v>
      </c>
      <c r="H1170" s="41">
        <v>9256476000</v>
      </c>
      <c r="I1170" s="42">
        <v>35225</v>
      </c>
    </row>
    <row r="1171" spans="1:9" x14ac:dyDescent="0.25">
      <c r="A1171" t="s">
        <v>9</v>
      </c>
      <c r="B1171" s="39">
        <v>46090</v>
      </c>
      <c r="C1171" s="40">
        <v>0.39583333333333331</v>
      </c>
      <c r="D1171" s="41">
        <v>5281</v>
      </c>
      <c r="E1171" s="41">
        <v>5289</v>
      </c>
      <c r="F1171" s="41">
        <v>5268.5</v>
      </c>
      <c r="G1171" s="41">
        <v>5270</v>
      </c>
      <c r="H1171" s="41">
        <v>4203355250</v>
      </c>
      <c r="I1171" s="42">
        <v>15915</v>
      </c>
    </row>
    <row r="1172" spans="1:9" x14ac:dyDescent="0.25">
      <c r="A1172" t="s">
        <v>9</v>
      </c>
      <c r="B1172" s="39">
        <v>46090</v>
      </c>
      <c r="C1172" s="40">
        <v>0.375</v>
      </c>
      <c r="D1172" s="41">
        <v>5313</v>
      </c>
      <c r="E1172" s="41">
        <v>5317</v>
      </c>
      <c r="F1172" s="41">
        <v>5281</v>
      </c>
      <c r="G1172" s="41">
        <v>5281</v>
      </c>
      <c r="H1172" s="41">
        <v>5226429125</v>
      </c>
      <c r="I1172" s="42">
        <v>19735</v>
      </c>
    </row>
    <row r="1173" spans="1:9" x14ac:dyDescent="0.25">
      <c r="A1173" t="s">
        <v>9</v>
      </c>
      <c r="B1173" s="39">
        <v>46087</v>
      </c>
      <c r="C1173" s="40">
        <v>0.75</v>
      </c>
      <c r="D1173" s="41">
        <v>5271</v>
      </c>
      <c r="E1173" s="41">
        <v>5294</v>
      </c>
      <c r="F1173" s="41">
        <v>5268</v>
      </c>
      <c r="G1173" s="41">
        <v>5289.5</v>
      </c>
      <c r="H1173" s="41">
        <v>3261249375</v>
      </c>
      <c r="I1173" s="42">
        <v>12350</v>
      </c>
    </row>
    <row r="1174" spans="1:9" x14ac:dyDescent="0.25">
      <c r="A1174" t="s">
        <v>9</v>
      </c>
      <c r="B1174" s="39">
        <v>46087</v>
      </c>
      <c r="C1174" s="40">
        <v>0.72916666666666663</v>
      </c>
      <c r="D1174" s="41">
        <v>5284</v>
      </c>
      <c r="E1174" s="41">
        <v>5287</v>
      </c>
      <c r="F1174" s="41">
        <v>5262.5</v>
      </c>
      <c r="G1174" s="41">
        <v>5270.5</v>
      </c>
      <c r="H1174" s="41">
        <v>4626409250</v>
      </c>
      <c r="I1174" s="42">
        <v>17545</v>
      </c>
    </row>
    <row r="1175" spans="1:9" x14ac:dyDescent="0.25">
      <c r="A1175" t="s">
        <v>9</v>
      </c>
      <c r="B1175" s="39">
        <v>46087</v>
      </c>
      <c r="C1175" s="40">
        <v>0.70833333333333337</v>
      </c>
      <c r="D1175" s="41">
        <v>5273</v>
      </c>
      <c r="E1175" s="41">
        <v>5285</v>
      </c>
      <c r="F1175" s="41">
        <v>5268</v>
      </c>
      <c r="G1175" s="41">
        <v>5284.5</v>
      </c>
      <c r="H1175" s="41">
        <v>3828963750</v>
      </c>
      <c r="I1175" s="42">
        <v>14515</v>
      </c>
    </row>
    <row r="1176" spans="1:9" x14ac:dyDescent="0.25">
      <c r="A1176" t="s">
        <v>9</v>
      </c>
      <c r="B1176" s="39">
        <v>46087</v>
      </c>
      <c r="C1176" s="40">
        <v>0.6875</v>
      </c>
      <c r="D1176" s="41">
        <v>5279.5</v>
      </c>
      <c r="E1176" s="41">
        <v>5289</v>
      </c>
      <c r="F1176" s="41">
        <v>5271.5</v>
      </c>
      <c r="G1176" s="41">
        <v>5272.5</v>
      </c>
      <c r="H1176" s="41">
        <v>3063742875</v>
      </c>
      <c r="I1176" s="42">
        <v>11605</v>
      </c>
    </row>
    <row r="1177" spans="1:9" x14ac:dyDescent="0.25">
      <c r="A1177" t="s">
        <v>9</v>
      </c>
      <c r="B1177" s="39">
        <v>46087</v>
      </c>
      <c r="C1177" s="40">
        <v>0.66666666666666663</v>
      </c>
      <c r="D1177" s="41">
        <v>5295.5</v>
      </c>
      <c r="E1177" s="41">
        <v>5297</v>
      </c>
      <c r="F1177" s="41">
        <v>5280</v>
      </c>
      <c r="G1177" s="41">
        <v>5280</v>
      </c>
      <c r="H1177" s="41">
        <v>8166331000</v>
      </c>
      <c r="I1177" s="42">
        <v>30885</v>
      </c>
    </row>
    <row r="1178" spans="1:9" x14ac:dyDescent="0.25">
      <c r="A1178" t="s">
        <v>9</v>
      </c>
      <c r="B1178" s="39">
        <v>46087</v>
      </c>
      <c r="C1178" s="40">
        <v>0.64583333333333337</v>
      </c>
      <c r="D1178" s="41">
        <v>5295.5</v>
      </c>
      <c r="E1178" s="41">
        <v>5299.5</v>
      </c>
      <c r="F1178" s="41">
        <v>5284.5</v>
      </c>
      <c r="G1178" s="41">
        <v>5296</v>
      </c>
      <c r="H1178" s="41">
        <v>7319222375</v>
      </c>
      <c r="I1178" s="42">
        <v>27650</v>
      </c>
    </row>
    <row r="1179" spans="1:9" x14ac:dyDescent="0.25">
      <c r="A1179" t="s">
        <v>9</v>
      </c>
      <c r="B1179" s="39">
        <v>46087</v>
      </c>
      <c r="C1179" s="40">
        <v>0.625</v>
      </c>
      <c r="D1179" s="41">
        <v>5313</v>
      </c>
      <c r="E1179" s="41">
        <v>5314</v>
      </c>
      <c r="F1179" s="41">
        <v>5292</v>
      </c>
      <c r="G1179" s="41">
        <v>5295.5</v>
      </c>
      <c r="H1179" s="41">
        <v>4200288625</v>
      </c>
      <c r="I1179" s="42">
        <v>15845</v>
      </c>
    </row>
    <row r="1180" spans="1:9" x14ac:dyDescent="0.25">
      <c r="A1180" t="s">
        <v>9</v>
      </c>
      <c r="B1180" s="39">
        <v>46087</v>
      </c>
      <c r="C1180" s="40">
        <v>0.60416666666666663</v>
      </c>
      <c r="D1180" s="41">
        <v>5305</v>
      </c>
      <c r="E1180" s="41">
        <v>5312.5</v>
      </c>
      <c r="F1180" s="41">
        <v>5298</v>
      </c>
      <c r="G1180" s="41">
        <v>5312.5</v>
      </c>
      <c r="H1180" s="41">
        <v>2464120500</v>
      </c>
      <c r="I1180" s="42">
        <v>9285</v>
      </c>
    </row>
    <row r="1181" spans="1:9" x14ac:dyDescent="0.25">
      <c r="A1181" t="s">
        <v>9</v>
      </c>
      <c r="B1181" s="39">
        <v>46087</v>
      </c>
      <c r="C1181" s="40">
        <v>0.58333333333333337</v>
      </c>
      <c r="D1181" s="41">
        <v>5302.5</v>
      </c>
      <c r="E1181" s="41">
        <v>5307</v>
      </c>
      <c r="F1181" s="41">
        <v>5294.5</v>
      </c>
      <c r="G1181" s="41">
        <v>5304.5</v>
      </c>
      <c r="H1181" s="41">
        <v>3993810375</v>
      </c>
      <c r="I1181" s="42">
        <v>15065</v>
      </c>
    </row>
    <row r="1182" spans="1:9" x14ac:dyDescent="0.25">
      <c r="A1182" t="s">
        <v>9</v>
      </c>
      <c r="B1182" s="39">
        <v>46087</v>
      </c>
      <c r="C1182" s="40">
        <v>0.5625</v>
      </c>
      <c r="D1182" s="41">
        <v>5302.5</v>
      </c>
      <c r="E1182" s="41">
        <v>5307.5</v>
      </c>
      <c r="F1182" s="41">
        <v>5291.5</v>
      </c>
      <c r="G1182" s="41">
        <v>5303</v>
      </c>
      <c r="H1182" s="41">
        <v>4455148625</v>
      </c>
      <c r="I1182" s="42">
        <v>16815</v>
      </c>
    </row>
    <row r="1183" spans="1:9" x14ac:dyDescent="0.25">
      <c r="A1183" t="s">
        <v>9</v>
      </c>
      <c r="B1183" s="39">
        <v>46087</v>
      </c>
      <c r="C1183" s="40">
        <v>0.54166666666666663</v>
      </c>
      <c r="D1183" s="41">
        <v>5316</v>
      </c>
      <c r="E1183" s="41">
        <v>5317</v>
      </c>
      <c r="F1183" s="41">
        <v>5296.5</v>
      </c>
      <c r="G1183" s="41">
        <v>5303</v>
      </c>
      <c r="H1183" s="41">
        <v>3548321750</v>
      </c>
      <c r="I1183" s="42">
        <v>13375</v>
      </c>
    </row>
    <row r="1184" spans="1:9" x14ac:dyDescent="0.25">
      <c r="A1184" t="s">
        <v>9</v>
      </c>
      <c r="B1184" s="39">
        <v>46087</v>
      </c>
      <c r="C1184" s="40">
        <v>0.52083333333333337</v>
      </c>
      <c r="D1184" s="41">
        <v>5316</v>
      </c>
      <c r="E1184" s="41">
        <v>5323</v>
      </c>
      <c r="F1184" s="41">
        <v>5308</v>
      </c>
      <c r="G1184" s="41">
        <v>5316.5</v>
      </c>
      <c r="H1184" s="41">
        <v>2772521250</v>
      </c>
      <c r="I1184" s="42">
        <v>10435</v>
      </c>
    </row>
    <row r="1185" spans="1:9" x14ac:dyDescent="0.25">
      <c r="A1185" t="s">
        <v>9</v>
      </c>
      <c r="B1185" s="39">
        <v>46087</v>
      </c>
      <c r="C1185" s="40">
        <v>0.5</v>
      </c>
      <c r="D1185" s="41">
        <v>5327</v>
      </c>
      <c r="E1185" s="41">
        <v>5328</v>
      </c>
      <c r="F1185" s="41">
        <v>5310</v>
      </c>
      <c r="G1185" s="41">
        <v>5316.5</v>
      </c>
      <c r="H1185" s="41">
        <v>3337034875</v>
      </c>
      <c r="I1185" s="42">
        <v>12550</v>
      </c>
    </row>
    <row r="1186" spans="1:9" x14ac:dyDescent="0.25">
      <c r="A1186" t="s">
        <v>9</v>
      </c>
      <c r="B1186" s="39">
        <v>46087</v>
      </c>
      <c r="C1186" s="40">
        <v>0.47916666666666669</v>
      </c>
      <c r="D1186" s="41">
        <v>5333</v>
      </c>
      <c r="E1186" s="41">
        <v>5336</v>
      </c>
      <c r="F1186" s="41">
        <v>5314.5</v>
      </c>
      <c r="G1186" s="41">
        <v>5327.5</v>
      </c>
      <c r="H1186" s="41">
        <v>5574751875</v>
      </c>
      <c r="I1186" s="42">
        <v>20930</v>
      </c>
    </row>
    <row r="1187" spans="1:9" x14ac:dyDescent="0.25">
      <c r="A1187" t="s">
        <v>9</v>
      </c>
      <c r="B1187" s="39">
        <v>46087</v>
      </c>
      <c r="C1187" s="40">
        <v>0.45833333333333331</v>
      </c>
      <c r="D1187" s="41">
        <v>5338.5</v>
      </c>
      <c r="E1187" s="41">
        <v>5354</v>
      </c>
      <c r="F1187" s="41">
        <v>5331.5</v>
      </c>
      <c r="G1187" s="41">
        <v>5333</v>
      </c>
      <c r="H1187" s="41">
        <v>5914839750</v>
      </c>
      <c r="I1187" s="42">
        <v>22150</v>
      </c>
    </row>
    <row r="1188" spans="1:9" x14ac:dyDescent="0.25">
      <c r="A1188" t="s">
        <v>9</v>
      </c>
      <c r="B1188" s="39">
        <v>46087</v>
      </c>
      <c r="C1188" s="40">
        <v>0.4375</v>
      </c>
      <c r="D1188" s="41">
        <v>5312</v>
      </c>
      <c r="E1188" s="41">
        <v>5338.5</v>
      </c>
      <c r="F1188" s="41">
        <v>5301</v>
      </c>
      <c r="G1188" s="41">
        <v>5338.5</v>
      </c>
      <c r="H1188" s="41">
        <v>8301245125</v>
      </c>
      <c r="I1188" s="42">
        <v>31210</v>
      </c>
    </row>
    <row r="1189" spans="1:9" x14ac:dyDescent="0.25">
      <c r="A1189" t="s">
        <v>9</v>
      </c>
      <c r="B1189" s="39">
        <v>46087</v>
      </c>
      <c r="C1189" s="40">
        <v>0.41666666666666669</v>
      </c>
      <c r="D1189" s="41">
        <v>5326.5</v>
      </c>
      <c r="E1189" s="41">
        <v>5326.5</v>
      </c>
      <c r="F1189" s="41">
        <v>5305</v>
      </c>
      <c r="G1189" s="41">
        <v>5314.5</v>
      </c>
      <c r="H1189" s="41">
        <v>4950146875</v>
      </c>
      <c r="I1189" s="42">
        <v>18630</v>
      </c>
    </row>
    <row r="1190" spans="1:9" x14ac:dyDescent="0.25">
      <c r="A1190" t="s">
        <v>9</v>
      </c>
      <c r="B1190" s="39">
        <v>46087</v>
      </c>
      <c r="C1190" s="40">
        <v>0.39583333333333331</v>
      </c>
      <c r="D1190" s="41">
        <v>5324.5</v>
      </c>
      <c r="E1190" s="41">
        <v>5330.5</v>
      </c>
      <c r="F1190" s="41">
        <v>5316.5</v>
      </c>
      <c r="G1190" s="41">
        <v>5325.5</v>
      </c>
      <c r="H1190" s="41">
        <v>4047211375</v>
      </c>
      <c r="I1190" s="42">
        <v>15205</v>
      </c>
    </row>
    <row r="1191" spans="1:9" x14ac:dyDescent="0.25">
      <c r="A1191" t="s">
        <v>9</v>
      </c>
      <c r="B1191" s="39">
        <v>46087</v>
      </c>
      <c r="C1191" s="40">
        <v>0.375</v>
      </c>
      <c r="D1191" s="41">
        <v>5348</v>
      </c>
      <c r="E1191" s="41">
        <v>5352</v>
      </c>
      <c r="F1191" s="41">
        <v>5322</v>
      </c>
      <c r="G1191" s="41">
        <v>5324</v>
      </c>
      <c r="H1191" s="41">
        <v>6122862125</v>
      </c>
      <c r="I1191" s="42">
        <v>22945</v>
      </c>
    </row>
    <row r="1192" spans="1:9" x14ac:dyDescent="0.25">
      <c r="A1192" t="s">
        <v>9</v>
      </c>
      <c r="B1192" s="39">
        <v>46086</v>
      </c>
      <c r="C1192" s="40">
        <v>0.75</v>
      </c>
      <c r="D1192" s="41">
        <v>5299</v>
      </c>
      <c r="E1192" s="41">
        <v>5309</v>
      </c>
      <c r="F1192" s="41">
        <v>5298</v>
      </c>
      <c r="G1192" s="41">
        <v>5302.5</v>
      </c>
      <c r="H1192" s="41">
        <v>1986157000</v>
      </c>
      <c r="I1192" s="42">
        <v>7490</v>
      </c>
    </row>
    <row r="1193" spans="1:9" x14ac:dyDescent="0.25">
      <c r="A1193" t="s">
        <v>9</v>
      </c>
      <c r="B1193" s="39">
        <v>46086</v>
      </c>
      <c r="C1193" s="40">
        <v>0.72916666666666663</v>
      </c>
      <c r="D1193" s="41">
        <v>5308</v>
      </c>
      <c r="E1193" s="41">
        <v>5309.5</v>
      </c>
      <c r="F1193" s="41">
        <v>5295</v>
      </c>
      <c r="G1193" s="41">
        <v>5298.5</v>
      </c>
      <c r="H1193" s="41">
        <v>3383806875</v>
      </c>
      <c r="I1193" s="42">
        <v>12765</v>
      </c>
    </row>
    <row r="1194" spans="1:9" x14ac:dyDescent="0.25">
      <c r="A1194" t="s">
        <v>9</v>
      </c>
      <c r="B1194" s="39">
        <v>46086</v>
      </c>
      <c r="C1194" s="40">
        <v>0.70833333333333337</v>
      </c>
      <c r="D1194" s="41">
        <v>5322.5</v>
      </c>
      <c r="E1194" s="41">
        <v>5325.5</v>
      </c>
      <c r="F1194" s="41">
        <v>5303</v>
      </c>
      <c r="G1194" s="41">
        <v>5308.5</v>
      </c>
      <c r="H1194" s="41">
        <v>5345111875</v>
      </c>
      <c r="I1194" s="42">
        <v>20115</v>
      </c>
    </row>
    <row r="1195" spans="1:9" x14ac:dyDescent="0.25">
      <c r="A1195" t="s">
        <v>9</v>
      </c>
      <c r="B1195" s="39">
        <v>46086</v>
      </c>
      <c r="C1195" s="40">
        <v>0.6875</v>
      </c>
      <c r="D1195" s="41">
        <v>5313</v>
      </c>
      <c r="E1195" s="41">
        <v>5328.5</v>
      </c>
      <c r="F1195" s="41">
        <v>5313</v>
      </c>
      <c r="G1195" s="41">
        <v>5322.5</v>
      </c>
      <c r="H1195" s="41">
        <v>4562012250</v>
      </c>
      <c r="I1195" s="42">
        <v>17140</v>
      </c>
    </row>
    <row r="1196" spans="1:9" x14ac:dyDescent="0.25">
      <c r="A1196" t="s">
        <v>9</v>
      </c>
      <c r="B1196" s="39">
        <v>46086</v>
      </c>
      <c r="C1196" s="40">
        <v>0.66666666666666663</v>
      </c>
      <c r="D1196" s="41">
        <v>5314</v>
      </c>
      <c r="E1196" s="41">
        <v>5317.5</v>
      </c>
      <c r="F1196" s="41">
        <v>5308</v>
      </c>
      <c r="G1196" s="41">
        <v>5313</v>
      </c>
      <c r="H1196" s="41">
        <v>3437627625</v>
      </c>
      <c r="I1196" s="42">
        <v>12940</v>
      </c>
    </row>
    <row r="1197" spans="1:9" x14ac:dyDescent="0.25">
      <c r="A1197" t="s">
        <v>9</v>
      </c>
      <c r="B1197" s="39">
        <v>46086</v>
      </c>
      <c r="C1197" s="40">
        <v>0.64583333333333337</v>
      </c>
      <c r="D1197" s="41">
        <v>5316</v>
      </c>
      <c r="E1197" s="41">
        <v>5319.5</v>
      </c>
      <c r="F1197" s="41">
        <v>5305.5</v>
      </c>
      <c r="G1197" s="41">
        <v>5314</v>
      </c>
      <c r="H1197" s="41">
        <v>5155211875</v>
      </c>
      <c r="I1197" s="42">
        <v>19410</v>
      </c>
    </row>
    <row r="1198" spans="1:9" x14ac:dyDescent="0.25">
      <c r="A1198" t="s">
        <v>9</v>
      </c>
      <c r="B1198" s="39">
        <v>46086</v>
      </c>
      <c r="C1198" s="40">
        <v>0.625</v>
      </c>
      <c r="D1198" s="41">
        <v>5298.5</v>
      </c>
      <c r="E1198" s="41">
        <v>5322.5</v>
      </c>
      <c r="F1198" s="41">
        <v>5295</v>
      </c>
      <c r="G1198" s="41">
        <v>5315.5</v>
      </c>
      <c r="H1198" s="41">
        <v>4494003000</v>
      </c>
      <c r="I1198" s="42">
        <v>16930</v>
      </c>
    </row>
    <row r="1199" spans="1:9" x14ac:dyDescent="0.25">
      <c r="A1199" t="s">
        <v>9</v>
      </c>
      <c r="B1199" s="39">
        <v>46086</v>
      </c>
      <c r="C1199" s="40">
        <v>0.60416666666666663</v>
      </c>
      <c r="D1199" s="41">
        <v>5295</v>
      </c>
      <c r="E1199" s="41">
        <v>5305.5</v>
      </c>
      <c r="F1199" s="41">
        <v>5273.5</v>
      </c>
      <c r="G1199" s="41">
        <v>5298</v>
      </c>
      <c r="H1199" s="41">
        <v>5749059375</v>
      </c>
      <c r="I1199" s="42">
        <v>21730</v>
      </c>
    </row>
    <row r="1200" spans="1:9" x14ac:dyDescent="0.25">
      <c r="A1200" t="s">
        <v>9</v>
      </c>
      <c r="B1200" s="39">
        <v>46086</v>
      </c>
      <c r="C1200" s="40">
        <v>0.58333333333333337</v>
      </c>
      <c r="D1200" s="41">
        <v>5293.5</v>
      </c>
      <c r="E1200" s="41">
        <v>5297</v>
      </c>
      <c r="F1200" s="41">
        <v>5280</v>
      </c>
      <c r="G1200" s="41">
        <v>5295</v>
      </c>
      <c r="H1200" s="41">
        <v>7281521750</v>
      </c>
      <c r="I1200" s="42">
        <v>27535</v>
      </c>
    </row>
    <row r="1201" spans="1:9" x14ac:dyDescent="0.25">
      <c r="A1201" t="s">
        <v>9</v>
      </c>
      <c r="B1201" s="39">
        <v>46086</v>
      </c>
      <c r="C1201" s="40">
        <v>0.5625</v>
      </c>
      <c r="D1201" s="41">
        <v>5314</v>
      </c>
      <c r="E1201" s="41">
        <v>5315.5</v>
      </c>
      <c r="F1201" s="41">
        <v>5293</v>
      </c>
      <c r="G1201" s="41">
        <v>5293.5</v>
      </c>
      <c r="H1201" s="41">
        <v>6309543875</v>
      </c>
      <c r="I1201" s="42">
        <v>23800</v>
      </c>
    </row>
    <row r="1202" spans="1:9" x14ac:dyDescent="0.25">
      <c r="A1202" t="s">
        <v>9</v>
      </c>
      <c r="B1202" s="39">
        <v>46086</v>
      </c>
      <c r="C1202" s="40">
        <v>0.54166666666666663</v>
      </c>
      <c r="D1202" s="41">
        <v>5287</v>
      </c>
      <c r="E1202" s="41">
        <v>5322</v>
      </c>
      <c r="F1202" s="41">
        <v>5287</v>
      </c>
      <c r="G1202" s="41">
        <v>5314</v>
      </c>
      <c r="H1202" s="41">
        <v>6951110125</v>
      </c>
      <c r="I1202" s="42">
        <v>26180</v>
      </c>
    </row>
    <row r="1203" spans="1:9" x14ac:dyDescent="0.25">
      <c r="A1203" t="s">
        <v>9</v>
      </c>
      <c r="B1203" s="39">
        <v>46086</v>
      </c>
      <c r="C1203" s="40">
        <v>0.52083333333333337</v>
      </c>
      <c r="D1203" s="41">
        <v>5283</v>
      </c>
      <c r="E1203" s="41">
        <v>5294</v>
      </c>
      <c r="F1203" s="41">
        <v>5278</v>
      </c>
      <c r="G1203" s="41">
        <v>5286.5</v>
      </c>
      <c r="H1203" s="41">
        <v>11367515380</v>
      </c>
      <c r="I1203" s="42">
        <v>43045</v>
      </c>
    </row>
    <row r="1204" spans="1:9" x14ac:dyDescent="0.25">
      <c r="A1204" t="s">
        <v>9</v>
      </c>
      <c r="B1204" s="39">
        <v>46086</v>
      </c>
      <c r="C1204" s="40">
        <v>0.5</v>
      </c>
      <c r="D1204" s="41">
        <v>5273.5</v>
      </c>
      <c r="E1204" s="41">
        <v>5287.5</v>
      </c>
      <c r="F1204" s="41">
        <v>5262</v>
      </c>
      <c r="G1204" s="41">
        <v>5284</v>
      </c>
      <c r="H1204" s="41">
        <v>4263587500</v>
      </c>
      <c r="I1204" s="42">
        <v>16170</v>
      </c>
    </row>
    <row r="1205" spans="1:9" x14ac:dyDescent="0.25">
      <c r="A1205" t="s">
        <v>9</v>
      </c>
      <c r="B1205" s="39">
        <v>46086</v>
      </c>
      <c r="C1205" s="40">
        <v>0.47916666666666669</v>
      </c>
      <c r="D1205" s="41">
        <v>5291</v>
      </c>
      <c r="E1205" s="41">
        <v>5292</v>
      </c>
      <c r="F1205" s="41">
        <v>5269</v>
      </c>
      <c r="G1205" s="41">
        <v>5274</v>
      </c>
      <c r="H1205" s="41">
        <v>4115369625</v>
      </c>
      <c r="I1205" s="42">
        <v>15580</v>
      </c>
    </row>
    <row r="1206" spans="1:9" x14ac:dyDescent="0.25">
      <c r="A1206" t="s">
        <v>9</v>
      </c>
      <c r="B1206" s="39">
        <v>46086</v>
      </c>
      <c r="C1206" s="40">
        <v>0.45833333333333331</v>
      </c>
      <c r="D1206" s="41">
        <v>5288.5</v>
      </c>
      <c r="E1206" s="41">
        <v>5298.5</v>
      </c>
      <c r="F1206" s="41">
        <v>5273</v>
      </c>
      <c r="G1206" s="41">
        <v>5291</v>
      </c>
      <c r="H1206" s="41">
        <v>5275309125</v>
      </c>
      <c r="I1206" s="42">
        <v>19965</v>
      </c>
    </row>
    <row r="1207" spans="1:9" x14ac:dyDescent="0.25">
      <c r="A1207" t="s">
        <v>9</v>
      </c>
      <c r="B1207" s="39">
        <v>46086</v>
      </c>
      <c r="C1207" s="40">
        <v>0.4375</v>
      </c>
      <c r="D1207" s="41">
        <v>5283.5</v>
      </c>
      <c r="E1207" s="41">
        <v>5294</v>
      </c>
      <c r="F1207" s="41">
        <v>5279</v>
      </c>
      <c r="G1207" s="41">
        <v>5288.5</v>
      </c>
      <c r="H1207" s="41">
        <v>4425933000</v>
      </c>
      <c r="I1207" s="42">
        <v>16745</v>
      </c>
    </row>
    <row r="1208" spans="1:9" x14ac:dyDescent="0.25">
      <c r="A1208" t="s">
        <v>9</v>
      </c>
      <c r="B1208" s="39">
        <v>46086</v>
      </c>
      <c r="C1208" s="40">
        <v>0.41666666666666669</v>
      </c>
      <c r="D1208" s="41">
        <v>5279.5</v>
      </c>
      <c r="E1208" s="41">
        <v>5289</v>
      </c>
      <c r="F1208" s="41">
        <v>5272.5</v>
      </c>
      <c r="G1208" s="41">
        <v>5284</v>
      </c>
      <c r="H1208" s="41">
        <v>3296668000</v>
      </c>
      <c r="I1208" s="42">
        <v>12485</v>
      </c>
    </row>
    <row r="1209" spans="1:9" x14ac:dyDescent="0.25">
      <c r="A1209" t="s">
        <v>9</v>
      </c>
      <c r="B1209" s="39">
        <v>46086</v>
      </c>
      <c r="C1209" s="40">
        <v>0.39583333333333331</v>
      </c>
      <c r="D1209" s="41">
        <v>5272</v>
      </c>
      <c r="E1209" s="41">
        <v>5286.5</v>
      </c>
      <c r="F1209" s="41">
        <v>5272</v>
      </c>
      <c r="G1209" s="41">
        <v>5277.5</v>
      </c>
      <c r="H1209" s="41">
        <v>4637405125</v>
      </c>
      <c r="I1209" s="42">
        <v>17560</v>
      </c>
    </row>
    <row r="1210" spans="1:9" x14ac:dyDescent="0.25">
      <c r="A1210" t="s">
        <v>9</v>
      </c>
      <c r="B1210" s="39">
        <v>46086</v>
      </c>
      <c r="C1210" s="40">
        <v>0.375</v>
      </c>
      <c r="D1210" s="41">
        <v>5283</v>
      </c>
      <c r="E1210" s="41">
        <v>5295.5</v>
      </c>
      <c r="F1210" s="41">
        <v>5267</v>
      </c>
      <c r="G1210" s="41">
        <v>5271</v>
      </c>
      <c r="H1210" s="41">
        <v>4275358625</v>
      </c>
      <c r="I1210" s="42">
        <v>16185</v>
      </c>
    </row>
    <row r="1211" spans="1:9" x14ac:dyDescent="0.25">
      <c r="A1211" t="s">
        <v>9</v>
      </c>
      <c r="B1211" s="39">
        <v>46085</v>
      </c>
      <c r="C1211" s="40">
        <v>0.75</v>
      </c>
      <c r="D1211" s="41">
        <v>5266.5</v>
      </c>
      <c r="E1211" s="41">
        <v>5270</v>
      </c>
      <c r="F1211" s="41">
        <v>5264</v>
      </c>
      <c r="G1211" s="41">
        <v>5270</v>
      </c>
      <c r="H1211" s="41">
        <v>1753780500</v>
      </c>
      <c r="I1211" s="42">
        <v>6660</v>
      </c>
    </row>
    <row r="1212" spans="1:9" x14ac:dyDescent="0.25">
      <c r="A1212" t="s">
        <v>9</v>
      </c>
      <c r="B1212" s="39">
        <v>46085</v>
      </c>
      <c r="C1212" s="40">
        <v>0.72916666666666663</v>
      </c>
      <c r="D1212" s="41">
        <v>5258.5</v>
      </c>
      <c r="E1212" s="41">
        <v>5268</v>
      </c>
      <c r="F1212" s="41">
        <v>5256</v>
      </c>
      <c r="G1212" s="41">
        <v>5266.5</v>
      </c>
      <c r="H1212" s="41">
        <v>2632894625</v>
      </c>
      <c r="I1212" s="42">
        <v>10010</v>
      </c>
    </row>
    <row r="1213" spans="1:9" x14ac:dyDescent="0.25">
      <c r="A1213" t="s">
        <v>9</v>
      </c>
      <c r="B1213" s="39">
        <v>46085</v>
      </c>
      <c r="C1213" s="40">
        <v>0.70833333333333337</v>
      </c>
      <c r="D1213" s="41">
        <v>5253.5</v>
      </c>
      <c r="E1213" s="41">
        <v>5260.5</v>
      </c>
      <c r="F1213" s="41">
        <v>5253</v>
      </c>
      <c r="G1213" s="41">
        <v>5258.5</v>
      </c>
      <c r="H1213" s="41">
        <v>4417286375</v>
      </c>
      <c r="I1213" s="42">
        <v>16810</v>
      </c>
    </row>
    <row r="1214" spans="1:9" x14ac:dyDescent="0.25">
      <c r="A1214" t="s">
        <v>9</v>
      </c>
      <c r="B1214" s="39">
        <v>46085</v>
      </c>
      <c r="C1214" s="40">
        <v>0.6875</v>
      </c>
      <c r="D1214" s="41">
        <v>5254.5</v>
      </c>
      <c r="E1214" s="41">
        <v>5255.5</v>
      </c>
      <c r="F1214" s="41">
        <v>5250</v>
      </c>
      <c r="G1214" s="41">
        <v>5254</v>
      </c>
      <c r="H1214" s="41">
        <v>1796549125</v>
      </c>
      <c r="I1214" s="42">
        <v>6840</v>
      </c>
    </row>
    <row r="1215" spans="1:9" x14ac:dyDescent="0.25">
      <c r="A1215" t="s">
        <v>9</v>
      </c>
      <c r="B1215" s="39">
        <v>46085</v>
      </c>
      <c r="C1215" s="40">
        <v>0.66666666666666663</v>
      </c>
      <c r="D1215" s="41">
        <v>5250.5</v>
      </c>
      <c r="E1215" s="41">
        <v>5258.5</v>
      </c>
      <c r="F1215" s="41">
        <v>5250</v>
      </c>
      <c r="G1215" s="41">
        <v>5255</v>
      </c>
      <c r="H1215" s="41">
        <v>1978697625</v>
      </c>
      <c r="I1215" s="42">
        <v>7530</v>
      </c>
    </row>
    <row r="1216" spans="1:9" x14ac:dyDescent="0.25">
      <c r="A1216" t="s">
        <v>9</v>
      </c>
      <c r="B1216" s="39">
        <v>46085</v>
      </c>
      <c r="C1216" s="40">
        <v>0.64583333333333337</v>
      </c>
      <c r="D1216" s="41">
        <v>5255.5</v>
      </c>
      <c r="E1216" s="41">
        <v>5255.5</v>
      </c>
      <c r="F1216" s="41">
        <v>5247.5</v>
      </c>
      <c r="G1216" s="41">
        <v>5251</v>
      </c>
      <c r="H1216" s="41">
        <v>2062406750</v>
      </c>
      <c r="I1216" s="42">
        <v>7855</v>
      </c>
    </row>
    <row r="1217" spans="1:9" x14ac:dyDescent="0.25">
      <c r="A1217" t="s">
        <v>9</v>
      </c>
      <c r="B1217" s="39">
        <v>46085</v>
      </c>
      <c r="C1217" s="40">
        <v>0.625</v>
      </c>
      <c r="D1217" s="41">
        <v>5256.5</v>
      </c>
      <c r="E1217" s="41">
        <v>5263.5</v>
      </c>
      <c r="F1217" s="41">
        <v>5255</v>
      </c>
      <c r="G1217" s="41">
        <v>5256</v>
      </c>
      <c r="H1217" s="41">
        <v>1864252750</v>
      </c>
      <c r="I1217" s="42">
        <v>7090</v>
      </c>
    </row>
    <row r="1218" spans="1:9" x14ac:dyDescent="0.25">
      <c r="A1218" t="s">
        <v>9</v>
      </c>
      <c r="B1218" s="39">
        <v>46085</v>
      </c>
      <c r="C1218" s="40">
        <v>0.60416666666666663</v>
      </c>
      <c r="D1218" s="41">
        <v>5259.5</v>
      </c>
      <c r="E1218" s="41">
        <v>5265.5</v>
      </c>
      <c r="F1218" s="41">
        <v>5256</v>
      </c>
      <c r="G1218" s="41">
        <v>5256.5</v>
      </c>
      <c r="H1218" s="41">
        <v>2441162500</v>
      </c>
      <c r="I1218" s="42">
        <v>9280</v>
      </c>
    </row>
    <row r="1219" spans="1:9" x14ac:dyDescent="0.25">
      <c r="A1219" t="s">
        <v>9</v>
      </c>
      <c r="B1219" s="39">
        <v>46085</v>
      </c>
      <c r="C1219" s="40">
        <v>0.58333333333333337</v>
      </c>
      <c r="D1219" s="41">
        <v>5249.5</v>
      </c>
      <c r="E1219" s="41">
        <v>5260</v>
      </c>
      <c r="F1219" s="41">
        <v>5247</v>
      </c>
      <c r="G1219" s="41">
        <v>5260</v>
      </c>
      <c r="H1219" s="41">
        <v>4465340500</v>
      </c>
      <c r="I1219" s="42">
        <v>16995</v>
      </c>
    </row>
    <row r="1220" spans="1:9" x14ac:dyDescent="0.25">
      <c r="A1220" t="s">
        <v>9</v>
      </c>
      <c r="B1220" s="39">
        <v>46085</v>
      </c>
      <c r="C1220" s="40">
        <v>0.5625</v>
      </c>
      <c r="D1220" s="41">
        <v>5254</v>
      </c>
      <c r="E1220" s="41">
        <v>5254.5</v>
      </c>
      <c r="F1220" s="41">
        <v>5243.5</v>
      </c>
      <c r="G1220" s="41">
        <v>5249.5</v>
      </c>
      <c r="H1220" s="41">
        <v>3709856125</v>
      </c>
      <c r="I1220" s="42">
        <v>14140</v>
      </c>
    </row>
    <row r="1221" spans="1:9" x14ac:dyDescent="0.25">
      <c r="A1221" t="s">
        <v>9</v>
      </c>
      <c r="B1221" s="39">
        <v>46085</v>
      </c>
      <c r="C1221" s="40">
        <v>0.54166666666666663</v>
      </c>
      <c r="D1221" s="41">
        <v>5233</v>
      </c>
      <c r="E1221" s="41">
        <v>5267</v>
      </c>
      <c r="F1221" s="41">
        <v>5230</v>
      </c>
      <c r="G1221" s="41">
        <v>5254</v>
      </c>
      <c r="H1221" s="41">
        <v>6613051000</v>
      </c>
      <c r="I1221" s="42">
        <v>25205</v>
      </c>
    </row>
    <row r="1222" spans="1:9" x14ac:dyDescent="0.25">
      <c r="A1222" t="s">
        <v>9</v>
      </c>
      <c r="B1222" s="39">
        <v>46085</v>
      </c>
      <c r="C1222" s="40">
        <v>0.52083333333333337</v>
      </c>
      <c r="D1222" s="41">
        <v>5234.5</v>
      </c>
      <c r="E1222" s="41">
        <v>5250</v>
      </c>
      <c r="F1222" s="41">
        <v>5232</v>
      </c>
      <c r="G1222" s="41">
        <v>5233.5</v>
      </c>
      <c r="H1222" s="41">
        <v>4218936375</v>
      </c>
      <c r="I1222" s="42">
        <v>16100</v>
      </c>
    </row>
    <row r="1223" spans="1:9" x14ac:dyDescent="0.25">
      <c r="A1223" t="s">
        <v>9</v>
      </c>
      <c r="B1223" s="39">
        <v>46085</v>
      </c>
      <c r="C1223" s="40">
        <v>0.5</v>
      </c>
      <c r="D1223" s="41">
        <v>5247.5</v>
      </c>
      <c r="E1223" s="41">
        <v>5255.5</v>
      </c>
      <c r="F1223" s="41">
        <v>5234</v>
      </c>
      <c r="G1223" s="41">
        <v>5234.5</v>
      </c>
      <c r="H1223" s="41">
        <v>15643317000</v>
      </c>
      <c r="I1223" s="42">
        <v>59665</v>
      </c>
    </row>
    <row r="1224" spans="1:9" x14ac:dyDescent="0.25">
      <c r="A1224" t="s">
        <v>9</v>
      </c>
      <c r="B1224" s="39">
        <v>46085</v>
      </c>
      <c r="C1224" s="40">
        <v>0.47916666666666669</v>
      </c>
      <c r="D1224" s="41">
        <v>5244.5</v>
      </c>
      <c r="E1224" s="41">
        <v>5258.5</v>
      </c>
      <c r="F1224" s="41">
        <v>5234.5</v>
      </c>
      <c r="G1224" s="41">
        <v>5247</v>
      </c>
      <c r="H1224" s="41">
        <v>7045469500</v>
      </c>
      <c r="I1224" s="42">
        <v>26850</v>
      </c>
    </row>
    <row r="1225" spans="1:9" x14ac:dyDescent="0.25">
      <c r="A1225" t="s">
        <v>9</v>
      </c>
      <c r="B1225" s="39">
        <v>46085</v>
      </c>
      <c r="C1225" s="40">
        <v>0.45833333333333331</v>
      </c>
      <c r="D1225" s="41">
        <v>5246.5</v>
      </c>
      <c r="E1225" s="41">
        <v>5251.5</v>
      </c>
      <c r="F1225" s="41">
        <v>5241</v>
      </c>
      <c r="G1225" s="41">
        <v>5244.5</v>
      </c>
      <c r="H1225" s="41">
        <v>4221281125</v>
      </c>
      <c r="I1225" s="42">
        <v>16090</v>
      </c>
    </row>
    <row r="1226" spans="1:9" x14ac:dyDescent="0.25">
      <c r="A1226" t="s">
        <v>9</v>
      </c>
      <c r="B1226" s="39">
        <v>46085</v>
      </c>
      <c r="C1226" s="40">
        <v>0.4375</v>
      </c>
      <c r="D1226" s="41">
        <v>5253.5</v>
      </c>
      <c r="E1226" s="41">
        <v>5261</v>
      </c>
      <c r="F1226" s="41">
        <v>5245.5</v>
      </c>
      <c r="G1226" s="41">
        <v>5246.5</v>
      </c>
      <c r="H1226" s="41">
        <v>9758641250</v>
      </c>
      <c r="I1226" s="42">
        <v>37150</v>
      </c>
    </row>
    <row r="1227" spans="1:9" x14ac:dyDescent="0.25">
      <c r="A1227" t="s">
        <v>9</v>
      </c>
      <c r="B1227" s="39">
        <v>46085</v>
      </c>
      <c r="C1227" s="40">
        <v>0.41666666666666669</v>
      </c>
      <c r="D1227" s="41">
        <v>5261.5</v>
      </c>
      <c r="E1227" s="41">
        <v>5261.5</v>
      </c>
      <c r="F1227" s="41">
        <v>5249</v>
      </c>
      <c r="G1227" s="41">
        <v>5253.5</v>
      </c>
      <c r="H1227" s="41">
        <v>6171918375</v>
      </c>
      <c r="I1227" s="42">
        <v>23490</v>
      </c>
    </row>
    <row r="1228" spans="1:9" x14ac:dyDescent="0.25">
      <c r="A1228" t="s">
        <v>9</v>
      </c>
      <c r="B1228" s="39">
        <v>46085</v>
      </c>
      <c r="C1228" s="40">
        <v>0.39583333333333331</v>
      </c>
      <c r="D1228" s="41">
        <v>5281.5</v>
      </c>
      <c r="E1228" s="41">
        <v>5289</v>
      </c>
      <c r="F1228" s="41">
        <v>5261</v>
      </c>
      <c r="G1228" s="41">
        <v>5261</v>
      </c>
      <c r="H1228" s="41">
        <v>3506696375</v>
      </c>
      <c r="I1228" s="42">
        <v>13295</v>
      </c>
    </row>
    <row r="1229" spans="1:9" x14ac:dyDescent="0.25">
      <c r="A1229" t="s">
        <v>9</v>
      </c>
      <c r="B1229" s="39">
        <v>46085</v>
      </c>
      <c r="C1229" s="40">
        <v>0.375</v>
      </c>
      <c r="D1229" s="41">
        <v>5291.5</v>
      </c>
      <c r="E1229" s="41">
        <v>5294.5</v>
      </c>
      <c r="F1229" s="41">
        <v>5263.5</v>
      </c>
      <c r="G1229" s="41">
        <v>5281.5</v>
      </c>
      <c r="H1229" s="41">
        <v>7906525000</v>
      </c>
      <c r="I1229" s="42">
        <v>29965</v>
      </c>
    </row>
    <row r="1230" spans="1:9" x14ac:dyDescent="0.25">
      <c r="A1230" t="s">
        <v>9</v>
      </c>
      <c r="B1230" s="39">
        <v>46084</v>
      </c>
      <c r="C1230" s="40">
        <v>0.75</v>
      </c>
      <c r="D1230" s="41">
        <v>5310.5</v>
      </c>
      <c r="E1230" s="41">
        <v>5324.5</v>
      </c>
      <c r="F1230" s="41">
        <v>5306</v>
      </c>
      <c r="G1230" s="41">
        <v>5319</v>
      </c>
      <c r="H1230" s="41">
        <v>1151013875</v>
      </c>
      <c r="I1230" s="42">
        <v>4330</v>
      </c>
    </row>
    <row r="1231" spans="1:9" x14ac:dyDescent="0.25">
      <c r="A1231" t="s">
        <v>9</v>
      </c>
      <c r="B1231" s="39">
        <v>46084</v>
      </c>
      <c r="C1231" s="40">
        <v>0.72916666666666663</v>
      </c>
      <c r="D1231" s="41">
        <v>5302.5</v>
      </c>
      <c r="E1231" s="41">
        <v>5313.5</v>
      </c>
      <c r="F1231" s="41">
        <v>5298.5</v>
      </c>
      <c r="G1231" s="41">
        <v>5310</v>
      </c>
      <c r="H1231" s="41">
        <v>1310958875</v>
      </c>
      <c r="I1231" s="42">
        <v>4940</v>
      </c>
    </row>
    <row r="1232" spans="1:9" x14ac:dyDescent="0.25">
      <c r="A1232" t="s">
        <v>9</v>
      </c>
      <c r="B1232" s="39">
        <v>46084</v>
      </c>
      <c r="C1232" s="40">
        <v>0.70833333333333337</v>
      </c>
      <c r="D1232" s="41">
        <v>5303.5</v>
      </c>
      <c r="E1232" s="41">
        <v>5305.5</v>
      </c>
      <c r="F1232" s="41">
        <v>5298.5</v>
      </c>
      <c r="G1232" s="41">
        <v>5302.5</v>
      </c>
      <c r="H1232" s="41">
        <v>978396250</v>
      </c>
      <c r="I1232" s="42">
        <v>3690</v>
      </c>
    </row>
    <row r="1233" spans="1:9" x14ac:dyDescent="0.25">
      <c r="A1233" t="s">
        <v>9</v>
      </c>
      <c r="B1233" s="39">
        <v>46084</v>
      </c>
      <c r="C1233" s="40">
        <v>0.6875</v>
      </c>
      <c r="D1233" s="41">
        <v>5310</v>
      </c>
      <c r="E1233" s="41">
        <v>5315</v>
      </c>
      <c r="F1233" s="41">
        <v>5291.5</v>
      </c>
      <c r="G1233" s="41">
        <v>5303.5</v>
      </c>
      <c r="H1233" s="41">
        <v>3968956375</v>
      </c>
      <c r="I1233" s="42">
        <v>14965</v>
      </c>
    </row>
    <row r="1234" spans="1:9" x14ac:dyDescent="0.25">
      <c r="A1234" t="s">
        <v>9</v>
      </c>
      <c r="B1234" s="39">
        <v>46084</v>
      </c>
      <c r="C1234" s="40">
        <v>0.66666666666666663</v>
      </c>
      <c r="D1234" s="41">
        <v>5300.5</v>
      </c>
      <c r="E1234" s="41">
        <v>5310</v>
      </c>
      <c r="F1234" s="41">
        <v>5296.5</v>
      </c>
      <c r="G1234" s="41">
        <v>5309.5</v>
      </c>
      <c r="H1234" s="41">
        <v>4587983000</v>
      </c>
      <c r="I1234" s="42">
        <v>17295</v>
      </c>
    </row>
    <row r="1235" spans="1:9" x14ac:dyDescent="0.25">
      <c r="A1235" t="s">
        <v>9</v>
      </c>
      <c r="B1235" s="39">
        <v>46084</v>
      </c>
      <c r="C1235" s="40">
        <v>0.64583333333333337</v>
      </c>
      <c r="D1235" s="41">
        <v>5315</v>
      </c>
      <c r="E1235" s="41">
        <v>5315.5</v>
      </c>
      <c r="F1235" s="41">
        <v>5298</v>
      </c>
      <c r="G1235" s="41">
        <v>5301</v>
      </c>
      <c r="H1235" s="41">
        <v>5237113125</v>
      </c>
      <c r="I1235" s="42">
        <v>19755</v>
      </c>
    </row>
    <row r="1236" spans="1:9" x14ac:dyDescent="0.25">
      <c r="A1236" t="s">
        <v>9</v>
      </c>
      <c r="B1236" s="39">
        <v>46084</v>
      </c>
      <c r="C1236" s="40">
        <v>0.625</v>
      </c>
      <c r="D1236" s="41">
        <v>5321.5</v>
      </c>
      <c r="E1236" s="41">
        <v>5321.5</v>
      </c>
      <c r="F1236" s="41">
        <v>5309</v>
      </c>
      <c r="G1236" s="41">
        <v>5314.5</v>
      </c>
      <c r="H1236" s="41">
        <v>5212748250</v>
      </c>
      <c r="I1236" s="42">
        <v>19610</v>
      </c>
    </row>
    <row r="1237" spans="1:9" x14ac:dyDescent="0.25">
      <c r="A1237" t="s">
        <v>9</v>
      </c>
      <c r="B1237" s="39">
        <v>46084</v>
      </c>
      <c r="C1237" s="40">
        <v>0.60416666666666663</v>
      </c>
      <c r="D1237" s="41">
        <v>5322.5</v>
      </c>
      <c r="E1237" s="41">
        <v>5338.5</v>
      </c>
      <c r="F1237" s="41">
        <v>5316.5</v>
      </c>
      <c r="G1237" s="41">
        <v>5323</v>
      </c>
      <c r="H1237" s="41">
        <v>4716141625</v>
      </c>
      <c r="I1237" s="42">
        <v>17715</v>
      </c>
    </row>
    <row r="1238" spans="1:9" x14ac:dyDescent="0.25">
      <c r="A1238" t="s">
        <v>9</v>
      </c>
      <c r="B1238" s="39">
        <v>46084</v>
      </c>
      <c r="C1238" s="40">
        <v>0.58333333333333337</v>
      </c>
      <c r="D1238" s="41">
        <v>5313</v>
      </c>
      <c r="E1238" s="41">
        <v>5338</v>
      </c>
      <c r="F1238" s="41">
        <v>5310.5</v>
      </c>
      <c r="G1238" s="41">
        <v>5323.5</v>
      </c>
      <c r="H1238" s="41">
        <v>5644392000</v>
      </c>
      <c r="I1238" s="42">
        <v>21195</v>
      </c>
    </row>
    <row r="1239" spans="1:9" x14ac:dyDescent="0.25">
      <c r="A1239" t="s">
        <v>9</v>
      </c>
      <c r="B1239" s="39">
        <v>46084</v>
      </c>
      <c r="C1239" s="40">
        <v>0.5625</v>
      </c>
      <c r="D1239" s="41">
        <v>5332</v>
      </c>
      <c r="E1239" s="41">
        <v>5346.5</v>
      </c>
      <c r="F1239" s="41">
        <v>5311.5</v>
      </c>
      <c r="G1239" s="41">
        <v>5313</v>
      </c>
      <c r="H1239" s="41">
        <v>8221895750</v>
      </c>
      <c r="I1239" s="42">
        <v>30870</v>
      </c>
    </row>
    <row r="1240" spans="1:9" x14ac:dyDescent="0.25">
      <c r="A1240" t="s">
        <v>9</v>
      </c>
      <c r="B1240" s="39">
        <v>46084</v>
      </c>
      <c r="C1240" s="40">
        <v>0.54166666666666663</v>
      </c>
      <c r="D1240" s="41">
        <v>5356.5</v>
      </c>
      <c r="E1240" s="41">
        <v>5357</v>
      </c>
      <c r="F1240" s="41">
        <v>5322</v>
      </c>
      <c r="G1240" s="41">
        <v>5330.5</v>
      </c>
      <c r="H1240" s="41">
        <v>10295988750</v>
      </c>
      <c r="I1240" s="42">
        <v>38545</v>
      </c>
    </row>
    <row r="1241" spans="1:9" x14ac:dyDescent="0.25">
      <c r="A1241" t="s">
        <v>9</v>
      </c>
      <c r="B1241" s="39">
        <v>46084</v>
      </c>
      <c r="C1241" s="40">
        <v>0.52083333333333337</v>
      </c>
      <c r="D1241" s="41">
        <v>5364.5</v>
      </c>
      <c r="E1241" s="41">
        <v>5370.5</v>
      </c>
      <c r="F1241" s="41">
        <v>5344</v>
      </c>
      <c r="G1241" s="41">
        <v>5357</v>
      </c>
      <c r="H1241" s="41">
        <v>8584814125</v>
      </c>
      <c r="I1241" s="42">
        <v>32060</v>
      </c>
    </row>
    <row r="1242" spans="1:9" x14ac:dyDescent="0.25">
      <c r="A1242" t="s">
        <v>9</v>
      </c>
      <c r="B1242" s="39">
        <v>46084</v>
      </c>
      <c r="C1242" s="40">
        <v>0.5</v>
      </c>
      <c r="D1242" s="41">
        <v>5352.5</v>
      </c>
      <c r="E1242" s="41">
        <v>5383</v>
      </c>
      <c r="F1242" s="41">
        <v>5346.5</v>
      </c>
      <c r="G1242" s="41">
        <v>5364</v>
      </c>
      <c r="H1242" s="41">
        <v>12355754250</v>
      </c>
      <c r="I1242" s="42">
        <v>46030</v>
      </c>
    </row>
    <row r="1243" spans="1:9" x14ac:dyDescent="0.25">
      <c r="A1243" t="s">
        <v>9</v>
      </c>
      <c r="B1243" s="39">
        <v>46084</v>
      </c>
      <c r="C1243" s="40">
        <v>0.47916666666666669</v>
      </c>
      <c r="D1243" s="41">
        <v>5331</v>
      </c>
      <c r="E1243" s="41">
        <v>5354</v>
      </c>
      <c r="F1243" s="41">
        <v>5319.5</v>
      </c>
      <c r="G1243" s="41">
        <v>5352.5</v>
      </c>
      <c r="H1243" s="41">
        <v>11144216130</v>
      </c>
      <c r="I1243" s="42">
        <v>41775</v>
      </c>
    </row>
    <row r="1244" spans="1:9" x14ac:dyDescent="0.25">
      <c r="A1244" t="s">
        <v>9</v>
      </c>
      <c r="B1244" s="39">
        <v>46084</v>
      </c>
      <c r="C1244" s="40">
        <v>0.45833333333333331</v>
      </c>
      <c r="D1244" s="41">
        <v>5298</v>
      </c>
      <c r="E1244" s="41">
        <v>5333</v>
      </c>
      <c r="F1244" s="41">
        <v>5294.5</v>
      </c>
      <c r="G1244" s="41">
        <v>5330</v>
      </c>
      <c r="H1244" s="41">
        <v>12333966630</v>
      </c>
      <c r="I1244" s="42">
        <v>46365</v>
      </c>
    </row>
    <row r="1245" spans="1:9" x14ac:dyDescent="0.25">
      <c r="A1245" t="s">
        <v>9</v>
      </c>
      <c r="B1245" s="39">
        <v>46084</v>
      </c>
      <c r="C1245" s="40">
        <v>0.4375</v>
      </c>
      <c r="D1245" s="41">
        <v>5295</v>
      </c>
      <c r="E1245" s="41">
        <v>5301.5</v>
      </c>
      <c r="F1245" s="41">
        <v>5287</v>
      </c>
      <c r="G1245" s="41">
        <v>5298.5</v>
      </c>
      <c r="H1245" s="41">
        <v>9247494625</v>
      </c>
      <c r="I1245" s="42">
        <v>34940</v>
      </c>
    </row>
    <row r="1246" spans="1:9" x14ac:dyDescent="0.25">
      <c r="A1246" t="s">
        <v>9</v>
      </c>
      <c r="B1246" s="39">
        <v>46084</v>
      </c>
      <c r="C1246" s="40">
        <v>0.41666666666666669</v>
      </c>
      <c r="D1246" s="41">
        <v>5282.5</v>
      </c>
      <c r="E1246" s="41">
        <v>5299.5</v>
      </c>
      <c r="F1246" s="41">
        <v>5277.5</v>
      </c>
      <c r="G1246" s="41">
        <v>5295</v>
      </c>
      <c r="H1246" s="41">
        <v>8761845625</v>
      </c>
      <c r="I1246" s="42">
        <v>33130</v>
      </c>
    </row>
    <row r="1247" spans="1:9" x14ac:dyDescent="0.25">
      <c r="A1247" t="s">
        <v>9</v>
      </c>
      <c r="B1247" s="39">
        <v>46084</v>
      </c>
      <c r="C1247" s="40">
        <v>0.39583333333333331</v>
      </c>
      <c r="D1247" s="41">
        <v>5283.5</v>
      </c>
      <c r="E1247" s="41">
        <v>5293.5</v>
      </c>
      <c r="F1247" s="41">
        <v>5280</v>
      </c>
      <c r="G1247" s="41">
        <v>5282.5</v>
      </c>
      <c r="H1247" s="41">
        <v>7754714750</v>
      </c>
      <c r="I1247" s="42">
        <v>29330</v>
      </c>
    </row>
    <row r="1248" spans="1:9" x14ac:dyDescent="0.25">
      <c r="A1248" t="s">
        <v>9</v>
      </c>
      <c r="B1248" s="39">
        <v>46084</v>
      </c>
      <c r="C1248" s="40">
        <v>0.375</v>
      </c>
      <c r="D1248" s="41">
        <v>5279</v>
      </c>
      <c r="E1248" s="41">
        <v>5307.5</v>
      </c>
      <c r="F1248" s="41">
        <v>5270.5</v>
      </c>
      <c r="G1248" s="41">
        <v>5284</v>
      </c>
      <c r="H1248" s="41">
        <v>8299943500</v>
      </c>
      <c r="I1248" s="42">
        <v>31415</v>
      </c>
    </row>
    <row r="1249" spans="1:9" x14ac:dyDescent="0.25">
      <c r="A1249" t="s">
        <v>9</v>
      </c>
      <c r="B1249" s="39">
        <v>46083</v>
      </c>
      <c r="C1249" s="40">
        <v>0.75</v>
      </c>
      <c r="D1249" s="41">
        <v>5216</v>
      </c>
      <c r="E1249" s="41">
        <v>5217</v>
      </c>
      <c r="F1249" s="41">
        <v>5211</v>
      </c>
      <c r="G1249" s="41">
        <v>5216.5</v>
      </c>
      <c r="H1249" s="41">
        <v>944995500</v>
      </c>
      <c r="I1249" s="42">
        <v>3625</v>
      </c>
    </row>
    <row r="1250" spans="1:9" x14ac:dyDescent="0.25">
      <c r="A1250" t="s">
        <v>9</v>
      </c>
      <c r="B1250" s="39">
        <v>46083</v>
      </c>
      <c r="C1250" s="40">
        <v>0.72916666666666663</v>
      </c>
      <c r="D1250" s="41">
        <v>5218</v>
      </c>
      <c r="E1250" s="41">
        <v>5218</v>
      </c>
      <c r="F1250" s="41">
        <v>5210.5</v>
      </c>
      <c r="G1250" s="41">
        <v>5216</v>
      </c>
      <c r="H1250" s="41">
        <v>1917865375</v>
      </c>
      <c r="I1250" s="42">
        <v>7355</v>
      </c>
    </row>
    <row r="1251" spans="1:9" x14ac:dyDescent="0.25">
      <c r="A1251" t="s">
        <v>9</v>
      </c>
      <c r="B1251" s="39">
        <v>46083</v>
      </c>
      <c r="C1251" s="40">
        <v>0.70833333333333337</v>
      </c>
      <c r="D1251" s="41">
        <v>5205.5</v>
      </c>
      <c r="E1251" s="41">
        <v>5229.5</v>
      </c>
      <c r="F1251" s="41">
        <v>5204</v>
      </c>
      <c r="G1251" s="41">
        <v>5218</v>
      </c>
      <c r="H1251" s="41">
        <v>13406102380</v>
      </c>
      <c r="I1251" s="42">
        <v>51430</v>
      </c>
    </row>
    <row r="1252" spans="1:9" x14ac:dyDescent="0.25">
      <c r="A1252" t="s">
        <v>9</v>
      </c>
      <c r="B1252" s="39">
        <v>46083</v>
      </c>
      <c r="C1252" s="40">
        <v>0.6875</v>
      </c>
      <c r="D1252" s="41">
        <v>5209</v>
      </c>
      <c r="E1252" s="41">
        <v>5211</v>
      </c>
      <c r="F1252" s="41">
        <v>5204</v>
      </c>
      <c r="G1252" s="41">
        <v>5205</v>
      </c>
      <c r="H1252" s="41">
        <v>1308547625</v>
      </c>
      <c r="I1252" s="42">
        <v>5025</v>
      </c>
    </row>
    <row r="1253" spans="1:9" x14ac:dyDescent="0.25">
      <c r="A1253" t="s">
        <v>9</v>
      </c>
      <c r="B1253" s="39">
        <v>46083</v>
      </c>
      <c r="C1253" s="40">
        <v>0.66666666666666663</v>
      </c>
      <c r="D1253" s="41">
        <v>5210</v>
      </c>
      <c r="E1253" s="41">
        <v>5212.5</v>
      </c>
      <c r="F1253" s="41">
        <v>5205.5</v>
      </c>
      <c r="G1253" s="41">
        <v>5209.5</v>
      </c>
      <c r="H1253" s="41">
        <v>2819359000</v>
      </c>
      <c r="I1253" s="42">
        <v>10825</v>
      </c>
    </row>
    <row r="1254" spans="1:9" x14ac:dyDescent="0.25">
      <c r="A1254" t="s">
        <v>9</v>
      </c>
      <c r="B1254" s="39">
        <v>46083</v>
      </c>
      <c r="C1254" s="40">
        <v>0.64583333333333337</v>
      </c>
      <c r="D1254" s="41">
        <v>5215.5</v>
      </c>
      <c r="E1254" s="41">
        <v>5219.5</v>
      </c>
      <c r="F1254" s="41">
        <v>5209</v>
      </c>
      <c r="G1254" s="41">
        <v>5211</v>
      </c>
      <c r="H1254" s="41">
        <v>1622866000</v>
      </c>
      <c r="I1254" s="42">
        <v>6225</v>
      </c>
    </row>
    <row r="1255" spans="1:9" x14ac:dyDescent="0.25">
      <c r="A1255" t="s">
        <v>9</v>
      </c>
      <c r="B1255" s="39">
        <v>46083</v>
      </c>
      <c r="C1255" s="40">
        <v>0.625</v>
      </c>
      <c r="D1255" s="41">
        <v>5210</v>
      </c>
      <c r="E1255" s="41">
        <v>5218.5</v>
      </c>
      <c r="F1255" s="41">
        <v>5208</v>
      </c>
      <c r="G1255" s="41">
        <v>5215.5</v>
      </c>
      <c r="H1255" s="41">
        <v>4428355125</v>
      </c>
      <c r="I1255" s="42">
        <v>16990</v>
      </c>
    </row>
    <row r="1256" spans="1:9" x14ac:dyDescent="0.25">
      <c r="A1256" t="s">
        <v>9</v>
      </c>
      <c r="B1256" s="39">
        <v>46083</v>
      </c>
      <c r="C1256" s="40">
        <v>0.60416666666666663</v>
      </c>
      <c r="D1256" s="41">
        <v>5220</v>
      </c>
      <c r="E1256" s="41">
        <v>5224</v>
      </c>
      <c r="F1256" s="41">
        <v>5208.5</v>
      </c>
      <c r="G1256" s="41">
        <v>5209.5</v>
      </c>
      <c r="H1256" s="41">
        <v>2576898875</v>
      </c>
      <c r="I1256" s="42">
        <v>9885</v>
      </c>
    </row>
    <row r="1257" spans="1:9" x14ac:dyDescent="0.25">
      <c r="A1257" t="s">
        <v>9</v>
      </c>
      <c r="B1257" s="39">
        <v>46083</v>
      </c>
      <c r="C1257" s="40">
        <v>0.58333333333333337</v>
      </c>
      <c r="D1257" s="41">
        <v>5231</v>
      </c>
      <c r="E1257" s="41">
        <v>5234</v>
      </c>
      <c r="F1257" s="41">
        <v>5218.5</v>
      </c>
      <c r="G1257" s="41">
        <v>5221</v>
      </c>
      <c r="H1257" s="41">
        <v>2799090500</v>
      </c>
      <c r="I1257" s="42">
        <v>10710</v>
      </c>
    </row>
    <row r="1258" spans="1:9" x14ac:dyDescent="0.25">
      <c r="A1258" t="s">
        <v>9</v>
      </c>
      <c r="B1258" s="39">
        <v>46083</v>
      </c>
      <c r="C1258" s="40">
        <v>0.5625</v>
      </c>
      <c r="D1258" s="41">
        <v>5239.5</v>
      </c>
      <c r="E1258" s="41">
        <v>5242.5</v>
      </c>
      <c r="F1258" s="41">
        <v>5226</v>
      </c>
      <c r="G1258" s="41">
        <v>5231.5</v>
      </c>
      <c r="H1258" s="41">
        <v>3460187875</v>
      </c>
      <c r="I1258" s="42">
        <v>13225</v>
      </c>
    </row>
    <row r="1259" spans="1:9" x14ac:dyDescent="0.25">
      <c r="A1259" t="s">
        <v>9</v>
      </c>
      <c r="B1259" s="39">
        <v>46083</v>
      </c>
      <c r="C1259" s="40">
        <v>0.54166666666666663</v>
      </c>
      <c r="D1259" s="41">
        <v>5240</v>
      </c>
      <c r="E1259" s="41">
        <v>5244.5</v>
      </c>
      <c r="F1259" s="41">
        <v>5234.5</v>
      </c>
      <c r="G1259" s="41">
        <v>5240</v>
      </c>
      <c r="H1259" s="41">
        <v>5567529625</v>
      </c>
      <c r="I1259" s="42">
        <v>21255</v>
      </c>
    </row>
    <row r="1260" spans="1:9" x14ac:dyDescent="0.25">
      <c r="A1260" t="s">
        <v>9</v>
      </c>
      <c r="B1260" s="39">
        <v>46083</v>
      </c>
      <c r="C1260" s="40">
        <v>0.52083333333333337</v>
      </c>
      <c r="D1260" s="41">
        <v>5228</v>
      </c>
      <c r="E1260" s="41">
        <v>5241.5</v>
      </c>
      <c r="F1260" s="41">
        <v>5226</v>
      </c>
      <c r="G1260" s="41">
        <v>5240</v>
      </c>
      <c r="H1260" s="41">
        <v>3924210750</v>
      </c>
      <c r="I1260" s="42">
        <v>14995</v>
      </c>
    </row>
    <row r="1261" spans="1:9" x14ac:dyDescent="0.25">
      <c r="A1261" t="s">
        <v>9</v>
      </c>
      <c r="B1261" s="39">
        <v>46083</v>
      </c>
      <c r="C1261" s="40">
        <v>0.5</v>
      </c>
      <c r="D1261" s="41">
        <v>5230.5</v>
      </c>
      <c r="E1261" s="41">
        <v>5235</v>
      </c>
      <c r="F1261" s="41">
        <v>5217</v>
      </c>
      <c r="G1261" s="41">
        <v>5228.5</v>
      </c>
      <c r="H1261" s="41">
        <v>4591037000</v>
      </c>
      <c r="I1261" s="42">
        <v>17570</v>
      </c>
    </row>
    <row r="1262" spans="1:9" x14ac:dyDescent="0.25">
      <c r="A1262" t="s">
        <v>9</v>
      </c>
      <c r="B1262" s="39">
        <v>46083</v>
      </c>
      <c r="C1262" s="40">
        <v>0.47916666666666669</v>
      </c>
      <c r="D1262" s="41">
        <v>5244.5</v>
      </c>
      <c r="E1262" s="41">
        <v>5247</v>
      </c>
      <c r="F1262" s="41">
        <v>5227</v>
      </c>
      <c r="G1262" s="41">
        <v>5230.5</v>
      </c>
      <c r="H1262" s="41">
        <v>8744183375</v>
      </c>
      <c r="I1262" s="42">
        <v>33420</v>
      </c>
    </row>
    <row r="1263" spans="1:9" x14ac:dyDescent="0.25">
      <c r="A1263" t="s">
        <v>9</v>
      </c>
      <c r="B1263" s="39">
        <v>46083</v>
      </c>
      <c r="C1263" s="40">
        <v>0.45833333333333331</v>
      </c>
      <c r="D1263" s="41">
        <v>5249</v>
      </c>
      <c r="E1263" s="41">
        <v>5254.5</v>
      </c>
      <c r="F1263" s="41">
        <v>5230.5</v>
      </c>
      <c r="G1263" s="41">
        <v>5244.5</v>
      </c>
      <c r="H1263" s="41">
        <v>10780802250</v>
      </c>
      <c r="I1263" s="42">
        <v>41115</v>
      </c>
    </row>
    <row r="1264" spans="1:9" x14ac:dyDescent="0.25">
      <c r="A1264" t="s">
        <v>9</v>
      </c>
      <c r="B1264" s="39">
        <v>46083</v>
      </c>
      <c r="C1264" s="40">
        <v>0.4375</v>
      </c>
      <c r="D1264" s="41">
        <v>5237</v>
      </c>
      <c r="E1264" s="41">
        <v>5255</v>
      </c>
      <c r="F1264" s="41">
        <v>5236</v>
      </c>
      <c r="G1264" s="41">
        <v>5249</v>
      </c>
      <c r="H1264" s="41">
        <v>6873204000</v>
      </c>
      <c r="I1264" s="42">
        <v>26210</v>
      </c>
    </row>
    <row r="1265" spans="1:9" x14ac:dyDescent="0.25">
      <c r="A1265" t="s">
        <v>9</v>
      </c>
      <c r="B1265" s="39">
        <v>46083</v>
      </c>
      <c r="C1265" s="40">
        <v>0.41666666666666669</v>
      </c>
      <c r="D1265" s="41">
        <v>5241</v>
      </c>
      <c r="E1265" s="41">
        <v>5250.5</v>
      </c>
      <c r="F1265" s="41">
        <v>5229</v>
      </c>
      <c r="G1265" s="41">
        <v>5237.5</v>
      </c>
      <c r="H1265" s="41">
        <v>9505630500</v>
      </c>
      <c r="I1265" s="42">
        <v>36270</v>
      </c>
    </row>
    <row r="1266" spans="1:9" x14ac:dyDescent="0.25">
      <c r="A1266" t="s">
        <v>9</v>
      </c>
      <c r="B1266" s="39">
        <v>46083</v>
      </c>
      <c r="C1266" s="40">
        <v>0.39583333333333331</v>
      </c>
      <c r="D1266" s="41">
        <v>5219</v>
      </c>
      <c r="E1266" s="41">
        <v>5245</v>
      </c>
      <c r="F1266" s="41">
        <v>5217.5</v>
      </c>
      <c r="G1266" s="41">
        <v>5240</v>
      </c>
      <c r="H1266" s="41">
        <v>8570791000</v>
      </c>
      <c r="I1266" s="42">
        <v>32765</v>
      </c>
    </row>
    <row r="1267" spans="1:9" x14ac:dyDescent="0.25">
      <c r="A1267" t="s">
        <v>9</v>
      </c>
      <c r="B1267" s="39">
        <v>46083</v>
      </c>
      <c r="C1267" s="40">
        <v>0.375</v>
      </c>
      <c r="D1267" s="41">
        <v>5189.5</v>
      </c>
      <c r="E1267" s="41">
        <v>5227.5</v>
      </c>
      <c r="F1267" s="41">
        <v>5178</v>
      </c>
      <c r="G1267" s="41">
        <v>5219.5</v>
      </c>
      <c r="H1267" s="41">
        <v>7318141000</v>
      </c>
      <c r="I1267" s="42">
        <v>28120</v>
      </c>
    </row>
    <row r="1268" spans="1:9" x14ac:dyDescent="0.25">
      <c r="A1268" t="s">
        <v>9</v>
      </c>
      <c r="B1268" s="39">
        <v>46080</v>
      </c>
      <c r="C1268" s="40">
        <v>0.75</v>
      </c>
      <c r="D1268" s="41">
        <v>5168</v>
      </c>
      <c r="E1268" s="41">
        <v>5175</v>
      </c>
      <c r="F1268" s="41">
        <v>5168</v>
      </c>
      <c r="G1268" s="41">
        <v>5170.5</v>
      </c>
      <c r="H1268" s="41">
        <v>2156701750</v>
      </c>
      <c r="I1268" s="42">
        <v>8340</v>
      </c>
    </row>
    <row r="1269" spans="1:9" x14ac:dyDescent="0.25">
      <c r="A1269" t="s">
        <v>9</v>
      </c>
      <c r="B1269" s="39">
        <v>46080</v>
      </c>
      <c r="C1269" s="40">
        <v>0.72916666666666663</v>
      </c>
      <c r="D1269" s="41">
        <v>5165.5</v>
      </c>
      <c r="E1269" s="41">
        <v>5169.5</v>
      </c>
      <c r="F1269" s="41">
        <v>5157</v>
      </c>
      <c r="G1269" s="41">
        <v>5168.5</v>
      </c>
      <c r="H1269" s="41">
        <v>3580429750</v>
      </c>
      <c r="I1269" s="42">
        <v>13870</v>
      </c>
    </row>
    <row r="1270" spans="1:9" x14ac:dyDescent="0.25">
      <c r="A1270" t="s">
        <v>9</v>
      </c>
      <c r="B1270" s="39">
        <v>46080</v>
      </c>
      <c r="C1270" s="40">
        <v>0.70833333333333337</v>
      </c>
      <c r="D1270" s="41">
        <v>5176</v>
      </c>
      <c r="E1270" s="41">
        <v>5176</v>
      </c>
      <c r="F1270" s="41">
        <v>5166</v>
      </c>
      <c r="G1270" s="41">
        <v>5166</v>
      </c>
      <c r="H1270" s="41">
        <v>4038937750</v>
      </c>
      <c r="I1270" s="42">
        <v>15620</v>
      </c>
    </row>
    <row r="1271" spans="1:9" x14ac:dyDescent="0.25">
      <c r="A1271" t="s">
        <v>9</v>
      </c>
      <c r="B1271" s="39">
        <v>46080</v>
      </c>
      <c r="C1271" s="40">
        <v>0.6875</v>
      </c>
      <c r="D1271" s="41">
        <v>5178</v>
      </c>
      <c r="E1271" s="41">
        <v>5180</v>
      </c>
      <c r="F1271" s="41">
        <v>5175.5</v>
      </c>
      <c r="G1271" s="41">
        <v>5175.5</v>
      </c>
      <c r="H1271" s="41">
        <v>1855081125</v>
      </c>
      <c r="I1271" s="42">
        <v>7165</v>
      </c>
    </row>
    <row r="1272" spans="1:9" x14ac:dyDescent="0.25">
      <c r="A1272" t="s">
        <v>9</v>
      </c>
      <c r="B1272" s="39">
        <v>46080</v>
      </c>
      <c r="C1272" s="40">
        <v>0.66666666666666663</v>
      </c>
      <c r="D1272" s="41">
        <v>5177.5</v>
      </c>
      <c r="E1272" s="41">
        <v>5180.5</v>
      </c>
      <c r="F1272" s="41">
        <v>5174.5</v>
      </c>
      <c r="G1272" s="41">
        <v>5178</v>
      </c>
      <c r="H1272" s="41">
        <v>2574567500</v>
      </c>
      <c r="I1272" s="42">
        <v>9945</v>
      </c>
    </row>
    <row r="1273" spans="1:9" x14ac:dyDescent="0.25">
      <c r="A1273" t="s">
        <v>9</v>
      </c>
      <c r="B1273" s="39">
        <v>46080</v>
      </c>
      <c r="C1273" s="40">
        <v>0.64583333333333337</v>
      </c>
      <c r="D1273" s="41">
        <v>5183</v>
      </c>
      <c r="E1273" s="41">
        <v>5184.5</v>
      </c>
      <c r="F1273" s="41">
        <v>5175.5</v>
      </c>
      <c r="G1273" s="41">
        <v>5178</v>
      </c>
      <c r="H1273" s="41">
        <v>3130055125</v>
      </c>
      <c r="I1273" s="42">
        <v>12085</v>
      </c>
    </row>
    <row r="1274" spans="1:9" x14ac:dyDescent="0.25">
      <c r="A1274" t="s">
        <v>9</v>
      </c>
      <c r="B1274" s="39">
        <v>46080</v>
      </c>
      <c r="C1274" s="40">
        <v>0.625</v>
      </c>
      <c r="D1274" s="41">
        <v>5178.5</v>
      </c>
      <c r="E1274" s="41">
        <v>5186</v>
      </c>
      <c r="F1274" s="41">
        <v>5178</v>
      </c>
      <c r="G1274" s="41">
        <v>5183.5</v>
      </c>
      <c r="H1274" s="41">
        <v>2246136625</v>
      </c>
      <c r="I1274" s="42">
        <v>8670</v>
      </c>
    </row>
    <row r="1275" spans="1:9" x14ac:dyDescent="0.25">
      <c r="A1275" t="s">
        <v>9</v>
      </c>
      <c r="B1275" s="39">
        <v>46080</v>
      </c>
      <c r="C1275" s="40">
        <v>0.60416666666666663</v>
      </c>
      <c r="D1275" s="41">
        <v>5181</v>
      </c>
      <c r="E1275" s="41">
        <v>5182.5</v>
      </c>
      <c r="F1275" s="41">
        <v>5177</v>
      </c>
      <c r="G1275" s="41">
        <v>5178.5</v>
      </c>
      <c r="H1275" s="41">
        <v>2009841250</v>
      </c>
      <c r="I1275">
        <v>7760</v>
      </c>
    </row>
    <row r="1276" spans="1:9" x14ac:dyDescent="0.25">
      <c r="A1276" t="s">
        <v>9</v>
      </c>
      <c r="B1276" s="39">
        <v>46080</v>
      </c>
      <c r="C1276" s="40">
        <v>0.58333333333333337</v>
      </c>
      <c r="D1276" s="41">
        <v>5178.5</v>
      </c>
      <c r="E1276" s="41">
        <v>5183</v>
      </c>
      <c r="F1276" s="41">
        <v>5175</v>
      </c>
      <c r="G1276" s="41">
        <v>5181.5</v>
      </c>
      <c r="H1276" s="41">
        <v>3144935000</v>
      </c>
      <c r="I1276" s="42">
        <v>12145</v>
      </c>
    </row>
    <row r="1277" spans="1:9" x14ac:dyDescent="0.25">
      <c r="A1277" t="s">
        <v>9</v>
      </c>
      <c r="B1277" s="39">
        <v>46080</v>
      </c>
      <c r="C1277" s="40">
        <v>0.5625</v>
      </c>
      <c r="D1277" s="41">
        <v>5173</v>
      </c>
      <c r="E1277" s="41">
        <v>5179.5</v>
      </c>
      <c r="F1277" s="41">
        <v>5172</v>
      </c>
      <c r="G1277" s="41">
        <v>5179</v>
      </c>
      <c r="H1277" s="41">
        <v>1544934750</v>
      </c>
      <c r="I1277" s="42">
        <v>5970</v>
      </c>
    </row>
    <row r="1278" spans="1:9" x14ac:dyDescent="0.25">
      <c r="A1278" t="s">
        <v>9</v>
      </c>
      <c r="B1278" s="39">
        <v>46080</v>
      </c>
      <c r="C1278" s="40">
        <v>0.54166666666666663</v>
      </c>
      <c r="D1278" s="41">
        <v>5169.5</v>
      </c>
      <c r="E1278" s="41">
        <v>5175.5</v>
      </c>
      <c r="F1278" s="41">
        <v>5164</v>
      </c>
      <c r="G1278" s="41">
        <v>5173.5</v>
      </c>
      <c r="H1278" s="41">
        <v>6684224625</v>
      </c>
      <c r="I1278" s="42">
        <v>25855</v>
      </c>
    </row>
    <row r="1279" spans="1:9" x14ac:dyDescent="0.25">
      <c r="A1279" t="s">
        <v>9</v>
      </c>
      <c r="B1279" s="39">
        <v>46080</v>
      </c>
      <c r="C1279" s="40">
        <v>0.52083333333333337</v>
      </c>
      <c r="D1279" s="41">
        <v>5182</v>
      </c>
      <c r="E1279" s="41">
        <v>5186</v>
      </c>
      <c r="F1279" s="41">
        <v>5166</v>
      </c>
      <c r="G1279" s="41">
        <v>5169.5</v>
      </c>
      <c r="H1279" s="41">
        <v>8229888750</v>
      </c>
      <c r="I1279" s="42">
        <v>31800</v>
      </c>
    </row>
    <row r="1280" spans="1:9" x14ac:dyDescent="0.25">
      <c r="A1280" t="s">
        <v>9</v>
      </c>
      <c r="B1280" s="39">
        <v>46080</v>
      </c>
      <c r="C1280" s="40">
        <v>0.5</v>
      </c>
      <c r="D1280" s="41">
        <v>5198</v>
      </c>
      <c r="E1280" s="41">
        <v>5199.5</v>
      </c>
      <c r="F1280" s="41">
        <v>5181.5</v>
      </c>
      <c r="G1280" s="41">
        <v>5182.5</v>
      </c>
      <c r="H1280" s="41">
        <v>5484046000</v>
      </c>
      <c r="I1280" s="42">
        <v>21140</v>
      </c>
    </row>
    <row r="1281" spans="1:9" x14ac:dyDescent="0.25">
      <c r="A1281" t="s">
        <v>9</v>
      </c>
      <c r="B1281" s="39">
        <v>46080</v>
      </c>
      <c r="C1281" s="40">
        <v>0.47916666666666669</v>
      </c>
      <c r="D1281" s="41">
        <v>5190.5</v>
      </c>
      <c r="E1281" s="41">
        <v>5201</v>
      </c>
      <c r="F1281" s="41">
        <v>5186</v>
      </c>
      <c r="G1281" s="41">
        <v>5198</v>
      </c>
      <c r="H1281" s="41">
        <v>3946291250</v>
      </c>
      <c r="I1281" s="42">
        <v>15200</v>
      </c>
    </row>
    <row r="1282" spans="1:9" x14ac:dyDescent="0.25">
      <c r="A1282" t="s">
        <v>9</v>
      </c>
      <c r="B1282" s="39">
        <v>46080</v>
      </c>
      <c r="C1282" s="40">
        <v>0.45833333333333331</v>
      </c>
      <c r="D1282" s="41">
        <v>5206</v>
      </c>
      <c r="E1282" s="41">
        <v>5206.5</v>
      </c>
      <c r="F1282" s="41">
        <v>5188.5</v>
      </c>
      <c r="G1282" s="41">
        <v>5190.5</v>
      </c>
      <c r="H1282" s="41">
        <v>6851471500</v>
      </c>
      <c r="I1282" s="42">
        <v>26350</v>
      </c>
    </row>
    <row r="1283" spans="1:9" x14ac:dyDescent="0.25">
      <c r="A1283" t="s">
        <v>9</v>
      </c>
      <c r="B1283" s="39">
        <v>46080</v>
      </c>
      <c r="C1283" s="40">
        <v>0.4375</v>
      </c>
      <c r="D1283" s="41">
        <v>5205</v>
      </c>
      <c r="E1283" s="41">
        <v>5211.5</v>
      </c>
      <c r="F1283" s="41">
        <v>5201</v>
      </c>
      <c r="G1283" s="41">
        <v>5206</v>
      </c>
      <c r="H1283" s="41">
        <v>3665940000</v>
      </c>
      <c r="I1283" s="42">
        <v>14085</v>
      </c>
    </row>
    <row r="1284" spans="1:9" x14ac:dyDescent="0.25">
      <c r="A1284" t="s">
        <v>9</v>
      </c>
      <c r="B1284" s="39">
        <v>46080</v>
      </c>
      <c r="C1284" s="40">
        <v>0.41666666666666669</v>
      </c>
      <c r="D1284" s="41">
        <v>5191.5</v>
      </c>
      <c r="E1284" s="41">
        <v>5209.5</v>
      </c>
      <c r="F1284" s="41">
        <v>5185</v>
      </c>
      <c r="G1284" s="41">
        <v>5205</v>
      </c>
      <c r="H1284" s="41">
        <v>4579195375</v>
      </c>
      <c r="I1284" s="42">
        <v>17620</v>
      </c>
    </row>
    <row r="1285" spans="1:9" x14ac:dyDescent="0.25">
      <c r="A1285" t="s">
        <v>9</v>
      </c>
      <c r="B1285" s="39">
        <v>46080</v>
      </c>
      <c r="C1285" s="40">
        <v>0.39583333333333331</v>
      </c>
      <c r="D1285" s="41">
        <v>5187</v>
      </c>
      <c r="E1285" s="41">
        <v>5199.5</v>
      </c>
      <c r="F1285" s="41">
        <v>5186</v>
      </c>
      <c r="G1285" s="41">
        <v>5191.5</v>
      </c>
      <c r="H1285" s="41">
        <v>3528868125</v>
      </c>
      <c r="I1285" s="42">
        <v>13590</v>
      </c>
    </row>
    <row r="1286" spans="1:9" x14ac:dyDescent="0.25">
      <c r="A1286" t="s">
        <v>9</v>
      </c>
      <c r="B1286" s="39">
        <v>46080</v>
      </c>
      <c r="C1286" s="40">
        <v>0.375</v>
      </c>
      <c r="D1286" s="41">
        <v>5179.5</v>
      </c>
      <c r="E1286" s="41">
        <v>5194.5</v>
      </c>
      <c r="F1286" s="41">
        <v>5176.5</v>
      </c>
      <c r="G1286" s="41">
        <v>5187</v>
      </c>
      <c r="H1286" s="41">
        <v>6130840375</v>
      </c>
      <c r="I1286" s="42">
        <v>23640</v>
      </c>
    </row>
    <row r="1287" spans="1:9" x14ac:dyDescent="0.25">
      <c r="A1287" t="s">
        <v>9</v>
      </c>
      <c r="B1287" s="39">
        <v>46079</v>
      </c>
      <c r="C1287" s="40">
        <v>0.75</v>
      </c>
      <c r="D1287" s="41">
        <v>5140.5</v>
      </c>
      <c r="E1287" s="41">
        <v>5143.5</v>
      </c>
      <c r="F1287" s="41">
        <v>5135.5</v>
      </c>
      <c r="G1287" s="41">
        <v>5137</v>
      </c>
      <c r="H1287" s="41">
        <v>596253375</v>
      </c>
      <c r="I1287" s="42">
        <v>2320</v>
      </c>
    </row>
    <row r="1288" spans="1:9" x14ac:dyDescent="0.25">
      <c r="A1288" t="s">
        <v>9</v>
      </c>
      <c r="B1288" s="39">
        <v>46079</v>
      </c>
      <c r="C1288" s="40">
        <v>0.72916666666666663</v>
      </c>
      <c r="D1288" s="41">
        <v>5138</v>
      </c>
      <c r="E1288" s="41">
        <v>5141.5</v>
      </c>
      <c r="F1288" s="41">
        <v>5136</v>
      </c>
      <c r="G1288" s="41">
        <v>5140</v>
      </c>
      <c r="H1288" s="41">
        <v>999466750</v>
      </c>
      <c r="I1288" s="42">
        <v>3890</v>
      </c>
    </row>
    <row r="1289" spans="1:9" x14ac:dyDescent="0.25">
      <c r="A1289" t="s">
        <v>9</v>
      </c>
      <c r="B1289" s="39">
        <v>46079</v>
      </c>
      <c r="C1289" s="40">
        <v>0.70833333333333337</v>
      </c>
      <c r="D1289" s="41">
        <v>5141</v>
      </c>
      <c r="E1289" s="41">
        <v>5141.5</v>
      </c>
      <c r="F1289" s="41">
        <v>5136.5</v>
      </c>
      <c r="G1289" s="41">
        <v>5138</v>
      </c>
      <c r="H1289" s="41">
        <v>3477509500</v>
      </c>
      <c r="I1289" s="42">
        <v>13535</v>
      </c>
    </row>
    <row r="1290" spans="1:9" x14ac:dyDescent="0.25">
      <c r="A1290" t="s">
        <v>9</v>
      </c>
      <c r="B1290" s="39">
        <v>46079</v>
      </c>
      <c r="C1290" s="40">
        <v>0.6875</v>
      </c>
      <c r="D1290" s="41">
        <v>5145</v>
      </c>
      <c r="E1290" s="41">
        <v>5146.5</v>
      </c>
      <c r="F1290" s="41">
        <v>5141</v>
      </c>
      <c r="G1290" s="41">
        <v>5141</v>
      </c>
      <c r="H1290" s="41">
        <v>1430306750</v>
      </c>
      <c r="I1290" s="42">
        <v>5560</v>
      </c>
    </row>
    <row r="1291" spans="1:9" x14ac:dyDescent="0.25">
      <c r="A1291" t="s">
        <v>9</v>
      </c>
      <c r="B1291" s="39">
        <v>46079</v>
      </c>
      <c r="C1291" s="40">
        <v>0.66666666666666663</v>
      </c>
      <c r="D1291" s="41">
        <v>5142</v>
      </c>
      <c r="E1291" s="41">
        <v>5146.5</v>
      </c>
      <c r="F1291" s="41">
        <v>5142</v>
      </c>
      <c r="G1291" s="41">
        <v>5145.5</v>
      </c>
      <c r="H1291" s="41">
        <v>2004911500</v>
      </c>
      <c r="I1291" s="42">
        <v>7795</v>
      </c>
    </row>
    <row r="1292" spans="1:9" x14ac:dyDescent="0.25">
      <c r="A1292" t="s">
        <v>9</v>
      </c>
      <c r="B1292" s="39">
        <v>46079</v>
      </c>
      <c r="C1292" s="40">
        <v>0.64583333333333337</v>
      </c>
      <c r="D1292" s="41">
        <v>5150.5</v>
      </c>
      <c r="E1292" s="41">
        <v>5151</v>
      </c>
      <c r="F1292" s="41">
        <v>5141.5</v>
      </c>
      <c r="G1292" s="41">
        <v>5142.5</v>
      </c>
      <c r="H1292" s="41">
        <v>2488952625</v>
      </c>
      <c r="I1292" s="42">
        <v>9675</v>
      </c>
    </row>
    <row r="1293" spans="1:9" x14ac:dyDescent="0.25">
      <c r="A1293" t="s">
        <v>9</v>
      </c>
      <c r="B1293" s="39">
        <v>46079</v>
      </c>
      <c r="C1293" s="40">
        <v>0.625</v>
      </c>
      <c r="D1293" s="41">
        <v>5161.5</v>
      </c>
      <c r="E1293" s="41">
        <v>5161.5</v>
      </c>
      <c r="F1293" s="41">
        <v>5149.5</v>
      </c>
      <c r="G1293" s="41">
        <v>5151</v>
      </c>
      <c r="H1293" s="41">
        <v>1871040625</v>
      </c>
      <c r="I1293" s="42">
        <v>7260</v>
      </c>
    </row>
    <row r="1294" spans="1:9" x14ac:dyDescent="0.25">
      <c r="A1294" t="s">
        <v>9</v>
      </c>
      <c r="B1294" s="39">
        <v>46079</v>
      </c>
      <c r="C1294" s="40">
        <v>0.60416666666666663</v>
      </c>
      <c r="D1294" s="41">
        <v>5166.5</v>
      </c>
      <c r="E1294" s="41">
        <v>5166.5</v>
      </c>
      <c r="F1294" s="41">
        <v>5158.5</v>
      </c>
      <c r="G1294" s="41">
        <v>5161</v>
      </c>
      <c r="H1294" s="41">
        <v>2268477125</v>
      </c>
      <c r="I1294" s="42">
        <v>8790</v>
      </c>
    </row>
    <row r="1295" spans="1:9" x14ac:dyDescent="0.25">
      <c r="A1295" t="s">
        <v>9</v>
      </c>
      <c r="B1295" s="39">
        <v>46079</v>
      </c>
      <c r="C1295" s="40">
        <v>0.58333333333333337</v>
      </c>
      <c r="D1295" s="41">
        <v>5155</v>
      </c>
      <c r="E1295" s="41">
        <v>5168</v>
      </c>
      <c r="F1295" s="41">
        <v>5154</v>
      </c>
      <c r="G1295" s="41">
        <v>5166.5</v>
      </c>
      <c r="H1295" s="41">
        <v>1968946250</v>
      </c>
      <c r="I1295" s="42">
        <v>7630</v>
      </c>
    </row>
    <row r="1296" spans="1:9" x14ac:dyDescent="0.25">
      <c r="A1296" t="s">
        <v>9</v>
      </c>
      <c r="B1296" s="39">
        <v>46079</v>
      </c>
      <c r="C1296" s="40">
        <v>0.5625</v>
      </c>
      <c r="D1296" s="41">
        <v>5145.5</v>
      </c>
      <c r="E1296" s="41">
        <v>5158</v>
      </c>
      <c r="F1296" s="41">
        <v>5144.5</v>
      </c>
      <c r="G1296" s="41">
        <v>5155.5</v>
      </c>
      <c r="H1296" s="41">
        <v>2336759625</v>
      </c>
      <c r="I1296" s="42">
        <v>9075</v>
      </c>
    </row>
    <row r="1297" spans="1:9" x14ac:dyDescent="0.25">
      <c r="A1297" t="s">
        <v>9</v>
      </c>
      <c r="B1297" s="39">
        <v>46079</v>
      </c>
      <c r="C1297" s="40">
        <v>0.54166666666666663</v>
      </c>
      <c r="D1297" s="41">
        <v>5144.5</v>
      </c>
      <c r="E1297" s="41">
        <v>5151.5</v>
      </c>
      <c r="F1297" s="41">
        <v>5142.5</v>
      </c>
      <c r="G1297" s="41">
        <v>5145.5</v>
      </c>
      <c r="H1297" s="41">
        <v>1793788750</v>
      </c>
      <c r="I1297" s="42">
        <v>6970</v>
      </c>
    </row>
    <row r="1298" spans="1:9" x14ac:dyDescent="0.25">
      <c r="A1298" t="s">
        <v>9</v>
      </c>
      <c r="B1298" s="39">
        <v>46079</v>
      </c>
      <c r="C1298" s="40">
        <v>0.52083333333333337</v>
      </c>
      <c r="D1298" s="41">
        <v>5155.5</v>
      </c>
      <c r="E1298" s="41">
        <v>5156.5</v>
      </c>
      <c r="F1298" s="41">
        <v>5143.5</v>
      </c>
      <c r="G1298" s="41">
        <v>5145</v>
      </c>
      <c r="H1298" s="41">
        <v>3299570125</v>
      </c>
      <c r="I1298" s="42">
        <v>12815</v>
      </c>
    </row>
    <row r="1299" spans="1:9" x14ac:dyDescent="0.25">
      <c r="A1299" t="s">
        <v>9</v>
      </c>
      <c r="B1299" s="39">
        <v>46079</v>
      </c>
      <c r="C1299" s="40">
        <v>0.5</v>
      </c>
      <c r="D1299" s="41">
        <v>5147.5</v>
      </c>
      <c r="E1299" s="41">
        <v>5163</v>
      </c>
      <c r="F1299" s="41">
        <v>5141.5</v>
      </c>
      <c r="G1299" s="41">
        <v>5155</v>
      </c>
      <c r="H1299" s="41">
        <v>6370323625</v>
      </c>
      <c r="I1299" s="42">
        <v>24725</v>
      </c>
    </row>
    <row r="1300" spans="1:9" x14ac:dyDescent="0.25">
      <c r="A1300" t="s">
        <v>9</v>
      </c>
      <c r="B1300" s="39">
        <v>46079</v>
      </c>
      <c r="C1300" s="40">
        <v>0.47916666666666669</v>
      </c>
      <c r="D1300" s="41">
        <v>5143</v>
      </c>
      <c r="E1300" s="41">
        <v>5155</v>
      </c>
      <c r="F1300" s="41">
        <v>5141.5</v>
      </c>
      <c r="G1300" s="41">
        <v>5147.5</v>
      </c>
      <c r="H1300" s="41">
        <v>4874452500</v>
      </c>
      <c r="I1300" s="42">
        <v>18935</v>
      </c>
    </row>
    <row r="1301" spans="1:9" x14ac:dyDescent="0.25">
      <c r="A1301" t="s">
        <v>9</v>
      </c>
      <c r="B1301" s="39">
        <v>46079</v>
      </c>
      <c r="C1301" s="40">
        <v>0.45833333333333331</v>
      </c>
      <c r="D1301" s="41">
        <v>5136</v>
      </c>
      <c r="E1301" s="41">
        <v>5143.5</v>
      </c>
      <c r="F1301" s="41">
        <v>5134.5</v>
      </c>
      <c r="G1301" s="41">
        <v>5143.5</v>
      </c>
      <c r="H1301" s="41">
        <v>2730032250</v>
      </c>
      <c r="I1301" s="42">
        <v>10625</v>
      </c>
    </row>
    <row r="1302" spans="1:9" x14ac:dyDescent="0.25">
      <c r="A1302" t="s">
        <v>9</v>
      </c>
      <c r="B1302" s="39">
        <v>46079</v>
      </c>
      <c r="C1302" s="40">
        <v>0.4375</v>
      </c>
      <c r="D1302" s="41">
        <v>5136</v>
      </c>
      <c r="E1302" s="41">
        <v>5137.5</v>
      </c>
      <c r="F1302" s="41">
        <v>5131</v>
      </c>
      <c r="G1302" s="41">
        <v>5135.5</v>
      </c>
      <c r="H1302" s="41">
        <v>5248515625</v>
      </c>
      <c r="I1302" s="42">
        <v>20440</v>
      </c>
    </row>
    <row r="1303" spans="1:9" x14ac:dyDescent="0.25">
      <c r="A1303" t="s">
        <v>9</v>
      </c>
      <c r="B1303" s="39">
        <v>46079</v>
      </c>
      <c r="C1303" s="40">
        <v>0.41666666666666669</v>
      </c>
      <c r="D1303" s="41">
        <v>5130</v>
      </c>
      <c r="E1303" s="41">
        <v>5136</v>
      </c>
      <c r="F1303" s="41">
        <v>5123.5</v>
      </c>
      <c r="G1303" s="41">
        <v>5136</v>
      </c>
      <c r="H1303" s="41">
        <v>6741746875</v>
      </c>
      <c r="I1303" s="42">
        <v>26275</v>
      </c>
    </row>
    <row r="1304" spans="1:9" x14ac:dyDescent="0.25">
      <c r="A1304" t="s">
        <v>9</v>
      </c>
      <c r="B1304" s="39">
        <v>46079</v>
      </c>
      <c r="C1304" s="40">
        <v>0.39583333333333331</v>
      </c>
      <c r="D1304" s="41">
        <v>5133.5</v>
      </c>
      <c r="E1304" s="41">
        <v>5144.5</v>
      </c>
      <c r="F1304" s="41">
        <v>5129</v>
      </c>
      <c r="G1304" s="41">
        <v>5129.5</v>
      </c>
      <c r="H1304" s="41">
        <v>3234251375</v>
      </c>
      <c r="I1304" s="42">
        <v>12590</v>
      </c>
    </row>
    <row r="1305" spans="1:9" x14ac:dyDescent="0.25">
      <c r="A1305" t="s">
        <v>9</v>
      </c>
      <c r="B1305" s="39">
        <v>46079</v>
      </c>
      <c r="C1305" s="40">
        <v>0.375</v>
      </c>
      <c r="D1305" s="41">
        <v>5133</v>
      </c>
      <c r="E1305" s="41">
        <v>5137</v>
      </c>
      <c r="F1305" s="41">
        <v>5129</v>
      </c>
      <c r="G1305" s="41">
        <v>5134</v>
      </c>
      <c r="H1305" s="41">
        <v>2195626625</v>
      </c>
      <c r="I1305" s="42">
        <v>8555</v>
      </c>
    </row>
    <row r="1306" spans="1:9" x14ac:dyDescent="0.25">
      <c r="A1306" t="s">
        <v>9</v>
      </c>
      <c r="B1306" s="39">
        <v>46078</v>
      </c>
      <c r="C1306" s="40">
        <v>0.75</v>
      </c>
      <c r="D1306" s="41">
        <v>5128</v>
      </c>
      <c r="E1306" s="41">
        <v>5128.5</v>
      </c>
      <c r="F1306" s="41">
        <v>5124.5</v>
      </c>
      <c r="G1306" s="41">
        <v>5128</v>
      </c>
      <c r="H1306" s="41">
        <v>1034379625</v>
      </c>
      <c r="I1306" s="42">
        <v>4035</v>
      </c>
    </row>
    <row r="1307" spans="1:9" x14ac:dyDescent="0.25">
      <c r="A1307" t="s">
        <v>9</v>
      </c>
      <c r="B1307" s="39">
        <v>46078</v>
      </c>
      <c r="C1307" s="40">
        <v>0.72916666666666663</v>
      </c>
      <c r="D1307" s="41">
        <v>5129</v>
      </c>
      <c r="E1307" s="41">
        <v>5129</v>
      </c>
      <c r="F1307" s="41">
        <v>5124</v>
      </c>
      <c r="G1307" s="41">
        <v>5128</v>
      </c>
      <c r="H1307" s="41">
        <v>1504552250</v>
      </c>
      <c r="I1307" s="42">
        <v>5870</v>
      </c>
    </row>
    <row r="1308" spans="1:9" x14ac:dyDescent="0.25">
      <c r="A1308" t="s">
        <v>9</v>
      </c>
      <c r="B1308" s="39">
        <v>46078</v>
      </c>
      <c r="C1308" s="40">
        <v>0.70833333333333337</v>
      </c>
      <c r="D1308" s="41">
        <v>5127.5</v>
      </c>
      <c r="E1308" s="41">
        <v>5129.5</v>
      </c>
      <c r="F1308" s="41">
        <v>5126</v>
      </c>
      <c r="G1308" s="41">
        <v>5129.5</v>
      </c>
      <c r="H1308" s="41">
        <v>5064954500</v>
      </c>
      <c r="I1308" s="42">
        <v>19755</v>
      </c>
    </row>
    <row r="1309" spans="1:9" x14ac:dyDescent="0.25">
      <c r="A1309" t="s">
        <v>9</v>
      </c>
      <c r="B1309" s="39">
        <v>46078</v>
      </c>
      <c r="C1309" s="40">
        <v>0.6875</v>
      </c>
      <c r="D1309" s="41">
        <v>5130</v>
      </c>
      <c r="E1309" s="41">
        <v>5130.5</v>
      </c>
      <c r="F1309" s="41">
        <v>5126</v>
      </c>
      <c r="G1309" s="41">
        <v>5128</v>
      </c>
      <c r="H1309" s="41">
        <v>2124298750</v>
      </c>
      <c r="I1309" s="42">
        <v>8285</v>
      </c>
    </row>
    <row r="1310" spans="1:9" x14ac:dyDescent="0.25">
      <c r="A1310" t="s">
        <v>9</v>
      </c>
      <c r="B1310" s="39">
        <v>46078</v>
      </c>
      <c r="C1310" s="40">
        <v>0.66666666666666663</v>
      </c>
      <c r="D1310" s="41">
        <v>5132</v>
      </c>
      <c r="E1310" s="41">
        <v>5133.5</v>
      </c>
      <c r="F1310" s="41">
        <v>5129</v>
      </c>
      <c r="G1310" s="41">
        <v>5130</v>
      </c>
      <c r="H1310" s="41">
        <v>1685491250</v>
      </c>
      <c r="I1310" s="42">
        <v>6570</v>
      </c>
    </row>
    <row r="1311" spans="1:9" x14ac:dyDescent="0.25">
      <c r="A1311" t="s">
        <v>9</v>
      </c>
      <c r="B1311" s="39">
        <v>46078</v>
      </c>
      <c r="C1311" s="40">
        <v>0.64583333333333337</v>
      </c>
      <c r="D1311" s="41">
        <v>5132</v>
      </c>
      <c r="E1311" s="41">
        <v>5135</v>
      </c>
      <c r="F1311" s="41">
        <v>5131.5</v>
      </c>
      <c r="G1311" s="41">
        <v>5131.5</v>
      </c>
      <c r="H1311" s="41">
        <v>1139466125</v>
      </c>
      <c r="I1311" s="42">
        <v>4440</v>
      </c>
    </row>
    <row r="1312" spans="1:9" x14ac:dyDescent="0.25">
      <c r="A1312" t="s">
        <v>9</v>
      </c>
      <c r="B1312" s="39">
        <v>46078</v>
      </c>
      <c r="C1312" s="40">
        <v>0.625</v>
      </c>
      <c r="D1312" s="41">
        <v>5134.5</v>
      </c>
      <c r="E1312" s="41">
        <v>5136.5</v>
      </c>
      <c r="F1312" s="41">
        <v>5132</v>
      </c>
      <c r="G1312" s="41">
        <v>5133</v>
      </c>
      <c r="H1312" s="41">
        <v>2823911125</v>
      </c>
      <c r="I1312" s="42">
        <v>11000</v>
      </c>
    </row>
    <row r="1313" spans="1:9" x14ac:dyDescent="0.25">
      <c r="A1313" t="s">
        <v>9</v>
      </c>
      <c r="B1313" s="39">
        <v>46078</v>
      </c>
      <c r="C1313" s="40">
        <v>0.60416666666666663</v>
      </c>
      <c r="D1313" s="41">
        <v>5133</v>
      </c>
      <c r="E1313" s="41">
        <v>5135.5</v>
      </c>
      <c r="F1313" s="41">
        <v>5129</v>
      </c>
      <c r="G1313" s="41">
        <v>5134</v>
      </c>
      <c r="H1313" s="41">
        <v>2891842625</v>
      </c>
      <c r="I1313" s="42">
        <v>11270</v>
      </c>
    </row>
    <row r="1314" spans="1:9" x14ac:dyDescent="0.25">
      <c r="A1314" t="s">
        <v>9</v>
      </c>
      <c r="B1314" s="39">
        <v>46078</v>
      </c>
      <c r="C1314" s="40">
        <v>0.58333333333333337</v>
      </c>
      <c r="D1314" s="41">
        <v>5141.5</v>
      </c>
      <c r="E1314" s="41">
        <v>5141.5</v>
      </c>
      <c r="F1314" s="41">
        <v>5133</v>
      </c>
      <c r="G1314" s="41">
        <v>5133</v>
      </c>
      <c r="H1314" s="41">
        <v>3239255375</v>
      </c>
      <c r="I1314" s="42">
        <v>12610</v>
      </c>
    </row>
    <row r="1315" spans="1:9" x14ac:dyDescent="0.25">
      <c r="A1315" t="s">
        <v>9</v>
      </c>
      <c r="B1315" s="39">
        <v>46078</v>
      </c>
      <c r="C1315" s="40">
        <v>0.5625</v>
      </c>
      <c r="D1315" s="41">
        <v>5143</v>
      </c>
      <c r="E1315" s="41">
        <v>5146</v>
      </c>
      <c r="F1315" s="41">
        <v>5140.5</v>
      </c>
      <c r="G1315" s="41">
        <v>5141.5</v>
      </c>
      <c r="H1315" s="41">
        <v>2526516875</v>
      </c>
      <c r="I1315" s="42">
        <v>9825</v>
      </c>
    </row>
    <row r="1316" spans="1:9" x14ac:dyDescent="0.25">
      <c r="A1316" t="s">
        <v>9</v>
      </c>
      <c r="B1316" s="39">
        <v>46078</v>
      </c>
      <c r="C1316" s="40">
        <v>0.54166666666666663</v>
      </c>
      <c r="D1316" s="41">
        <v>5150</v>
      </c>
      <c r="E1316" s="41">
        <v>5150.5</v>
      </c>
      <c r="F1316" s="41">
        <v>5140</v>
      </c>
      <c r="G1316" s="41">
        <v>5143</v>
      </c>
      <c r="H1316" s="41">
        <v>4178072625</v>
      </c>
      <c r="I1316" s="42">
        <v>16240</v>
      </c>
    </row>
    <row r="1317" spans="1:9" x14ac:dyDescent="0.25">
      <c r="A1317" t="s">
        <v>9</v>
      </c>
      <c r="B1317" s="39">
        <v>46078</v>
      </c>
      <c r="C1317" s="40">
        <v>0.52083333333333337</v>
      </c>
      <c r="D1317" s="41">
        <v>5165.5</v>
      </c>
      <c r="E1317" s="41">
        <v>5172</v>
      </c>
      <c r="F1317" s="41">
        <v>5150</v>
      </c>
      <c r="G1317" s="41">
        <v>5150.5</v>
      </c>
      <c r="H1317" s="41">
        <v>5862114875</v>
      </c>
      <c r="I1317" s="42">
        <v>22710</v>
      </c>
    </row>
    <row r="1318" spans="1:9" x14ac:dyDescent="0.25">
      <c r="A1318" t="s">
        <v>9</v>
      </c>
      <c r="B1318" s="39">
        <v>46078</v>
      </c>
      <c r="C1318" s="40">
        <v>0.5</v>
      </c>
      <c r="D1318" s="41">
        <v>5156</v>
      </c>
      <c r="E1318" s="41">
        <v>5167</v>
      </c>
      <c r="F1318" s="41">
        <v>5151</v>
      </c>
      <c r="G1318" s="41">
        <v>5164.5</v>
      </c>
      <c r="H1318" s="41">
        <v>2536547875</v>
      </c>
      <c r="I1318" s="42">
        <v>9835</v>
      </c>
    </row>
    <row r="1319" spans="1:9" x14ac:dyDescent="0.25">
      <c r="A1319" t="s">
        <v>9</v>
      </c>
      <c r="B1319" s="39">
        <v>46078</v>
      </c>
      <c r="C1319" s="40">
        <v>0.47916666666666669</v>
      </c>
      <c r="D1319" s="41">
        <v>5147.5</v>
      </c>
      <c r="E1319" s="41">
        <v>5156.5</v>
      </c>
      <c r="F1319" s="41">
        <v>5142</v>
      </c>
      <c r="G1319" s="41">
        <v>5156.5</v>
      </c>
      <c r="H1319" s="41">
        <v>5523995625</v>
      </c>
      <c r="I1319" s="42">
        <v>21455</v>
      </c>
    </row>
    <row r="1320" spans="1:9" x14ac:dyDescent="0.25">
      <c r="A1320" t="s">
        <v>9</v>
      </c>
      <c r="B1320" s="39">
        <v>46078</v>
      </c>
      <c r="C1320" s="40">
        <v>0.45833333333333331</v>
      </c>
      <c r="D1320" s="41">
        <v>5152</v>
      </c>
      <c r="E1320" s="41">
        <v>5159</v>
      </c>
      <c r="F1320" s="41">
        <v>5147</v>
      </c>
      <c r="G1320" s="41">
        <v>5147.5</v>
      </c>
      <c r="H1320" s="41">
        <v>3037582500</v>
      </c>
      <c r="I1320" s="42">
        <v>11790</v>
      </c>
    </row>
    <row r="1321" spans="1:9" x14ac:dyDescent="0.25">
      <c r="A1321" t="s">
        <v>9</v>
      </c>
      <c r="B1321" s="39">
        <v>46078</v>
      </c>
      <c r="C1321" s="40">
        <v>0.4375</v>
      </c>
      <c r="D1321" s="41">
        <v>5141</v>
      </c>
      <c r="E1321" s="41">
        <v>5153</v>
      </c>
      <c r="F1321" s="41">
        <v>5140.5</v>
      </c>
      <c r="G1321" s="41">
        <v>5151.5</v>
      </c>
      <c r="H1321" s="41">
        <v>3950852750</v>
      </c>
      <c r="I1321" s="42">
        <v>15355</v>
      </c>
    </row>
    <row r="1322" spans="1:9" x14ac:dyDescent="0.25">
      <c r="A1322" t="s">
        <v>9</v>
      </c>
      <c r="B1322" s="39">
        <v>46078</v>
      </c>
      <c r="C1322" s="40">
        <v>0.41666666666666669</v>
      </c>
      <c r="D1322" s="41">
        <v>5127.5</v>
      </c>
      <c r="E1322" s="41">
        <v>5140.5</v>
      </c>
      <c r="F1322" s="41">
        <v>5127</v>
      </c>
      <c r="G1322" s="41">
        <v>5140.5</v>
      </c>
      <c r="H1322" s="41">
        <v>3429814375</v>
      </c>
      <c r="I1322" s="42">
        <v>13365</v>
      </c>
    </row>
    <row r="1323" spans="1:9" x14ac:dyDescent="0.25">
      <c r="A1323" t="s">
        <v>9</v>
      </c>
      <c r="B1323" s="39">
        <v>46078</v>
      </c>
      <c r="C1323" s="40">
        <v>0.39583333333333331</v>
      </c>
      <c r="D1323" s="41">
        <v>5140</v>
      </c>
      <c r="E1323" s="41">
        <v>5144.5</v>
      </c>
      <c r="F1323" s="41">
        <v>5127</v>
      </c>
      <c r="G1323" s="41">
        <v>5128</v>
      </c>
      <c r="H1323" s="41">
        <v>4039106750</v>
      </c>
      <c r="I1323" s="42">
        <v>15735</v>
      </c>
    </row>
    <row r="1324" spans="1:9" x14ac:dyDescent="0.25">
      <c r="A1324" t="s">
        <v>9</v>
      </c>
      <c r="B1324" s="39">
        <v>46078</v>
      </c>
      <c r="C1324" s="40">
        <v>0.375</v>
      </c>
      <c r="D1324" s="41">
        <v>5144.5</v>
      </c>
      <c r="E1324" s="41">
        <v>5146</v>
      </c>
      <c r="F1324" s="41">
        <v>5121.5</v>
      </c>
      <c r="G1324" s="41">
        <v>5140</v>
      </c>
      <c r="H1324" s="41">
        <v>4751048000</v>
      </c>
      <c r="I1324" s="42">
        <v>18510</v>
      </c>
    </row>
    <row r="1325" spans="1:9" x14ac:dyDescent="0.25">
      <c r="A1325" t="s">
        <v>9</v>
      </c>
      <c r="B1325" s="39">
        <v>46077</v>
      </c>
      <c r="C1325" s="40">
        <v>0.75</v>
      </c>
      <c r="D1325" s="41">
        <v>5161</v>
      </c>
      <c r="E1325" s="41">
        <v>5167</v>
      </c>
      <c r="F1325" s="41">
        <v>5155</v>
      </c>
      <c r="G1325" s="41">
        <v>5162.5</v>
      </c>
      <c r="H1325" s="41">
        <v>1629811625</v>
      </c>
      <c r="I1325" s="42">
        <v>6315</v>
      </c>
    </row>
    <row r="1326" spans="1:9" x14ac:dyDescent="0.25">
      <c r="A1326" t="s">
        <v>9</v>
      </c>
      <c r="B1326" s="39">
        <v>46077</v>
      </c>
      <c r="C1326" s="40">
        <v>0.72916666666666663</v>
      </c>
      <c r="D1326" s="41">
        <v>5164.5</v>
      </c>
      <c r="E1326" s="41">
        <v>5164.5</v>
      </c>
      <c r="F1326" s="41">
        <v>5157.5</v>
      </c>
      <c r="G1326" s="41">
        <v>5161</v>
      </c>
      <c r="H1326" s="41">
        <v>2412672500</v>
      </c>
      <c r="I1326" s="42">
        <v>9350</v>
      </c>
    </row>
    <row r="1327" spans="1:9" x14ac:dyDescent="0.25">
      <c r="A1327" t="s">
        <v>9</v>
      </c>
      <c r="B1327" s="39">
        <v>46077</v>
      </c>
      <c r="C1327" s="40">
        <v>0.70833333333333337</v>
      </c>
      <c r="D1327" s="41">
        <v>5160</v>
      </c>
      <c r="E1327" s="41">
        <v>5167</v>
      </c>
      <c r="F1327" s="41">
        <v>5160</v>
      </c>
      <c r="G1327" s="41">
        <v>5164</v>
      </c>
      <c r="H1327" s="41">
        <v>2462793625</v>
      </c>
      <c r="I1327" s="42">
        <v>9540</v>
      </c>
    </row>
    <row r="1328" spans="1:9" x14ac:dyDescent="0.25">
      <c r="A1328" t="s">
        <v>9</v>
      </c>
      <c r="B1328" s="39">
        <v>46077</v>
      </c>
      <c r="C1328" s="40">
        <v>0.6875</v>
      </c>
      <c r="D1328" s="41">
        <v>5160</v>
      </c>
      <c r="E1328" s="41">
        <v>5161.5</v>
      </c>
      <c r="F1328" s="41">
        <v>5157.5</v>
      </c>
      <c r="G1328" s="41">
        <v>5160</v>
      </c>
      <c r="H1328" s="41">
        <v>1510407500</v>
      </c>
      <c r="I1328" s="42">
        <v>5855</v>
      </c>
    </row>
    <row r="1329" spans="1:9" x14ac:dyDescent="0.25">
      <c r="A1329" t="s">
        <v>9</v>
      </c>
      <c r="B1329" s="39">
        <v>46077</v>
      </c>
      <c r="C1329" s="40">
        <v>0.66666666666666663</v>
      </c>
      <c r="D1329" s="41">
        <v>5154.5</v>
      </c>
      <c r="E1329" s="41">
        <v>5160.5</v>
      </c>
      <c r="F1329" s="41">
        <v>5154.5</v>
      </c>
      <c r="G1329" s="41">
        <v>5160</v>
      </c>
      <c r="H1329" s="41">
        <v>3096116250</v>
      </c>
      <c r="I1329" s="42">
        <v>12005</v>
      </c>
    </row>
    <row r="1330" spans="1:9" x14ac:dyDescent="0.25">
      <c r="A1330" t="s">
        <v>9</v>
      </c>
      <c r="B1330" s="39">
        <v>46077</v>
      </c>
      <c r="C1330" s="40">
        <v>0.64583333333333337</v>
      </c>
      <c r="D1330" s="41">
        <v>5155.5</v>
      </c>
      <c r="E1330" s="41">
        <v>5155.5</v>
      </c>
      <c r="F1330" s="41">
        <v>5152</v>
      </c>
      <c r="G1330" s="41">
        <v>5155</v>
      </c>
      <c r="H1330" s="41">
        <v>2686611250</v>
      </c>
      <c r="I1330" s="42">
        <v>10425</v>
      </c>
    </row>
    <row r="1331" spans="1:9" x14ac:dyDescent="0.25">
      <c r="A1331" t="s">
        <v>9</v>
      </c>
      <c r="B1331" s="39">
        <v>46077</v>
      </c>
      <c r="C1331" s="40">
        <v>0.625</v>
      </c>
      <c r="D1331" s="41">
        <v>5154.5</v>
      </c>
      <c r="E1331" s="41">
        <v>5156</v>
      </c>
      <c r="F1331" s="41">
        <v>5151.5</v>
      </c>
      <c r="G1331" s="41">
        <v>5155</v>
      </c>
      <c r="H1331" s="41">
        <v>2053929000</v>
      </c>
      <c r="I1331" s="42">
        <v>7970</v>
      </c>
    </row>
    <row r="1332" spans="1:9" x14ac:dyDescent="0.25">
      <c r="A1332" t="s">
        <v>9</v>
      </c>
      <c r="B1332" s="39">
        <v>46077</v>
      </c>
      <c r="C1332" s="40">
        <v>0.60416666666666663</v>
      </c>
      <c r="D1332" s="41">
        <v>5152.5</v>
      </c>
      <c r="E1332" s="41">
        <v>5157</v>
      </c>
      <c r="F1332" s="41">
        <v>5152</v>
      </c>
      <c r="G1332" s="41">
        <v>5154</v>
      </c>
      <c r="H1332" s="41">
        <v>1554321125</v>
      </c>
      <c r="I1332" s="42">
        <v>6030</v>
      </c>
    </row>
    <row r="1333" spans="1:9" x14ac:dyDescent="0.25">
      <c r="A1333" t="s">
        <v>9</v>
      </c>
      <c r="B1333" s="39">
        <v>46077</v>
      </c>
      <c r="C1333" s="40">
        <v>0.58333333333333337</v>
      </c>
      <c r="D1333" s="41">
        <v>5153.5</v>
      </c>
      <c r="E1333" s="41">
        <v>5156</v>
      </c>
      <c r="F1333" s="41">
        <v>5152.5</v>
      </c>
      <c r="G1333" s="41">
        <v>5153.5</v>
      </c>
      <c r="H1333" s="41">
        <v>2445656875</v>
      </c>
      <c r="I1333" s="42">
        <v>9490</v>
      </c>
    </row>
    <row r="1334" spans="1:9" x14ac:dyDescent="0.25">
      <c r="A1334" t="s">
        <v>9</v>
      </c>
      <c r="B1334" s="39">
        <v>46077</v>
      </c>
      <c r="C1334" s="40">
        <v>0.5625</v>
      </c>
      <c r="D1334" s="41">
        <v>5150.5</v>
      </c>
      <c r="E1334" s="41">
        <v>5154</v>
      </c>
      <c r="F1334" s="41">
        <v>5148.5</v>
      </c>
      <c r="G1334" s="41">
        <v>5153.5</v>
      </c>
      <c r="H1334" s="41">
        <v>5322706250</v>
      </c>
      <c r="I1334" s="42">
        <v>20665</v>
      </c>
    </row>
    <row r="1335" spans="1:9" x14ac:dyDescent="0.25">
      <c r="A1335" t="s">
        <v>9</v>
      </c>
      <c r="B1335" s="39">
        <v>46077</v>
      </c>
      <c r="C1335" s="40">
        <v>0.54166666666666663</v>
      </c>
      <c r="D1335" s="41">
        <v>5159</v>
      </c>
      <c r="E1335" s="41">
        <v>5161</v>
      </c>
      <c r="F1335" s="41">
        <v>5148</v>
      </c>
      <c r="G1335" s="41">
        <v>5151</v>
      </c>
      <c r="H1335" s="41">
        <v>3723116125</v>
      </c>
      <c r="I1335" s="42">
        <v>14450</v>
      </c>
    </row>
    <row r="1336" spans="1:9" x14ac:dyDescent="0.25">
      <c r="A1336" t="s">
        <v>9</v>
      </c>
      <c r="B1336" s="39">
        <v>46077</v>
      </c>
      <c r="C1336" s="40">
        <v>0.52083333333333337</v>
      </c>
      <c r="D1336" s="41">
        <v>5164</v>
      </c>
      <c r="E1336" s="41">
        <v>5168</v>
      </c>
      <c r="F1336" s="41">
        <v>5156.5</v>
      </c>
      <c r="G1336" s="41">
        <v>5158.5</v>
      </c>
      <c r="H1336" s="41">
        <v>4091597500</v>
      </c>
      <c r="I1336" s="42">
        <v>15850</v>
      </c>
    </row>
    <row r="1337" spans="1:9" x14ac:dyDescent="0.25">
      <c r="A1337" t="s">
        <v>9</v>
      </c>
      <c r="B1337" s="39">
        <v>46077</v>
      </c>
      <c r="C1337" s="40">
        <v>0.5</v>
      </c>
      <c r="D1337" s="41">
        <v>5177</v>
      </c>
      <c r="E1337" s="41">
        <v>5178.5</v>
      </c>
      <c r="F1337" s="41">
        <v>5163</v>
      </c>
      <c r="G1337" s="41">
        <v>5163.5</v>
      </c>
      <c r="H1337" s="41">
        <v>4135157250</v>
      </c>
      <c r="I1337" s="42">
        <v>15995</v>
      </c>
    </row>
    <row r="1338" spans="1:9" x14ac:dyDescent="0.25">
      <c r="A1338" t="s">
        <v>9</v>
      </c>
      <c r="B1338" s="39">
        <v>46077</v>
      </c>
      <c r="C1338" s="40">
        <v>0.47916666666666669</v>
      </c>
      <c r="D1338" s="41">
        <v>5176</v>
      </c>
      <c r="E1338" s="41">
        <v>5181</v>
      </c>
      <c r="F1338" s="41">
        <v>5173.5</v>
      </c>
      <c r="G1338" s="41">
        <v>5176.5</v>
      </c>
      <c r="H1338" s="41">
        <v>7262666625</v>
      </c>
      <c r="I1338" s="42">
        <v>28060</v>
      </c>
    </row>
    <row r="1339" spans="1:9" x14ac:dyDescent="0.25">
      <c r="A1339" t="s">
        <v>9</v>
      </c>
      <c r="B1339" s="39">
        <v>46077</v>
      </c>
      <c r="C1339" s="40">
        <v>0.45833333333333331</v>
      </c>
      <c r="D1339" s="41">
        <v>5184.5</v>
      </c>
      <c r="E1339" s="41">
        <v>5186</v>
      </c>
      <c r="F1339" s="41">
        <v>5174.5</v>
      </c>
      <c r="G1339" s="41">
        <v>5175.5</v>
      </c>
      <c r="H1339" s="41">
        <v>4278460625</v>
      </c>
      <c r="I1339" s="42">
        <v>16520</v>
      </c>
    </row>
    <row r="1340" spans="1:9" x14ac:dyDescent="0.25">
      <c r="A1340" t="s">
        <v>9</v>
      </c>
      <c r="B1340" s="39">
        <v>46077</v>
      </c>
      <c r="C1340" s="40">
        <v>0.4375</v>
      </c>
      <c r="D1340" s="41">
        <v>5182.5</v>
      </c>
      <c r="E1340" s="41">
        <v>5190</v>
      </c>
      <c r="F1340" s="41">
        <v>5179.5</v>
      </c>
      <c r="G1340" s="41">
        <v>5184.5</v>
      </c>
      <c r="H1340" s="41">
        <v>3879283750</v>
      </c>
      <c r="I1340" s="42">
        <v>14965</v>
      </c>
    </row>
    <row r="1341" spans="1:9" x14ac:dyDescent="0.25">
      <c r="A1341" t="s">
        <v>9</v>
      </c>
      <c r="B1341" s="39">
        <v>46077</v>
      </c>
      <c r="C1341" s="40">
        <v>0.41666666666666669</v>
      </c>
      <c r="D1341" s="41">
        <v>5179</v>
      </c>
      <c r="E1341" s="41">
        <v>5185</v>
      </c>
      <c r="F1341" s="41">
        <v>5177.5</v>
      </c>
      <c r="G1341" s="41">
        <v>5182.5</v>
      </c>
      <c r="H1341" s="41">
        <v>7268638875</v>
      </c>
      <c r="I1341" s="42">
        <v>28050</v>
      </c>
    </row>
    <row r="1342" spans="1:9" x14ac:dyDescent="0.25">
      <c r="A1342" t="s">
        <v>9</v>
      </c>
      <c r="B1342" s="39">
        <v>46077</v>
      </c>
      <c r="C1342" s="40">
        <v>0.39583333333333331</v>
      </c>
      <c r="D1342" s="41">
        <v>5187.5</v>
      </c>
      <c r="E1342" s="41">
        <v>5190</v>
      </c>
      <c r="F1342" s="41">
        <v>5178.5</v>
      </c>
      <c r="G1342" s="41">
        <v>5178.5</v>
      </c>
      <c r="H1342" s="41">
        <v>2924651875</v>
      </c>
      <c r="I1342" s="42">
        <v>11280</v>
      </c>
    </row>
    <row r="1343" spans="1:9" x14ac:dyDescent="0.25">
      <c r="A1343" t="s">
        <v>9</v>
      </c>
      <c r="B1343" s="39">
        <v>46077</v>
      </c>
      <c r="C1343" s="40">
        <v>0.375</v>
      </c>
      <c r="D1343" s="41">
        <v>5178.5</v>
      </c>
      <c r="E1343" s="41">
        <v>5188.5</v>
      </c>
      <c r="F1343" s="41">
        <v>5171</v>
      </c>
      <c r="G1343" s="41">
        <v>5187.5</v>
      </c>
      <c r="H1343" s="41">
        <v>2311473000</v>
      </c>
      <c r="I1343" s="42">
        <v>8925</v>
      </c>
    </row>
    <row r="1344" spans="1:9" x14ac:dyDescent="0.25">
      <c r="A1344" t="s">
        <v>9</v>
      </c>
      <c r="B1344" s="39">
        <v>46076</v>
      </c>
      <c r="C1344" s="40">
        <v>0.75</v>
      </c>
      <c r="D1344" s="41">
        <v>5173</v>
      </c>
      <c r="E1344" s="41">
        <v>5183</v>
      </c>
      <c r="F1344" s="41">
        <v>5170.5</v>
      </c>
      <c r="G1344" s="41">
        <v>5179.5</v>
      </c>
      <c r="H1344" s="41">
        <v>1020724875</v>
      </c>
      <c r="I1344" s="42">
        <v>3945</v>
      </c>
    </row>
    <row r="1345" spans="1:9" x14ac:dyDescent="0.25">
      <c r="A1345" t="s">
        <v>9</v>
      </c>
      <c r="B1345" s="39">
        <v>46076</v>
      </c>
      <c r="C1345" s="40">
        <v>0.72916666666666663</v>
      </c>
      <c r="D1345" s="41">
        <v>5173</v>
      </c>
      <c r="E1345" s="41">
        <v>5174.5</v>
      </c>
      <c r="F1345" s="41">
        <v>5172</v>
      </c>
      <c r="G1345" s="41">
        <v>5173</v>
      </c>
      <c r="H1345" s="41">
        <v>1090235125</v>
      </c>
      <c r="I1345" s="42">
        <v>4215</v>
      </c>
    </row>
    <row r="1346" spans="1:9" x14ac:dyDescent="0.25">
      <c r="A1346" t="s">
        <v>9</v>
      </c>
      <c r="B1346" s="39">
        <v>46076</v>
      </c>
      <c r="C1346" s="40">
        <v>0.70833333333333337</v>
      </c>
      <c r="D1346" s="41">
        <v>5176</v>
      </c>
      <c r="E1346" s="41">
        <v>5176.5</v>
      </c>
      <c r="F1346" s="41">
        <v>5172.5</v>
      </c>
      <c r="G1346" s="41">
        <v>5173</v>
      </c>
      <c r="H1346" s="41">
        <v>1137062500</v>
      </c>
      <c r="I1346" s="42">
        <v>4395</v>
      </c>
    </row>
    <row r="1347" spans="1:9" x14ac:dyDescent="0.25">
      <c r="A1347" t="s">
        <v>9</v>
      </c>
      <c r="B1347" s="39">
        <v>46076</v>
      </c>
      <c r="C1347" s="40">
        <v>0.6875</v>
      </c>
      <c r="D1347" s="41">
        <v>5174.5</v>
      </c>
      <c r="E1347" s="41">
        <v>5179</v>
      </c>
      <c r="F1347" s="41">
        <v>5174</v>
      </c>
      <c r="G1347" s="41">
        <v>5176</v>
      </c>
      <c r="H1347" s="41">
        <v>1843004250</v>
      </c>
      <c r="I1347" s="42">
        <v>7120</v>
      </c>
    </row>
    <row r="1348" spans="1:9" x14ac:dyDescent="0.25">
      <c r="A1348" t="s">
        <v>9</v>
      </c>
      <c r="B1348" s="39">
        <v>46076</v>
      </c>
      <c r="C1348" s="40">
        <v>0.66666666666666663</v>
      </c>
      <c r="D1348" s="41">
        <v>5173.5</v>
      </c>
      <c r="E1348" s="41">
        <v>5176</v>
      </c>
      <c r="F1348" s="41">
        <v>5172.5</v>
      </c>
      <c r="G1348" s="41">
        <v>5175</v>
      </c>
      <c r="H1348" s="41">
        <v>3161637750</v>
      </c>
      <c r="I1348" s="42">
        <v>12220</v>
      </c>
    </row>
    <row r="1349" spans="1:9" x14ac:dyDescent="0.25">
      <c r="A1349" t="s">
        <v>9</v>
      </c>
      <c r="B1349" s="39">
        <v>46076</v>
      </c>
      <c r="C1349" s="40">
        <v>0.64583333333333337</v>
      </c>
      <c r="D1349" s="41">
        <v>5168</v>
      </c>
      <c r="E1349" s="41">
        <v>5175</v>
      </c>
      <c r="F1349" s="41">
        <v>5167</v>
      </c>
      <c r="G1349" s="41">
        <v>5173.5</v>
      </c>
      <c r="H1349" s="41">
        <v>2371298375</v>
      </c>
      <c r="I1349" s="42">
        <v>9170</v>
      </c>
    </row>
    <row r="1350" spans="1:9" x14ac:dyDescent="0.25">
      <c r="A1350" t="s">
        <v>9</v>
      </c>
      <c r="B1350" s="39">
        <v>46076</v>
      </c>
      <c r="C1350" s="40">
        <v>0.625</v>
      </c>
      <c r="D1350" s="41">
        <v>5169</v>
      </c>
      <c r="E1350" s="41">
        <v>5175</v>
      </c>
      <c r="F1350" s="41">
        <v>5167</v>
      </c>
      <c r="G1350" s="41">
        <v>5168</v>
      </c>
      <c r="H1350" s="41">
        <v>1950759125</v>
      </c>
      <c r="I1350" s="42">
        <v>7545</v>
      </c>
    </row>
    <row r="1351" spans="1:9" x14ac:dyDescent="0.25">
      <c r="A1351" t="s">
        <v>9</v>
      </c>
      <c r="B1351" s="39">
        <v>46076</v>
      </c>
      <c r="C1351" s="40">
        <v>0.60416666666666663</v>
      </c>
      <c r="D1351" s="41">
        <v>5170</v>
      </c>
      <c r="E1351" s="41">
        <v>5175.5</v>
      </c>
      <c r="F1351" s="41">
        <v>5167.5</v>
      </c>
      <c r="G1351" s="41">
        <v>5168.5</v>
      </c>
      <c r="H1351" s="41">
        <v>2555685750</v>
      </c>
      <c r="I1351" s="42">
        <v>9885</v>
      </c>
    </row>
    <row r="1352" spans="1:9" x14ac:dyDescent="0.25">
      <c r="A1352" t="s">
        <v>9</v>
      </c>
      <c r="B1352" s="39">
        <v>46076</v>
      </c>
      <c r="C1352" s="40">
        <v>0.58333333333333337</v>
      </c>
      <c r="D1352" s="41">
        <v>5162</v>
      </c>
      <c r="E1352" s="41">
        <v>5171.5</v>
      </c>
      <c r="F1352" s="41">
        <v>5159</v>
      </c>
      <c r="G1352" s="41">
        <v>5170</v>
      </c>
      <c r="H1352" s="41">
        <v>3000941625</v>
      </c>
      <c r="I1352" s="42">
        <v>11615</v>
      </c>
    </row>
    <row r="1353" spans="1:9" x14ac:dyDescent="0.25">
      <c r="A1353" t="s">
        <v>9</v>
      </c>
      <c r="B1353" s="39">
        <v>46076</v>
      </c>
      <c r="C1353" s="40">
        <v>0.5625</v>
      </c>
      <c r="D1353" s="41">
        <v>5156</v>
      </c>
      <c r="E1353" s="41">
        <v>5163</v>
      </c>
      <c r="F1353" s="41">
        <v>5153.5</v>
      </c>
      <c r="G1353" s="41">
        <v>5162.5</v>
      </c>
      <c r="H1353" s="41">
        <v>3172209750</v>
      </c>
      <c r="I1353" s="42">
        <v>12300</v>
      </c>
    </row>
    <row r="1354" spans="1:9" x14ac:dyDescent="0.25">
      <c r="A1354" t="s">
        <v>9</v>
      </c>
      <c r="B1354" s="39">
        <v>46076</v>
      </c>
      <c r="C1354" s="40">
        <v>0.54166666666666663</v>
      </c>
      <c r="D1354" s="41">
        <v>5161</v>
      </c>
      <c r="E1354" s="41">
        <v>5172.5</v>
      </c>
      <c r="F1354" s="41">
        <v>5155</v>
      </c>
      <c r="G1354" s="41">
        <v>5156.5</v>
      </c>
      <c r="H1354" s="41">
        <v>5422624875</v>
      </c>
      <c r="I1354" s="42">
        <v>20995</v>
      </c>
    </row>
    <row r="1355" spans="1:9" x14ac:dyDescent="0.25">
      <c r="A1355" t="s">
        <v>9</v>
      </c>
      <c r="B1355" s="39">
        <v>46076</v>
      </c>
      <c r="C1355" s="40">
        <v>0.52083333333333337</v>
      </c>
      <c r="D1355" s="41">
        <v>5155.5</v>
      </c>
      <c r="E1355" s="41">
        <v>5163.5</v>
      </c>
      <c r="F1355" s="41">
        <v>5155</v>
      </c>
      <c r="G1355" s="41">
        <v>5161</v>
      </c>
      <c r="H1355" s="41">
        <v>6486767375</v>
      </c>
      <c r="I1355" s="42">
        <v>25150</v>
      </c>
    </row>
    <row r="1356" spans="1:9" x14ac:dyDescent="0.25">
      <c r="A1356" t="s">
        <v>9</v>
      </c>
      <c r="B1356" s="39">
        <v>46076</v>
      </c>
      <c r="C1356" s="40">
        <v>0.5</v>
      </c>
      <c r="D1356" s="41">
        <v>5150</v>
      </c>
      <c r="E1356" s="41">
        <v>5157</v>
      </c>
      <c r="F1356" s="41">
        <v>5147.5</v>
      </c>
      <c r="G1356" s="41">
        <v>5155</v>
      </c>
      <c r="H1356" s="41">
        <v>4157732625</v>
      </c>
      <c r="I1356" s="42">
        <v>16140</v>
      </c>
    </row>
    <row r="1357" spans="1:9" x14ac:dyDescent="0.25">
      <c r="A1357" t="s">
        <v>9</v>
      </c>
      <c r="B1357" s="39">
        <v>46076</v>
      </c>
      <c r="C1357" s="40">
        <v>0.47916666666666669</v>
      </c>
      <c r="D1357" s="41">
        <v>5164.5</v>
      </c>
      <c r="E1357" s="41">
        <v>5166</v>
      </c>
      <c r="F1357" s="41">
        <v>5145.5</v>
      </c>
      <c r="G1357" s="41">
        <v>5150.5</v>
      </c>
      <c r="H1357" s="41">
        <v>6908849500</v>
      </c>
      <c r="I1357" s="42">
        <v>26815</v>
      </c>
    </row>
    <row r="1358" spans="1:9" x14ac:dyDescent="0.25">
      <c r="A1358" t="s">
        <v>9</v>
      </c>
      <c r="B1358" s="39">
        <v>46076</v>
      </c>
      <c r="C1358" s="40">
        <v>0.45833333333333331</v>
      </c>
      <c r="D1358" s="41">
        <v>5175</v>
      </c>
      <c r="E1358" s="41">
        <v>5175.5</v>
      </c>
      <c r="F1358" s="41">
        <v>5164</v>
      </c>
      <c r="G1358" s="41">
        <v>5165</v>
      </c>
      <c r="H1358" s="41">
        <v>4182755875</v>
      </c>
      <c r="I1358" s="42">
        <v>16185</v>
      </c>
    </row>
    <row r="1359" spans="1:9" x14ac:dyDescent="0.25">
      <c r="A1359" t="s">
        <v>9</v>
      </c>
      <c r="B1359" s="39">
        <v>46076</v>
      </c>
      <c r="C1359" s="40">
        <v>0.4375</v>
      </c>
      <c r="D1359" s="41">
        <v>5178</v>
      </c>
      <c r="E1359" s="41">
        <v>5178</v>
      </c>
      <c r="F1359" s="41">
        <v>5170</v>
      </c>
      <c r="G1359" s="41">
        <v>5175.5</v>
      </c>
      <c r="H1359" s="41">
        <v>3605258750</v>
      </c>
      <c r="I1359" s="42">
        <v>13935</v>
      </c>
    </row>
    <row r="1360" spans="1:9" x14ac:dyDescent="0.25">
      <c r="A1360" t="s">
        <v>9</v>
      </c>
      <c r="B1360" s="39">
        <v>46076</v>
      </c>
      <c r="C1360" s="40">
        <v>0.41666666666666669</v>
      </c>
      <c r="D1360" s="41">
        <v>5189.5</v>
      </c>
      <c r="E1360" s="41">
        <v>5197</v>
      </c>
      <c r="F1360" s="41">
        <v>5177.5</v>
      </c>
      <c r="G1360" s="41">
        <v>5178.5</v>
      </c>
      <c r="H1360" s="41">
        <v>6324967625</v>
      </c>
      <c r="I1360" s="42">
        <v>24400</v>
      </c>
    </row>
    <row r="1361" spans="1:9" x14ac:dyDescent="0.25">
      <c r="A1361" t="s">
        <v>9</v>
      </c>
      <c r="B1361" s="39">
        <v>46076</v>
      </c>
      <c r="C1361" s="40">
        <v>0.39583333333333331</v>
      </c>
      <c r="D1361" s="41">
        <v>5193</v>
      </c>
      <c r="E1361" s="41">
        <v>5193.5</v>
      </c>
      <c r="F1361" s="41">
        <v>5185</v>
      </c>
      <c r="G1361" s="41">
        <v>5189.5</v>
      </c>
      <c r="H1361" s="41">
        <v>2432294000</v>
      </c>
      <c r="I1361" s="42">
        <v>9375</v>
      </c>
    </row>
    <row r="1362" spans="1:9" x14ac:dyDescent="0.25">
      <c r="A1362" t="s">
        <v>9</v>
      </c>
      <c r="B1362" s="39">
        <v>46076</v>
      </c>
      <c r="C1362" s="40">
        <v>0.375</v>
      </c>
      <c r="D1362" s="41">
        <v>5190</v>
      </c>
      <c r="E1362" s="41">
        <v>5198</v>
      </c>
      <c r="F1362" s="41">
        <v>5188</v>
      </c>
      <c r="G1362" s="41">
        <v>5193.5</v>
      </c>
      <c r="H1362" s="41">
        <v>2078361375</v>
      </c>
      <c r="I1362" s="42">
        <v>8005</v>
      </c>
    </row>
    <row r="1363" spans="1:9" x14ac:dyDescent="0.25">
      <c r="A1363" t="s">
        <v>9</v>
      </c>
      <c r="B1363" s="39">
        <v>46073</v>
      </c>
      <c r="C1363" s="40">
        <v>0.75</v>
      </c>
      <c r="D1363" s="41">
        <v>5185</v>
      </c>
      <c r="E1363" s="41">
        <v>5186.5</v>
      </c>
      <c r="F1363" s="41">
        <v>5180</v>
      </c>
      <c r="G1363" s="41">
        <v>5186</v>
      </c>
      <c r="H1363" s="41">
        <v>1105282125</v>
      </c>
      <c r="I1363" s="42">
        <v>4265</v>
      </c>
    </row>
    <row r="1364" spans="1:9" x14ac:dyDescent="0.25">
      <c r="A1364" t="s">
        <v>9</v>
      </c>
      <c r="B1364" s="39">
        <v>46073</v>
      </c>
      <c r="C1364" s="40">
        <v>0.72916666666666663</v>
      </c>
      <c r="D1364" s="41">
        <v>5184</v>
      </c>
      <c r="E1364" s="41">
        <v>5185.5</v>
      </c>
      <c r="F1364" s="41">
        <v>5181.5</v>
      </c>
      <c r="G1364" s="41">
        <v>5185.5</v>
      </c>
      <c r="H1364" s="41">
        <v>1069091000</v>
      </c>
      <c r="I1364" s="42">
        <v>4125</v>
      </c>
    </row>
    <row r="1365" spans="1:9" x14ac:dyDescent="0.25">
      <c r="A1365" t="s">
        <v>9</v>
      </c>
      <c r="B1365" s="39">
        <v>46073</v>
      </c>
      <c r="C1365" s="40">
        <v>0.70833333333333337</v>
      </c>
      <c r="D1365" s="41">
        <v>5185.5</v>
      </c>
      <c r="E1365" s="41">
        <v>5186</v>
      </c>
      <c r="F1365" s="41">
        <v>5181.5</v>
      </c>
      <c r="G1365" s="41">
        <v>5184</v>
      </c>
      <c r="H1365" s="41">
        <v>1494231750</v>
      </c>
      <c r="I1365" s="42">
        <v>5765</v>
      </c>
    </row>
    <row r="1366" spans="1:9" x14ac:dyDescent="0.25">
      <c r="A1366" t="s">
        <v>9</v>
      </c>
      <c r="B1366" s="39">
        <v>46073</v>
      </c>
      <c r="C1366" s="40">
        <v>0.6875</v>
      </c>
      <c r="D1366" s="41">
        <v>5189.5</v>
      </c>
      <c r="E1366" s="41">
        <v>5189.5</v>
      </c>
      <c r="F1366" s="41">
        <v>5183.5</v>
      </c>
      <c r="G1366" s="41">
        <v>5185.5</v>
      </c>
      <c r="H1366" s="41">
        <v>4038346375</v>
      </c>
      <c r="I1366" s="42">
        <v>15570</v>
      </c>
    </row>
    <row r="1367" spans="1:9" x14ac:dyDescent="0.25">
      <c r="A1367" t="s">
        <v>9</v>
      </c>
      <c r="B1367" s="39">
        <v>46073</v>
      </c>
      <c r="C1367" s="40">
        <v>0.66666666666666663</v>
      </c>
      <c r="D1367" s="41">
        <v>5187</v>
      </c>
      <c r="E1367" s="41">
        <v>5189.5</v>
      </c>
      <c r="F1367" s="41">
        <v>5186</v>
      </c>
      <c r="G1367" s="41">
        <v>5189.5</v>
      </c>
      <c r="H1367" s="41">
        <v>1241318875</v>
      </c>
      <c r="I1367" s="42">
        <v>4785</v>
      </c>
    </row>
    <row r="1368" spans="1:9" x14ac:dyDescent="0.25">
      <c r="A1368" t="s">
        <v>9</v>
      </c>
      <c r="B1368" s="39">
        <v>46073</v>
      </c>
      <c r="C1368" s="40">
        <v>0.64583333333333337</v>
      </c>
      <c r="D1368" s="41">
        <v>5194</v>
      </c>
      <c r="E1368" s="41">
        <v>5196.5</v>
      </c>
      <c r="F1368" s="41">
        <v>5183.5</v>
      </c>
      <c r="G1368" s="41">
        <v>5187</v>
      </c>
      <c r="H1368" s="41">
        <v>5094484375</v>
      </c>
      <c r="I1368" s="42">
        <v>19640</v>
      </c>
    </row>
    <row r="1369" spans="1:9" x14ac:dyDescent="0.25">
      <c r="A1369" t="s">
        <v>9</v>
      </c>
      <c r="B1369" s="39">
        <v>46073</v>
      </c>
      <c r="C1369" s="40">
        <v>0.625</v>
      </c>
      <c r="D1369" s="41">
        <v>5200.5</v>
      </c>
      <c r="E1369" s="41">
        <v>5203.5</v>
      </c>
      <c r="F1369" s="41">
        <v>5191</v>
      </c>
      <c r="G1369" s="41">
        <v>5193.5</v>
      </c>
      <c r="H1369" s="41">
        <v>2692953875</v>
      </c>
      <c r="I1369" s="42">
        <v>10365</v>
      </c>
    </row>
    <row r="1370" spans="1:9" x14ac:dyDescent="0.25">
      <c r="A1370" t="s">
        <v>9</v>
      </c>
      <c r="B1370" s="39">
        <v>46073</v>
      </c>
      <c r="C1370" s="40">
        <v>0.60416666666666663</v>
      </c>
      <c r="D1370" s="41">
        <v>5205.5</v>
      </c>
      <c r="E1370" s="41">
        <v>5205.5</v>
      </c>
      <c r="F1370" s="41">
        <v>5194</v>
      </c>
      <c r="G1370" s="41">
        <v>5200.5</v>
      </c>
      <c r="H1370" s="41">
        <v>2852807250</v>
      </c>
      <c r="I1370" s="42">
        <v>10975</v>
      </c>
    </row>
    <row r="1371" spans="1:9" x14ac:dyDescent="0.25">
      <c r="A1371" t="s">
        <v>9</v>
      </c>
      <c r="B1371" s="39">
        <v>46073</v>
      </c>
      <c r="C1371" s="40">
        <v>0.58333333333333337</v>
      </c>
      <c r="D1371" s="41">
        <v>5196.5</v>
      </c>
      <c r="E1371" s="41">
        <v>5207</v>
      </c>
      <c r="F1371" s="41">
        <v>5195.5</v>
      </c>
      <c r="G1371" s="41">
        <v>5206</v>
      </c>
      <c r="H1371" s="41">
        <v>6582203625</v>
      </c>
      <c r="I1371" s="42">
        <v>25305</v>
      </c>
    </row>
    <row r="1372" spans="1:9" x14ac:dyDescent="0.25">
      <c r="A1372" t="s">
        <v>9</v>
      </c>
      <c r="B1372" s="39">
        <v>46073</v>
      </c>
      <c r="C1372" s="40">
        <v>0.5625</v>
      </c>
      <c r="D1372" s="41">
        <v>5195.5</v>
      </c>
      <c r="E1372" s="41">
        <v>5197.5</v>
      </c>
      <c r="F1372" s="41">
        <v>5192</v>
      </c>
      <c r="G1372" s="41">
        <v>5196.5</v>
      </c>
      <c r="H1372" s="41">
        <v>2946901000</v>
      </c>
      <c r="I1372" s="42">
        <v>11345</v>
      </c>
    </row>
    <row r="1373" spans="1:9" x14ac:dyDescent="0.25">
      <c r="A1373" t="s">
        <v>9</v>
      </c>
      <c r="B1373" s="39">
        <v>46073</v>
      </c>
      <c r="C1373" s="40">
        <v>0.54166666666666663</v>
      </c>
      <c r="D1373" s="41">
        <v>5195.5</v>
      </c>
      <c r="E1373" s="41">
        <v>5196.5</v>
      </c>
      <c r="F1373" s="41">
        <v>5187</v>
      </c>
      <c r="G1373" s="41">
        <v>5195</v>
      </c>
      <c r="H1373" s="41">
        <v>4376347000</v>
      </c>
      <c r="I1373" s="42">
        <v>16855</v>
      </c>
    </row>
    <row r="1374" spans="1:9" x14ac:dyDescent="0.25">
      <c r="A1374" t="s">
        <v>9</v>
      </c>
      <c r="B1374" s="39">
        <v>46073</v>
      </c>
      <c r="C1374" s="40">
        <v>0.52083333333333337</v>
      </c>
      <c r="D1374" s="41">
        <v>5201</v>
      </c>
      <c r="E1374" s="41">
        <v>5208</v>
      </c>
      <c r="F1374" s="41">
        <v>5195</v>
      </c>
      <c r="G1374" s="41">
        <v>5195.5</v>
      </c>
      <c r="H1374" s="41">
        <v>4899899625</v>
      </c>
      <c r="I1374" s="42">
        <v>18850</v>
      </c>
    </row>
    <row r="1375" spans="1:9" x14ac:dyDescent="0.25">
      <c r="A1375" t="s">
        <v>9</v>
      </c>
      <c r="B1375" s="39">
        <v>46073</v>
      </c>
      <c r="C1375" s="40">
        <v>0.5</v>
      </c>
      <c r="D1375" s="41">
        <v>5207.5</v>
      </c>
      <c r="E1375" s="41">
        <v>5209.5</v>
      </c>
      <c r="F1375" s="41">
        <v>5192</v>
      </c>
      <c r="G1375" s="41">
        <v>5201</v>
      </c>
      <c r="H1375" s="41">
        <v>9138591375</v>
      </c>
      <c r="I1375" s="42">
        <v>35145</v>
      </c>
    </row>
    <row r="1376" spans="1:9" x14ac:dyDescent="0.25">
      <c r="A1376" t="s">
        <v>9</v>
      </c>
      <c r="B1376" s="39">
        <v>46073</v>
      </c>
      <c r="C1376" s="40">
        <v>0.47916666666666669</v>
      </c>
      <c r="D1376" s="41">
        <v>5214</v>
      </c>
      <c r="E1376" s="41">
        <v>5215.5</v>
      </c>
      <c r="F1376" s="41">
        <v>5200</v>
      </c>
      <c r="G1376" s="41">
        <v>5206.5</v>
      </c>
      <c r="H1376" s="41">
        <v>6861717750</v>
      </c>
      <c r="I1376" s="42">
        <v>26355</v>
      </c>
    </row>
    <row r="1377" spans="1:9" x14ac:dyDescent="0.25">
      <c r="A1377" t="s">
        <v>9</v>
      </c>
      <c r="B1377" s="39">
        <v>46073</v>
      </c>
      <c r="C1377" s="40">
        <v>0.45833333333333331</v>
      </c>
      <c r="D1377" s="41">
        <v>5213.5</v>
      </c>
      <c r="E1377" s="41">
        <v>5218</v>
      </c>
      <c r="F1377" s="41">
        <v>5210.5</v>
      </c>
      <c r="G1377" s="41">
        <v>5214.5</v>
      </c>
      <c r="H1377" s="41">
        <v>3653638125</v>
      </c>
      <c r="I1377" s="42">
        <v>14015</v>
      </c>
    </row>
    <row r="1378" spans="1:9" x14ac:dyDescent="0.25">
      <c r="A1378" t="s">
        <v>9</v>
      </c>
      <c r="B1378" s="39">
        <v>46073</v>
      </c>
      <c r="C1378" s="40">
        <v>0.4375</v>
      </c>
      <c r="D1378" s="41">
        <v>5221.5</v>
      </c>
      <c r="E1378" s="41">
        <v>5225</v>
      </c>
      <c r="F1378" s="41">
        <v>5212.5</v>
      </c>
      <c r="G1378" s="41">
        <v>5213.5</v>
      </c>
      <c r="H1378" s="41">
        <v>5333715875</v>
      </c>
      <c r="I1378" s="42">
        <v>20440</v>
      </c>
    </row>
    <row r="1379" spans="1:9" x14ac:dyDescent="0.25">
      <c r="A1379" t="s">
        <v>9</v>
      </c>
      <c r="B1379" s="39">
        <v>46073</v>
      </c>
      <c r="C1379" s="40">
        <v>0.41666666666666669</v>
      </c>
      <c r="D1379" s="41">
        <v>5228</v>
      </c>
      <c r="E1379" s="41">
        <v>5232.5</v>
      </c>
      <c r="F1379" s="41">
        <v>5219.5</v>
      </c>
      <c r="G1379" s="41">
        <v>5223</v>
      </c>
      <c r="H1379" s="41">
        <v>5297136125</v>
      </c>
      <c r="I1379" s="42">
        <v>20275</v>
      </c>
    </row>
    <row r="1380" spans="1:9" x14ac:dyDescent="0.25">
      <c r="A1380" t="s">
        <v>9</v>
      </c>
      <c r="B1380" s="39">
        <v>46073</v>
      </c>
      <c r="C1380" s="40">
        <v>0.39583333333333331</v>
      </c>
      <c r="D1380" s="41">
        <v>5227.5</v>
      </c>
      <c r="E1380" s="41">
        <v>5233</v>
      </c>
      <c r="F1380" s="41">
        <v>5224</v>
      </c>
      <c r="G1380" s="41">
        <v>5229</v>
      </c>
      <c r="H1380" s="41">
        <v>2354113375</v>
      </c>
      <c r="I1380" s="42">
        <v>9005</v>
      </c>
    </row>
    <row r="1381" spans="1:9" x14ac:dyDescent="0.25">
      <c r="A1381" t="s">
        <v>9</v>
      </c>
      <c r="B1381" s="39">
        <v>46073</v>
      </c>
      <c r="C1381" s="40">
        <v>0.375</v>
      </c>
      <c r="D1381" s="41">
        <v>5223.5</v>
      </c>
      <c r="E1381" s="41">
        <v>5227.5</v>
      </c>
      <c r="F1381" s="41">
        <v>5215</v>
      </c>
      <c r="G1381" s="41">
        <v>5227</v>
      </c>
      <c r="H1381" s="41">
        <v>1645753375</v>
      </c>
      <c r="I1381" s="42">
        <v>6305</v>
      </c>
    </row>
    <row r="1382" spans="1:9" x14ac:dyDescent="0.25">
      <c r="A1382" t="s">
        <v>9</v>
      </c>
      <c r="B1382" s="39">
        <v>46072</v>
      </c>
      <c r="C1382" s="40">
        <v>0.75</v>
      </c>
      <c r="D1382" s="41">
        <v>5226.5</v>
      </c>
      <c r="E1382" s="41">
        <v>5227.5</v>
      </c>
      <c r="F1382" s="41">
        <v>5222</v>
      </c>
      <c r="G1382" s="41">
        <v>5224</v>
      </c>
      <c r="H1382" s="41">
        <v>726199500</v>
      </c>
      <c r="I1382" s="42">
        <v>2780</v>
      </c>
    </row>
    <row r="1383" spans="1:9" x14ac:dyDescent="0.25">
      <c r="A1383" t="s">
        <v>9</v>
      </c>
      <c r="B1383" s="39">
        <v>46072</v>
      </c>
      <c r="C1383" s="40">
        <v>0.72916666666666663</v>
      </c>
      <c r="D1383" s="41">
        <v>5236.5</v>
      </c>
      <c r="E1383" s="41">
        <v>5236.5</v>
      </c>
      <c r="F1383" s="41">
        <v>5225</v>
      </c>
      <c r="G1383" s="41">
        <v>5227</v>
      </c>
      <c r="H1383" s="41">
        <v>2100288375</v>
      </c>
      <c r="I1383" s="42">
        <v>8030</v>
      </c>
    </row>
    <row r="1384" spans="1:9" x14ac:dyDescent="0.25">
      <c r="A1384" t="s">
        <v>9</v>
      </c>
      <c r="B1384" s="39">
        <v>46072</v>
      </c>
      <c r="C1384" s="40">
        <v>0.70833333333333337</v>
      </c>
      <c r="D1384" s="41">
        <v>5240</v>
      </c>
      <c r="E1384" s="41">
        <v>5240.5</v>
      </c>
      <c r="F1384" s="41">
        <v>5236</v>
      </c>
      <c r="G1384" s="41">
        <v>5236.5</v>
      </c>
      <c r="H1384" s="41">
        <v>2681080750</v>
      </c>
      <c r="I1384" s="42">
        <v>10235</v>
      </c>
    </row>
    <row r="1385" spans="1:9" x14ac:dyDescent="0.25">
      <c r="A1385" t="s">
        <v>9</v>
      </c>
      <c r="B1385" s="39">
        <v>46072</v>
      </c>
      <c r="C1385" s="40">
        <v>0.6875</v>
      </c>
      <c r="D1385" s="41">
        <v>5237</v>
      </c>
      <c r="E1385" s="41">
        <v>5244.5</v>
      </c>
      <c r="F1385" s="41">
        <v>5236.5</v>
      </c>
      <c r="G1385" s="41">
        <v>5240</v>
      </c>
      <c r="H1385" s="41">
        <v>2965058375</v>
      </c>
      <c r="I1385" s="42">
        <v>11315</v>
      </c>
    </row>
    <row r="1386" spans="1:9" x14ac:dyDescent="0.25">
      <c r="A1386" t="s">
        <v>9</v>
      </c>
      <c r="B1386" s="39">
        <v>46072</v>
      </c>
      <c r="C1386" s="40">
        <v>0.66666666666666663</v>
      </c>
      <c r="D1386" s="41">
        <v>5237.5</v>
      </c>
      <c r="E1386" s="41">
        <v>5240.5</v>
      </c>
      <c r="F1386" s="41">
        <v>5236</v>
      </c>
      <c r="G1386" s="41">
        <v>5236.5</v>
      </c>
      <c r="H1386" s="41">
        <v>2289281875</v>
      </c>
      <c r="I1386" s="42">
        <v>8740</v>
      </c>
    </row>
    <row r="1387" spans="1:9" x14ac:dyDescent="0.25">
      <c r="A1387" t="s">
        <v>9</v>
      </c>
      <c r="B1387" s="39">
        <v>46072</v>
      </c>
      <c r="C1387" s="40">
        <v>0.64583333333333337</v>
      </c>
      <c r="D1387" s="41">
        <v>5238.5</v>
      </c>
      <c r="E1387" s="41">
        <v>5241</v>
      </c>
      <c r="F1387" s="41">
        <v>5237</v>
      </c>
      <c r="G1387" s="41">
        <v>5237.5</v>
      </c>
      <c r="H1387" s="41">
        <v>1525608250</v>
      </c>
      <c r="I1387" s="42">
        <v>5825</v>
      </c>
    </row>
    <row r="1388" spans="1:9" x14ac:dyDescent="0.25">
      <c r="A1388" t="s">
        <v>9</v>
      </c>
      <c r="B1388" s="39">
        <v>46072</v>
      </c>
      <c r="C1388" s="40">
        <v>0.625</v>
      </c>
      <c r="D1388" s="41">
        <v>5242.5</v>
      </c>
      <c r="E1388" s="41">
        <v>5244</v>
      </c>
      <c r="F1388" s="41">
        <v>5238</v>
      </c>
      <c r="G1388" s="41">
        <v>5238.5</v>
      </c>
      <c r="H1388" s="41">
        <v>2156814000</v>
      </c>
      <c r="I1388" s="42">
        <v>8230</v>
      </c>
    </row>
    <row r="1389" spans="1:9" x14ac:dyDescent="0.25">
      <c r="A1389" t="s">
        <v>9</v>
      </c>
      <c r="B1389" s="39">
        <v>46072</v>
      </c>
      <c r="C1389" s="40">
        <v>0.60416666666666663</v>
      </c>
      <c r="D1389" s="41">
        <v>5236</v>
      </c>
      <c r="E1389" s="41">
        <v>5244.5</v>
      </c>
      <c r="F1389" s="41">
        <v>5233.5</v>
      </c>
      <c r="G1389" s="41">
        <v>5243</v>
      </c>
      <c r="H1389" s="41">
        <v>4190134625</v>
      </c>
      <c r="I1389">
        <v>15995</v>
      </c>
    </row>
    <row r="1390" spans="1:9" x14ac:dyDescent="0.25">
      <c r="A1390" t="s">
        <v>9</v>
      </c>
      <c r="B1390" s="39">
        <v>46072</v>
      </c>
      <c r="C1390" s="40">
        <v>0.58333333333333337</v>
      </c>
      <c r="D1390" s="41">
        <v>5237.5</v>
      </c>
      <c r="E1390" s="41">
        <v>5242</v>
      </c>
      <c r="F1390" s="41">
        <v>5234.5</v>
      </c>
      <c r="G1390" s="41">
        <v>5236.5</v>
      </c>
      <c r="H1390" s="41">
        <v>4014521875</v>
      </c>
      <c r="I1390" s="42">
        <v>15325</v>
      </c>
    </row>
    <row r="1391" spans="1:9" x14ac:dyDescent="0.25">
      <c r="A1391" t="s">
        <v>9</v>
      </c>
      <c r="B1391" s="39">
        <v>46072</v>
      </c>
      <c r="C1391" s="40">
        <v>0.5625</v>
      </c>
      <c r="D1391" s="41">
        <v>5237</v>
      </c>
      <c r="E1391" s="41">
        <v>5238.5</v>
      </c>
      <c r="F1391" s="41">
        <v>5233</v>
      </c>
      <c r="G1391" s="41">
        <v>5237</v>
      </c>
      <c r="H1391" s="41">
        <v>3954559750</v>
      </c>
      <c r="I1391" s="42">
        <v>15105</v>
      </c>
    </row>
    <row r="1392" spans="1:9" x14ac:dyDescent="0.25">
      <c r="A1392" t="s">
        <v>9</v>
      </c>
      <c r="B1392" s="39">
        <v>46072</v>
      </c>
      <c r="C1392" s="40">
        <v>0.54166666666666663</v>
      </c>
      <c r="D1392" s="41">
        <v>5228.5</v>
      </c>
      <c r="E1392" s="41">
        <v>5238.5</v>
      </c>
      <c r="F1392" s="41">
        <v>5227</v>
      </c>
      <c r="G1392" s="41">
        <v>5237.5</v>
      </c>
      <c r="H1392" s="41">
        <v>4293795250</v>
      </c>
      <c r="I1392" s="42">
        <v>16415</v>
      </c>
    </row>
    <row r="1393" spans="1:9" x14ac:dyDescent="0.25">
      <c r="A1393" t="s">
        <v>9</v>
      </c>
      <c r="B1393" s="39">
        <v>46072</v>
      </c>
      <c r="C1393" s="40">
        <v>0.52083333333333337</v>
      </c>
      <c r="D1393" s="41">
        <v>5234</v>
      </c>
      <c r="E1393" s="41">
        <v>5234.5</v>
      </c>
      <c r="F1393" s="41">
        <v>5227</v>
      </c>
      <c r="G1393" s="41">
        <v>5228.5</v>
      </c>
      <c r="H1393" s="41">
        <v>3424911750</v>
      </c>
      <c r="I1393" s="42">
        <v>13095</v>
      </c>
    </row>
    <row r="1394" spans="1:9" x14ac:dyDescent="0.25">
      <c r="A1394" t="s">
        <v>9</v>
      </c>
      <c r="B1394" s="39">
        <v>46072</v>
      </c>
      <c r="C1394" s="40">
        <v>0.5</v>
      </c>
      <c r="D1394" s="41">
        <v>5243</v>
      </c>
      <c r="E1394" s="41">
        <v>5246</v>
      </c>
      <c r="F1394" s="41">
        <v>5227</v>
      </c>
      <c r="G1394" s="41">
        <v>5233.5</v>
      </c>
      <c r="H1394" s="41">
        <v>10849215000</v>
      </c>
      <c r="I1394" s="42">
        <v>41445</v>
      </c>
    </row>
    <row r="1395" spans="1:9" x14ac:dyDescent="0.25">
      <c r="A1395" t="s">
        <v>9</v>
      </c>
      <c r="B1395" s="39">
        <v>46072</v>
      </c>
      <c r="C1395" s="40">
        <v>0.47916666666666669</v>
      </c>
      <c r="D1395" s="41">
        <v>5232.5</v>
      </c>
      <c r="E1395" s="41">
        <v>5245</v>
      </c>
      <c r="F1395" s="41">
        <v>5231.5</v>
      </c>
      <c r="G1395" s="41">
        <v>5243</v>
      </c>
      <c r="H1395" s="41">
        <v>7276544250</v>
      </c>
      <c r="I1395" s="42">
        <v>27775</v>
      </c>
    </row>
    <row r="1396" spans="1:9" x14ac:dyDescent="0.25">
      <c r="A1396" t="s">
        <v>9</v>
      </c>
      <c r="B1396" s="39">
        <v>46072</v>
      </c>
      <c r="C1396" s="40">
        <v>0.45833333333333331</v>
      </c>
      <c r="D1396" s="41">
        <v>5230</v>
      </c>
      <c r="E1396" s="41">
        <v>5238</v>
      </c>
      <c r="F1396" s="41">
        <v>5228.5</v>
      </c>
      <c r="G1396" s="41">
        <v>5233.5</v>
      </c>
      <c r="H1396" s="41">
        <v>7482616000</v>
      </c>
      <c r="I1396" s="42">
        <v>28600</v>
      </c>
    </row>
    <row r="1397" spans="1:9" x14ac:dyDescent="0.25">
      <c r="A1397" t="s">
        <v>9</v>
      </c>
      <c r="B1397" s="39">
        <v>46072</v>
      </c>
      <c r="C1397" s="40">
        <v>0.4375</v>
      </c>
      <c r="D1397" s="41">
        <v>5241</v>
      </c>
      <c r="E1397" s="41">
        <v>5243</v>
      </c>
      <c r="F1397" s="41">
        <v>5227</v>
      </c>
      <c r="G1397" s="41">
        <v>5229.5</v>
      </c>
      <c r="H1397" s="41">
        <v>9026174750</v>
      </c>
      <c r="I1397" s="42">
        <v>34500</v>
      </c>
    </row>
    <row r="1398" spans="1:9" x14ac:dyDescent="0.25">
      <c r="A1398" t="s">
        <v>9</v>
      </c>
      <c r="B1398" s="39">
        <v>46072</v>
      </c>
      <c r="C1398" s="40">
        <v>0.41666666666666669</v>
      </c>
      <c r="D1398" s="41">
        <v>5243.5</v>
      </c>
      <c r="E1398" s="41">
        <v>5253</v>
      </c>
      <c r="F1398" s="41">
        <v>5239.5</v>
      </c>
      <c r="G1398" s="41">
        <v>5240.5</v>
      </c>
      <c r="H1398" s="41">
        <v>7557584125</v>
      </c>
      <c r="I1398" s="42">
        <v>28815</v>
      </c>
    </row>
    <row r="1399" spans="1:9" x14ac:dyDescent="0.25">
      <c r="A1399" t="s">
        <v>9</v>
      </c>
      <c r="B1399" s="39">
        <v>46072</v>
      </c>
      <c r="C1399" s="40">
        <v>0.39583333333333331</v>
      </c>
      <c r="D1399" s="41">
        <v>5244</v>
      </c>
      <c r="E1399" s="41">
        <v>5246.5</v>
      </c>
      <c r="F1399" s="41">
        <v>5237.5</v>
      </c>
      <c r="G1399" s="41">
        <v>5244</v>
      </c>
      <c r="H1399" s="41">
        <v>4743356625</v>
      </c>
      <c r="I1399" s="42">
        <v>18095</v>
      </c>
    </row>
    <row r="1400" spans="1:9" x14ac:dyDescent="0.25">
      <c r="A1400" t="s">
        <v>9</v>
      </c>
      <c r="B1400" s="39">
        <v>46072</v>
      </c>
      <c r="C1400" s="40">
        <v>0.375</v>
      </c>
      <c r="D1400" s="41">
        <v>5260</v>
      </c>
      <c r="E1400" s="41">
        <v>5266.5</v>
      </c>
      <c r="F1400" s="41">
        <v>5240</v>
      </c>
      <c r="G1400" s="41">
        <v>5244.5</v>
      </c>
      <c r="H1400" s="41">
        <v>5655022500</v>
      </c>
      <c r="I1400" s="42">
        <v>21530</v>
      </c>
    </row>
    <row r="1401" spans="1:9" x14ac:dyDescent="0.25">
      <c r="A1401" t="s">
        <v>9</v>
      </c>
      <c r="B1401" s="39">
        <v>46071</v>
      </c>
      <c r="C1401" s="40">
        <v>0.75</v>
      </c>
      <c r="D1401" s="41">
        <v>5248.5</v>
      </c>
      <c r="E1401" s="41">
        <v>5253.5</v>
      </c>
      <c r="F1401" s="41">
        <v>5248</v>
      </c>
      <c r="G1401" s="41">
        <v>5249</v>
      </c>
      <c r="H1401" s="41">
        <v>707506500</v>
      </c>
      <c r="I1401" s="42">
        <v>2695</v>
      </c>
    </row>
    <row r="1402" spans="1:9" x14ac:dyDescent="0.25">
      <c r="A1402" t="s">
        <v>9</v>
      </c>
      <c r="B1402" s="39">
        <v>46071</v>
      </c>
      <c r="C1402" s="40">
        <v>0.72916666666666663</v>
      </c>
      <c r="D1402" s="41">
        <v>5254</v>
      </c>
      <c r="E1402" s="41">
        <v>5254</v>
      </c>
      <c r="F1402" s="41">
        <v>5248</v>
      </c>
      <c r="G1402" s="41">
        <v>5248.5</v>
      </c>
      <c r="H1402" s="41">
        <v>620774750</v>
      </c>
      <c r="I1402" s="42">
        <v>2365</v>
      </c>
    </row>
    <row r="1403" spans="1:9" x14ac:dyDescent="0.25">
      <c r="A1403" t="s">
        <v>9</v>
      </c>
      <c r="B1403" s="39">
        <v>46071</v>
      </c>
      <c r="C1403" s="40">
        <v>0.70833333333333337</v>
      </c>
      <c r="D1403" s="41">
        <v>5255.5</v>
      </c>
      <c r="E1403" s="41">
        <v>5255.5</v>
      </c>
      <c r="F1403" s="41">
        <v>5248</v>
      </c>
      <c r="G1403" s="41">
        <v>5254.5</v>
      </c>
      <c r="H1403" s="41">
        <v>1972301250</v>
      </c>
      <c r="I1403" s="42">
        <v>7510</v>
      </c>
    </row>
    <row r="1404" spans="1:9" x14ac:dyDescent="0.25">
      <c r="A1404" t="s">
        <v>9</v>
      </c>
      <c r="B1404" s="39">
        <v>46071</v>
      </c>
      <c r="C1404" s="40">
        <v>0.6875</v>
      </c>
      <c r="D1404" s="41">
        <v>5256.5</v>
      </c>
      <c r="E1404" s="41">
        <v>5261</v>
      </c>
      <c r="F1404" s="41">
        <v>5254.5</v>
      </c>
      <c r="G1404" s="41">
        <v>5255.5</v>
      </c>
      <c r="H1404" s="41">
        <v>1745825125</v>
      </c>
      <c r="I1404" s="42">
        <v>6640</v>
      </c>
    </row>
    <row r="1405" spans="1:9" x14ac:dyDescent="0.25">
      <c r="A1405" t="s">
        <v>9</v>
      </c>
      <c r="B1405" s="39">
        <v>46071</v>
      </c>
      <c r="C1405" s="40">
        <v>0.66666666666666663</v>
      </c>
      <c r="D1405" s="41">
        <v>5254</v>
      </c>
      <c r="E1405" s="41">
        <v>5258</v>
      </c>
      <c r="F1405" s="41">
        <v>5252.5</v>
      </c>
      <c r="G1405" s="41">
        <v>5257</v>
      </c>
      <c r="H1405" s="41">
        <v>1897194375</v>
      </c>
      <c r="I1405" s="42">
        <v>7220</v>
      </c>
    </row>
    <row r="1406" spans="1:9" x14ac:dyDescent="0.25">
      <c r="A1406" t="s">
        <v>9</v>
      </c>
      <c r="B1406" s="39">
        <v>46071</v>
      </c>
      <c r="C1406" s="40">
        <v>0.64583333333333337</v>
      </c>
      <c r="D1406" s="41">
        <v>5255.5</v>
      </c>
      <c r="E1406" s="41">
        <v>5262</v>
      </c>
      <c r="F1406" s="41">
        <v>5250</v>
      </c>
      <c r="G1406" s="41">
        <v>5254.5</v>
      </c>
      <c r="H1406" s="41">
        <v>3351891500</v>
      </c>
      <c r="I1406" s="42">
        <v>12755</v>
      </c>
    </row>
    <row r="1407" spans="1:9" x14ac:dyDescent="0.25">
      <c r="A1407" t="s">
        <v>9</v>
      </c>
      <c r="B1407" s="39">
        <v>46071</v>
      </c>
      <c r="C1407" s="40">
        <v>0.625</v>
      </c>
      <c r="D1407" s="41">
        <v>5240</v>
      </c>
      <c r="E1407" s="41">
        <v>5259.5</v>
      </c>
      <c r="F1407" s="41">
        <v>5239.5</v>
      </c>
      <c r="G1407" s="41">
        <v>5256</v>
      </c>
      <c r="H1407" s="41">
        <v>3573693750</v>
      </c>
      <c r="I1407" s="42">
        <v>13610</v>
      </c>
    </row>
    <row r="1408" spans="1:9" x14ac:dyDescent="0.25">
      <c r="A1408" t="s">
        <v>9</v>
      </c>
      <c r="B1408" s="39">
        <v>46071</v>
      </c>
      <c r="C1408" s="40">
        <v>0.60416666666666663</v>
      </c>
      <c r="D1408" s="41">
        <v>5237</v>
      </c>
      <c r="E1408" s="41">
        <v>5248</v>
      </c>
      <c r="F1408" s="41">
        <v>5234</v>
      </c>
      <c r="G1408" s="41">
        <v>5240</v>
      </c>
      <c r="H1408" s="41">
        <v>3599291125</v>
      </c>
      <c r="I1408" s="42">
        <v>13730</v>
      </c>
    </row>
    <row r="1409" spans="1:9" x14ac:dyDescent="0.25">
      <c r="A1409" t="s">
        <v>9</v>
      </c>
      <c r="B1409" s="39">
        <v>46071</v>
      </c>
      <c r="C1409" s="40">
        <v>0.58333333333333337</v>
      </c>
      <c r="D1409" s="41">
        <v>5228</v>
      </c>
      <c r="E1409" s="41">
        <v>5237.5</v>
      </c>
      <c r="F1409" s="41">
        <v>5225</v>
      </c>
      <c r="G1409" s="41">
        <v>5237</v>
      </c>
      <c r="H1409" s="41">
        <v>5099984625</v>
      </c>
      <c r="I1409" s="42">
        <v>19505</v>
      </c>
    </row>
    <row r="1410" spans="1:9" x14ac:dyDescent="0.25">
      <c r="A1410" t="s">
        <v>9</v>
      </c>
      <c r="B1410" s="39">
        <v>46071</v>
      </c>
      <c r="C1410" s="40">
        <v>0.5625</v>
      </c>
      <c r="D1410" s="41">
        <v>5220</v>
      </c>
      <c r="E1410" s="41">
        <v>5228.5</v>
      </c>
      <c r="F1410" s="41">
        <v>5219</v>
      </c>
      <c r="G1410" s="41">
        <v>5228</v>
      </c>
      <c r="H1410" s="41">
        <v>4155433625</v>
      </c>
      <c r="I1410" s="42">
        <v>15905</v>
      </c>
    </row>
    <row r="1411" spans="1:9" x14ac:dyDescent="0.25">
      <c r="A1411" t="s">
        <v>9</v>
      </c>
      <c r="B1411" s="39">
        <v>46071</v>
      </c>
      <c r="C1411" s="40">
        <v>0.54166666666666663</v>
      </c>
      <c r="D1411" s="41">
        <v>5220</v>
      </c>
      <c r="E1411" s="41">
        <v>5230</v>
      </c>
      <c r="F1411" s="41">
        <v>5205.5</v>
      </c>
      <c r="G1411" s="41">
        <v>5220</v>
      </c>
      <c r="H1411" s="41">
        <v>6072781375</v>
      </c>
      <c r="I1411" s="42">
        <v>23275</v>
      </c>
    </row>
    <row r="1412" spans="1:9" x14ac:dyDescent="0.25">
      <c r="A1412" t="s">
        <v>9</v>
      </c>
      <c r="B1412" s="39">
        <v>46066</v>
      </c>
      <c r="C1412" s="40">
        <v>0.75</v>
      </c>
      <c r="D1412" s="41">
        <v>5236.5</v>
      </c>
      <c r="E1412" s="41">
        <v>5236.5</v>
      </c>
      <c r="F1412" s="41">
        <v>5231</v>
      </c>
      <c r="G1412" s="41">
        <v>5231</v>
      </c>
      <c r="H1412" s="41">
        <v>850554625</v>
      </c>
      <c r="I1412" s="42">
        <v>3250</v>
      </c>
    </row>
    <row r="1413" spans="1:9" x14ac:dyDescent="0.25">
      <c r="A1413" t="s">
        <v>9</v>
      </c>
      <c r="B1413" s="39">
        <v>46066</v>
      </c>
      <c r="C1413" s="40">
        <v>0.72916666666666663</v>
      </c>
      <c r="D1413" s="41">
        <v>5242</v>
      </c>
      <c r="E1413" s="41">
        <v>5242.5</v>
      </c>
      <c r="F1413" s="41">
        <v>5236</v>
      </c>
      <c r="G1413" s="41">
        <v>5236.5</v>
      </c>
      <c r="H1413" s="41">
        <v>1601761625</v>
      </c>
      <c r="I1413" s="42">
        <v>6115</v>
      </c>
    </row>
    <row r="1414" spans="1:9" x14ac:dyDescent="0.25">
      <c r="A1414" t="s">
        <v>9</v>
      </c>
      <c r="B1414" s="39">
        <v>46066</v>
      </c>
      <c r="C1414" s="40">
        <v>0.70833333333333337</v>
      </c>
      <c r="D1414" s="41">
        <v>5245</v>
      </c>
      <c r="E1414" s="41">
        <v>5245</v>
      </c>
      <c r="F1414" s="41">
        <v>5238.5</v>
      </c>
      <c r="G1414" s="41">
        <v>5242</v>
      </c>
      <c r="H1414" s="41">
        <v>1208398000</v>
      </c>
      <c r="I1414" s="42">
        <v>4610</v>
      </c>
    </row>
    <row r="1415" spans="1:9" x14ac:dyDescent="0.25">
      <c r="A1415" t="s">
        <v>9</v>
      </c>
      <c r="B1415" s="39">
        <v>46066</v>
      </c>
      <c r="C1415" s="40">
        <v>0.6875</v>
      </c>
      <c r="D1415" s="41">
        <v>5240</v>
      </c>
      <c r="E1415" s="41">
        <v>5245.5</v>
      </c>
      <c r="F1415" s="41">
        <v>5238.5</v>
      </c>
      <c r="G1415" s="41">
        <v>5244.5</v>
      </c>
      <c r="H1415" s="41">
        <v>1758275000</v>
      </c>
      <c r="I1415" s="42">
        <v>6710</v>
      </c>
    </row>
    <row r="1416" spans="1:9" x14ac:dyDescent="0.25">
      <c r="A1416" t="s">
        <v>9</v>
      </c>
      <c r="B1416" s="39">
        <v>46066</v>
      </c>
      <c r="C1416" s="40">
        <v>0.66666666666666663</v>
      </c>
      <c r="D1416" s="41">
        <v>5240.5</v>
      </c>
      <c r="E1416" s="41">
        <v>5243</v>
      </c>
      <c r="F1416" s="41">
        <v>5236.5</v>
      </c>
      <c r="G1416" s="41">
        <v>5240</v>
      </c>
      <c r="H1416" s="41">
        <v>2010520250</v>
      </c>
      <c r="I1416" s="42">
        <v>7675</v>
      </c>
    </row>
    <row r="1417" spans="1:9" x14ac:dyDescent="0.25">
      <c r="A1417" t="s">
        <v>9</v>
      </c>
      <c r="B1417" s="39">
        <v>46066</v>
      </c>
      <c r="C1417" s="40">
        <v>0.64583333333333337</v>
      </c>
      <c r="D1417" s="41">
        <v>5241</v>
      </c>
      <c r="E1417" s="41">
        <v>5241.5</v>
      </c>
      <c r="F1417" s="41">
        <v>5234</v>
      </c>
      <c r="G1417" s="41">
        <v>5240.5</v>
      </c>
      <c r="H1417" s="41">
        <v>1479839875</v>
      </c>
      <c r="I1417" s="42">
        <v>5650</v>
      </c>
    </row>
    <row r="1418" spans="1:9" x14ac:dyDescent="0.25">
      <c r="A1418" t="s">
        <v>9</v>
      </c>
      <c r="B1418" s="39">
        <v>46066</v>
      </c>
      <c r="C1418" s="40">
        <v>0.625</v>
      </c>
      <c r="D1418" s="41">
        <v>5235.5</v>
      </c>
      <c r="E1418" s="41">
        <v>5245.5</v>
      </c>
      <c r="F1418" s="41">
        <v>5234</v>
      </c>
      <c r="G1418" s="41">
        <v>5240.5</v>
      </c>
      <c r="H1418" s="41">
        <v>3106261500</v>
      </c>
      <c r="I1418" s="42">
        <v>11855</v>
      </c>
    </row>
    <row r="1419" spans="1:9" x14ac:dyDescent="0.25">
      <c r="A1419" t="s">
        <v>9</v>
      </c>
      <c r="B1419" s="39">
        <v>46066</v>
      </c>
      <c r="C1419" s="40">
        <v>0.60416666666666663</v>
      </c>
      <c r="D1419" s="41">
        <v>5239.5</v>
      </c>
      <c r="E1419" s="41">
        <v>5242</v>
      </c>
      <c r="F1419" s="41">
        <v>5233</v>
      </c>
      <c r="G1419" s="41">
        <v>5236.5</v>
      </c>
      <c r="H1419" s="41">
        <v>6077355375</v>
      </c>
      <c r="I1419" s="42">
        <v>23210</v>
      </c>
    </row>
    <row r="1420" spans="1:9" x14ac:dyDescent="0.25">
      <c r="A1420" t="s">
        <v>9</v>
      </c>
      <c r="B1420" s="39">
        <v>46066</v>
      </c>
      <c r="C1420" s="40">
        <v>0.58333333333333337</v>
      </c>
      <c r="D1420" s="41">
        <v>5244.5</v>
      </c>
      <c r="E1420" s="41">
        <v>5247</v>
      </c>
      <c r="F1420" s="41">
        <v>5238</v>
      </c>
      <c r="G1420" s="41">
        <v>5239</v>
      </c>
      <c r="H1420" s="41">
        <v>2732496750</v>
      </c>
      <c r="I1420" s="42">
        <v>10425</v>
      </c>
    </row>
    <row r="1421" spans="1:9" x14ac:dyDescent="0.25">
      <c r="A1421" t="s">
        <v>9</v>
      </c>
      <c r="B1421" s="39">
        <v>46066</v>
      </c>
      <c r="C1421" s="40">
        <v>0.5625</v>
      </c>
      <c r="D1421" s="41">
        <v>5243.5</v>
      </c>
      <c r="E1421" s="41">
        <v>5249</v>
      </c>
      <c r="F1421" s="41">
        <v>5240.5</v>
      </c>
      <c r="G1421" s="41">
        <v>5244</v>
      </c>
      <c r="H1421" s="41">
        <v>3453363500</v>
      </c>
      <c r="I1421" s="42">
        <v>13170</v>
      </c>
    </row>
    <row r="1422" spans="1:9" x14ac:dyDescent="0.25">
      <c r="A1422" t="s">
        <v>9</v>
      </c>
      <c r="B1422" s="39">
        <v>46066</v>
      </c>
      <c r="C1422" s="40">
        <v>0.54166666666666663</v>
      </c>
      <c r="D1422" s="41">
        <v>5251</v>
      </c>
      <c r="E1422" s="41">
        <v>5254</v>
      </c>
      <c r="F1422" s="41">
        <v>5241</v>
      </c>
      <c r="G1422" s="41">
        <v>5244</v>
      </c>
      <c r="H1422" s="41">
        <v>2520338875</v>
      </c>
      <c r="I1422" s="42">
        <v>9610</v>
      </c>
    </row>
    <row r="1423" spans="1:9" x14ac:dyDescent="0.25">
      <c r="A1423" t="s">
        <v>9</v>
      </c>
      <c r="B1423" s="39">
        <v>46066</v>
      </c>
      <c r="C1423" s="40">
        <v>0.52083333333333337</v>
      </c>
      <c r="D1423" s="41">
        <v>5248.5</v>
      </c>
      <c r="E1423" s="41">
        <v>5254</v>
      </c>
      <c r="F1423" s="41">
        <v>5242</v>
      </c>
      <c r="G1423" s="41">
        <v>5251</v>
      </c>
      <c r="H1423" s="41">
        <v>5763391875</v>
      </c>
      <c r="I1423" s="42">
        <v>21970</v>
      </c>
    </row>
    <row r="1424" spans="1:9" x14ac:dyDescent="0.25">
      <c r="A1424" t="s">
        <v>9</v>
      </c>
      <c r="B1424" s="39">
        <v>46066</v>
      </c>
      <c r="C1424" s="40">
        <v>0.5</v>
      </c>
      <c r="D1424" s="41">
        <v>5254</v>
      </c>
      <c r="E1424" s="41">
        <v>5264.5</v>
      </c>
      <c r="F1424" s="41">
        <v>5246.5</v>
      </c>
      <c r="G1424" s="41">
        <v>5248</v>
      </c>
      <c r="H1424" s="41">
        <v>5277777000</v>
      </c>
      <c r="I1424" s="42">
        <v>20085</v>
      </c>
    </row>
    <row r="1425" spans="1:9" x14ac:dyDescent="0.25">
      <c r="A1425" t="s">
        <v>9</v>
      </c>
      <c r="B1425" s="39">
        <v>46066</v>
      </c>
      <c r="C1425" s="40">
        <v>0.47916666666666669</v>
      </c>
      <c r="D1425" s="41">
        <v>5229.5</v>
      </c>
      <c r="E1425" s="41">
        <v>5263.5</v>
      </c>
      <c r="F1425" s="41">
        <v>5229</v>
      </c>
      <c r="G1425" s="41">
        <v>5254</v>
      </c>
      <c r="H1425" s="41">
        <v>11557862380</v>
      </c>
      <c r="I1425" s="42">
        <v>44015</v>
      </c>
    </row>
    <row r="1426" spans="1:9" x14ac:dyDescent="0.25">
      <c r="A1426" t="s">
        <v>9</v>
      </c>
      <c r="B1426" s="39">
        <v>46066</v>
      </c>
      <c r="C1426" s="40">
        <v>0.45833333333333331</v>
      </c>
      <c r="D1426" s="41">
        <v>5235</v>
      </c>
      <c r="E1426" s="41">
        <v>5237.5</v>
      </c>
      <c r="F1426" s="41">
        <v>5225.5</v>
      </c>
      <c r="G1426" s="41">
        <v>5230</v>
      </c>
      <c r="H1426" s="41">
        <v>5675231000</v>
      </c>
      <c r="I1426" s="42">
        <v>21700</v>
      </c>
    </row>
    <row r="1427" spans="1:9" x14ac:dyDescent="0.25">
      <c r="A1427" t="s">
        <v>9</v>
      </c>
      <c r="B1427" s="39">
        <v>46066</v>
      </c>
      <c r="C1427" s="40">
        <v>0.4375</v>
      </c>
      <c r="D1427" s="41">
        <v>5228</v>
      </c>
      <c r="E1427" s="41">
        <v>5241</v>
      </c>
      <c r="F1427" s="41">
        <v>5218</v>
      </c>
      <c r="G1427" s="41">
        <v>5234</v>
      </c>
      <c r="H1427" s="41">
        <v>6333260125</v>
      </c>
      <c r="I1427">
        <v>24225</v>
      </c>
    </row>
    <row r="1428" spans="1:9" x14ac:dyDescent="0.25">
      <c r="A1428" t="s">
        <v>9</v>
      </c>
      <c r="B1428" s="39">
        <v>46066</v>
      </c>
      <c r="C1428" s="40">
        <v>0.41666666666666669</v>
      </c>
      <c r="D1428" s="41">
        <v>5227.5</v>
      </c>
      <c r="E1428" s="41">
        <v>5237</v>
      </c>
      <c r="F1428" s="41">
        <v>5226.5</v>
      </c>
      <c r="G1428" s="41">
        <v>5228.5</v>
      </c>
      <c r="H1428" s="41">
        <v>4818930875</v>
      </c>
      <c r="I1428" s="42">
        <v>18420</v>
      </c>
    </row>
    <row r="1429" spans="1:9" x14ac:dyDescent="0.25">
      <c r="A1429" t="s">
        <v>9</v>
      </c>
      <c r="B1429" s="39">
        <v>46066</v>
      </c>
      <c r="C1429" s="40">
        <v>0.39583333333333331</v>
      </c>
      <c r="D1429" s="41">
        <v>5234.5</v>
      </c>
      <c r="E1429" s="41">
        <v>5242.5</v>
      </c>
      <c r="F1429" s="41">
        <v>5226.5</v>
      </c>
      <c r="G1429" s="41">
        <v>5227</v>
      </c>
      <c r="H1429" s="41">
        <v>3237082000</v>
      </c>
      <c r="I1429" s="42">
        <v>12370</v>
      </c>
    </row>
    <row r="1430" spans="1:9" x14ac:dyDescent="0.25">
      <c r="A1430" t="s">
        <v>9</v>
      </c>
      <c r="B1430" s="39">
        <v>46066</v>
      </c>
      <c r="C1430" s="40">
        <v>0.375</v>
      </c>
      <c r="D1430" s="41">
        <v>5234</v>
      </c>
      <c r="E1430" s="41">
        <v>5244.5</v>
      </c>
      <c r="F1430" s="41">
        <v>5227</v>
      </c>
      <c r="G1430" s="41">
        <v>5234.5</v>
      </c>
      <c r="H1430" s="41">
        <v>3005681375</v>
      </c>
      <c r="I1430" s="42">
        <v>11480</v>
      </c>
    </row>
    <row r="1431" spans="1:9" x14ac:dyDescent="0.25">
      <c r="A1431" t="s">
        <v>9</v>
      </c>
      <c r="B1431" s="39">
        <v>46065</v>
      </c>
      <c r="C1431" s="40">
        <v>0.75</v>
      </c>
      <c r="D1431" s="41">
        <v>5228.5</v>
      </c>
      <c r="E1431" s="41">
        <v>5232.5</v>
      </c>
      <c r="F1431" s="41">
        <v>5226</v>
      </c>
      <c r="G1431" s="41">
        <v>5228.5</v>
      </c>
      <c r="H1431" s="41">
        <v>1541182125</v>
      </c>
      <c r="I1431" s="42">
        <v>5895</v>
      </c>
    </row>
    <row r="1432" spans="1:9" x14ac:dyDescent="0.25">
      <c r="A1432" t="s">
        <v>9</v>
      </c>
      <c r="B1432" s="39">
        <v>46065</v>
      </c>
      <c r="C1432" s="40">
        <v>0.72916666666666663</v>
      </c>
      <c r="D1432" s="41">
        <v>5221</v>
      </c>
      <c r="E1432" s="41">
        <v>5234.5</v>
      </c>
      <c r="F1432" s="41">
        <v>5219.5</v>
      </c>
      <c r="G1432" s="41">
        <v>5230</v>
      </c>
      <c r="H1432" s="41">
        <v>3032352875</v>
      </c>
      <c r="I1432" s="42">
        <v>11610</v>
      </c>
    </row>
    <row r="1433" spans="1:9" x14ac:dyDescent="0.25">
      <c r="A1433" t="s">
        <v>9</v>
      </c>
      <c r="B1433" s="39">
        <v>46065</v>
      </c>
      <c r="C1433" s="40">
        <v>0.70833333333333337</v>
      </c>
      <c r="D1433" s="41">
        <v>5215.5</v>
      </c>
      <c r="E1433" s="41">
        <v>5221</v>
      </c>
      <c r="F1433" s="41">
        <v>5215.5</v>
      </c>
      <c r="G1433" s="41">
        <v>5221</v>
      </c>
      <c r="H1433" s="41">
        <v>2383754000</v>
      </c>
      <c r="I1433" s="42">
        <v>9135</v>
      </c>
    </row>
    <row r="1434" spans="1:9" x14ac:dyDescent="0.25">
      <c r="A1434" t="s">
        <v>9</v>
      </c>
      <c r="B1434" s="39">
        <v>46065</v>
      </c>
      <c r="C1434" s="40">
        <v>0.6875</v>
      </c>
      <c r="D1434" s="41">
        <v>5219</v>
      </c>
      <c r="E1434" s="41">
        <v>5219.5</v>
      </c>
      <c r="F1434" s="41">
        <v>5213</v>
      </c>
      <c r="G1434" s="41">
        <v>5215.5</v>
      </c>
      <c r="H1434" s="41">
        <v>877473000</v>
      </c>
      <c r="I1434" s="42">
        <v>3365</v>
      </c>
    </row>
    <row r="1435" spans="1:9" x14ac:dyDescent="0.25">
      <c r="A1435" t="s">
        <v>9</v>
      </c>
      <c r="B1435" s="39">
        <v>46065</v>
      </c>
      <c r="C1435" s="40">
        <v>0.66666666666666663</v>
      </c>
      <c r="D1435" s="41">
        <v>5222.5</v>
      </c>
      <c r="E1435" s="41">
        <v>5225.5</v>
      </c>
      <c r="F1435" s="41">
        <v>5215</v>
      </c>
      <c r="G1435" s="41">
        <v>5219.5</v>
      </c>
      <c r="H1435" s="41">
        <v>3808770500</v>
      </c>
      <c r="I1435" s="42">
        <v>14595</v>
      </c>
    </row>
    <row r="1436" spans="1:9" x14ac:dyDescent="0.25">
      <c r="A1436" t="s">
        <v>9</v>
      </c>
      <c r="B1436" s="39">
        <v>46065</v>
      </c>
      <c r="C1436" s="40">
        <v>0.64583333333333337</v>
      </c>
      <c r="D1436" s="41">
        <v>5223</v>
      </c>
      <c r="E1436" s="41">
        <v>5226.5</v>
      </c>
      <c r="F1436" s="41">
        <v>5219</v>
      </c>
      <c r="G1436" s="41">
        <v>5222.5</v>
      </c>
      <c r="H1436" s="41">
        <v>4050372875</v>
      </c>
      <c r="I1436" s="42">
        <v>15510</v>
      </c>
    </row>
    <row r="1437" spans="1:9" x14ac:dyDescent="0.25">
      <c r="A1437" t="s">
        <v>9</v>
      </c>
      <c r="B1437" s="39">
        <v>46065</v>
      </c>
      <c r="C1437" s="40">
        <v>0.625</v>
      </c>
      <c r="D1437" s="41">
        <v>5213.5</v>
      </c>
      <c r="E1437" s="41">
        <v>5224</v>
      </c>
      <c r="F1437" s="41">
        <v>5211</v>
      </c>
      <c r="G1437" s="41">
        <v>5221.5</v>
      </c>
      <c r="H1437" s="41">
        <v>7395247375</v>
      </c>
      <c r="I1437" s="42">
        <v>28335</v>
      </c>
    </row>
    <row r="1438" spans="1:9" x14ac:dyDescent="0.25">
      <c r="A1438" t="s">
        <v>9</v>
      </c>
      <c r="B1438" s="39">
        <v>46065</v>
      </c>
      <c r="C1438" s="40">
        <v>0.60416666666666663</v>
      </c>
      <c r="D1438" s="41">
        <v>5218</v>
      </c>
      <c r="E1438" s="41">
        <v>5219</v>
      </c>
      <c r="F1438" s="41">
        <v>5209</v>
      </c>
      <c r="G1438" s="41">
        <v>5213</v>
      </c>
      <c r="H1438" s="41">
        <v>3915507375</v>
      </c>
      <c r="I1438" s="42">
        <v>15025</v>
      </c>
    </row>
    <row r="1439" spans="1:9" x14ac:dyDescent="0.25">
      <c r="A1439" t="s">
        <v>9</v>
      </c>
      <c r="B1439" s="39">
        <v>46065</v>
      </c>
      <c r="C1439" s="40">
        <v>0.58333333333333337</v>
      </c>
      <c r="D1439" s="41">
        <v>5213</v>
      </c>
      <c r="E1439" s="41">
        <v>5222</v>
      </c>
      <c r="F1439" s="41">
        <v>5212</v>
      </c>
      <c r="G1439" s="41">
        <v>5218</v>
      </c>
      <c r="H1439" s="41">
        <v>3883478875</v>
      </c>
      <c r="I1439" s="42">
        <v>14890</v>
      </c>
    </row>
    <row r="1440" spans="1:9" x14ac:dyDescent="0.25">
      <c r="A1440" t="s">
        <v>9</v>
      </c>
      <c r="B1440" s="39">
        <v>46065</v>
      </c>
      <c r="C1440" s="40">
        <v>0.5625</v>
      </c>
      <c r="D1440" s="41">
        <v>5217</v>
      </c>
      <c r="E1440" s="41">
        <v>5217</v>
      </c>
      <c r="F1440" s="41">
        <v>5199.5</v>
      </c>
      <c r="G1440" s="41">
        <v>5213</v>
      </c>
      <c r="H1440" s="41">
        <v>4528148250</v>
      </c>
      <c r="I1440" s="42">
        <v>17385</v>
      </c>
    </row>
    <row r="1441" spans="1:9" x14ac:dyDescent="0.25">
      <c r="A1441" t="s">
        <v>9</v>
      </c>
      <c r="B1441" s="39">
        <v>46065</v>
      </c>
      <c r="C1441" s="40">
        <v>0.54166666666666663</v>
      </c>
      <c r="D1441" s="41">
        <v>5187.5</v>
      </c>
      <c r="E1441" s="41">
        <v>5219</v>
      </c>
      <c r="F1441" s="41">
        <v>5183</v>
      </c>
      <c r="G1441" s="41">
        <v>5217</v>
      </c>
      <c r="H1441" s="41">
        <v>8410884500</v>
      </c>
      <c r="I1441" s="42">
        <v>32335</v>
      </c>
    </row>
    <row r="1442" spans="1:9" x14ac:dyDescent="0.25">
      <c r="A1442" t="s">
        <v>9</v>
      </c>
      <c r="B1442" s="39">
        <v>46065</v>
      </c>
      <c r="C1442" s="40">
        <v>0.52083333333333337</v>
      </c>
      <c r="D1442" s="41">
        <v>5181</v>
      </c>
      <c r="E1442" s="41">
        <v>5189</v>
      </c>
      <c r="F1442" s="41">
        <v>5178.5</v>
      </c>
      <c r="G1442" s="41">
        <v>5187.5</v>
      </c>
      <c r="H1442" s="41">
        <v>5320856125</v>
      </c>
      <c r="I1442" s="42">
        <v>20530</v>
      </c>
    </row>
    <row r="1443" spans="1:9" x14ac:dyDescent="0.25">
      <c r="A1443" t="s">
        <v>9</v>
      </c>
      <c r="B1443" s="39">
        <v>46065</v>
      </c>
      <c r="C1443" s="40">
        <v>0.5</v>
      </c>
      <c r="D1443" s="41">
        <v>5177.5</v>
      </c>
      <c r="E1443" s="41">
        <v>5181</v>
      </c>
      <c r="F1443" s="41">
        <v>5171.5</v>
      </c>
      <c r="G1443" s="41">
        <v>5180.5</v>
      </c>
      <c r="H1443" s="41">
        <v>3571898625</v>
      </c>
      <c r="I1443" s="42">
        <v>13800</v>
      </c>
    </row>
    <row r="1444" spans="1:9" x14ac:dyDescent="0.25">
      <c r="A1444" t="s">
        <v>9</v>
      </c>
      <c r="B1444" s="39">
        <v>46065</v>
      </c>
      <c r="C1444" s="40">
        <v>0.47916666666666669</v>
      </c>
      <c r="D1444" s="41">
        <v>5181.5</v>
      </c>
      <c r="E1444" s="41">
        <v>5183</v>
      </c>
      <c r="F1444" s="41">
        <v>5172.5</v>
      </c>
      <c r="G1444" s="41">
        <v>5177.5</v>
      </c>
      <c r="H1444" s="41">
        <v>4879794750</v>
      </c>
      <c r="I1444" s="42">
        <v>18850</v>
      </c>
    </row>
    <row r="1445" spans="1:9" x14ac:dyDescent="0.25">
      <c r="A1445" t="s">
        <v>9</v>
      </c>
      <c r="B1445" s="39">
        <v>46065</v>
      </c>
      <c r="C1445" s="40">
        <v>0.45833333333333331</v>
      </c>
      <c r="D1445" s="41">
        <v>5179.5</v>
      </c>
      <c r="E1445" s="41">
        <v>5182</v>
      </c>
      <c r="F1445" s="41">
        <v>5174.5</v>
      </c>
      <c r="G1445" s="41">
        <v>5182</v>
      </c>
      <c r="H1445" s="41">
        <v>3736208875</v>
      </c>
      <c r="I1445" s="42">
        <v>14430</v>
      </c>
    </row>
    <row r="1446" spans="1:9" x14ac:dyDescent="0.25">
      <c r="A1446" t="s">
        <v>9</v>
      </c>
      <c r="B1446" s="39">
        <v>46065</v>
      </c>
      <c r="C1446" s="40">
        <v>0.4375</v>
      </c>
      <c r="D1446" s="41">
        <v>5193</v>
      </c>
      <c r="E1446" s="41">
        <v>5194.5</v>
      </c>
      <c r="F1446" s="41">
        <v>5179</v>
      </c>
      <c r="G1446" s="41">
        <v>5180</v>
      </c>
      <c r="H1446" s="41">
        <v>6479274375</v>
      </c>
      <c r="I1446" s="42">
        <v>24985</v>
      </c>
    </row>
    <row r="1447" spans="1:9" x14ac:dyDescent="0.25">
      <c r="A1447" t="s">
        <v>9</v>
      </c>
      <c r="B1447" s="39">
        <v>46065</v>
      </c>
      <c r="C1447" s="40">
        <v>0.41666666666666669</v>
      </c>
      <c r="D1447" s="41">
        <v>5192.5</v>
      </c>
      <c r="E1447" s="41">
        <v>5195.5</v>
      </c>
      <c r="F1447" s="41">
        <v>5190.5</v>
      </c>
      <c r="G1447" s="41">
        <v>5192.5</v>
      </c>
      <c r="H1447" s="41">
        <v>4398579375</v>
      </c>
      <c r="I1447" s="42">
        <v>16940</v>
      </c>
    </row>
    <row r="1448" spans="1:9" x14ac:dyDescent="0.25">
      <c r="A1448" t="s">
        <v>9</v>
      </c>
      <c r="B1448" s="39">
        <v>46065</v>
      </c>
      <c r="C1448" s="40">
        <v>0.39583333333333331</v>
      </c>
      <c r="D1448" s="41">
        <v>5192</v>
      </c>
      <c r="E1448" s="41">
        <v>5201.5</v>
      </c>
      <c r="F1448" s="41">
        <v>5190</v>
      </c>
      <c r="G1448" s="41">
        <v>5193</v>
      </c>
      <c r="H1448" s="41">
        <v>2528242375</v>
      </c>
      <c r="I1448" s="42">
        <v>9730</v>
      </c>
    </row>
    <row r="1449" spans="1:9" x14ac:dyDescent="0.25">
      <c r="A1449" t="s">
        <v>9</v>
      </c>
      <c r="B1449" s="39">
        <v>46065</v>
      </c>
      <c r="C1449" s="40">
        <v>0.375</v>
      </c>
      <c r="D1449" s="41">
        <v>5194</v>
      </c>
      <c r="E1449" s="41">
        <v>5195.5</v>
      </c>
      <c r="F1449" s="41">
        <v>5186</v>
      </c>
      <c r="G1449" s="41">
        <v>5191.5</v>
      </c>
      <c r="H1449" s="41">
        <v>3685597375</v>
      </c>
      <c r="I1449" s="42">
        <v>14200</v>
      </c>
    </row>
    <row r="1450" spans="1:9" x14ac:dyDescent="0.25">
      <c r="A1450" t="s">
        <v>9</v>
      </c>
      <c r="B1450" s="39">
        <v>46064</v>
      </c>
      <c r="C1450" s="40">
        <v>0.75</v>
      </c>
      <c r="D1450" s="41">
        <v>5200.5</v>
      </c>
      <c r="E1450" s="41">
        <v>5202</v>
      </c>
      <c r="F1450" s="41">
        <v>5195</v>
      </c>
      <c r="G1450" s="41">
        <v>5198.5</v>
      </c>
      <c r="H1450" s="41">
        <v>990374250</v>
      </c>
      <c r="I1450" s="42">
        <v>3810</v>
      </c>
    </row>
    <row r="1451" spans="1:9" x14ac:dyDescent="0.25">
      <c r="A1451" t="s">
        <v>9</v>
      </c>
      <c r="B1451" s="39">
        <v>46064</v>
      </c>
      <c r="C1451" s="40">
        <v>0.72916666666666663</v>
      </c>
      <c r="D1451" s="41">
        <v>5201.5</v>
      </c>
      <c r="E1451" s="41">
        <v>5202.5</v>
      </c>
      <c r="F1451" s="41">
        <v>5198.5</v>
      </c>
      <c r="G1451" s="41">
        <v>5200.5</v>
      </c>
      <c r="H1451" s="41">
        <v>1209161000</v>
      </c>
      <c r="I1451" s="42">
        <v>4650</v>
      </c>
    </row>
    <row r="1452" spans="1:9" x14ac:dyDescent="0.25">
      <c r="A1452" t="s">
        <v>9</v>
      </c>
      <c r="B1452" s="39">
        <v>46064</v>
      </c>
      <c r="C1452" s="40">
        <v>0.70833333333333337</v>
      </c>
      <c r="D1452" s="41">
        <v>5203.5</v>
      </c>
      <c r="E1452" s="41">
        <v>5205</v>
      </c>
      <c r="F1452" s="41">
        <v>5201</v>
      </c>
      <c r="G1452" s="41">
        <v>5201</v>
      </c>
      <c r="H1452" s="41">
        <v>2753595750</v>
      </c>
      <c r="I1452" s="42">
        <v>10585</v>
      </c>
    </row>
    <row r="1453" spans="1:9" x14ac:dyDescent="0.25">
      <c r="A1453" t="s">
        <v>9</v>
      </c>
      <c r="B1453" s="39">
        <v>46064</v>
      </c>
      <c r="C1453" s="40">
        <v>0.6875</v>
      </c>
      <c r="D1453" s="41">
        <v>5202</v>
      </c>
      <c r="E1453" s="41">
        <v>5205</v>
      </c>
      <c r="F1453" s="41">
        <v>5200.5</v>
      </c>
      <c r="G1453" s="41">
        <v>5202.5</v>
      </c>
      <c r="H1453" s="41">
        <v>1753553375</v>
      </c>
      <c r="I1453" s="42">
        <v>6740</v>
      </c>
    </row>
    <row r="1454" spans="1:9" x14ac:dyDescent="0.25">
      <c r="A1454" t="s">
        <v>9</v>
      </c>
      <c r="B1454" s="39">
        <v>46064</v>
      </c>
      <c r="C1454" s="40">
        <v>0.66666666666666663</v>
      </c>
      <c r="D1454" s="41">
        <v>5201.5</v>
      </c>
      <c r="E1454" s="41">
        <v>5203</v>
      </c>
      <c r="F1454" s="41">
        <v>5198.5</v>
      </c>
      <c r="G1454" s="41">
        <v>5201.5</v>
      </c>
      <c r="H1454" s="41">
        <v>4864904375</v>
      </c>
      <c r="I1454" s="42">
        <v>18710</v>
      </c>
    </row>
    <row r="1455" spans="1:9" x14ac:dyDescent="0.25">
      <c r="A1455" t="s">
        <v>9</v>
      </c>
      <c r="B1455" s="39">
        <v>46064</v>
      </c>
      <c r="C1455" s="40">
        <v>0.64583333333333337</v>
      </c>
      <c r="D1455" s="41">
        <v>5200</v>
      </c>
      <c r="E1455" s="41">
        <v>5202</v>
      </c>
      <c r="F1455" s="41">
        <v>5197.5</v>
      </c>
      <c r="G1455" s="41">
        <v>5201.5</v>
      </c>
      <c r="H1455" s="41">
        <v>2385248875</v>
      </c>
      <c r="I1455" s="42">
        <v>9175</v>
      </c>
    </row>
    <row r="1456" spans="1:9" x14ac:dyDescent="0.25">
      <c r="A1456" t="s">
        <v>9</v>
      </c>
      <c r="B1456" s="39">
        <v>46064</v>
      </c>
      <c r="C1456" s="40">
        <v>0.625</v>
      </c>
      <c r="D1456" s="41">
        <v>5195</v>
      </c>
      <c r="E1456" s="41">
        <v>5202</v>
      </c>
      <c r="F1456" s="41">
        <v>5193</v>
      </c>
      <c r="G1456" s="41">
        <v>5199</v>
      </c>
      <c r="H1456" s="41">
        <v>4095452375</v>
      </c>
      <c r="I1456" s="42">
        <v>15755</v>
      </c>
    </row>
    <row r="1457" spans="1:9" x14ac:dyDescent="0.25">
      <c r="A1457" t="s">
        <v>9</v>
      </c>
      <c r="B1457" s="39">
        <v>46064</v>
      </c>
      <c r="C1457" s="40">
        <v>0.60416666666666663</v>
      </c>
      <c r="D1457" s="41">
        <v>5194</v>
      </c>
      <c r="E1457" s="41">
        <v>5198</v>
      </c>
      <c r="F1457" s="41">
        <v>5192.5</v>
      </c>
      <c r="G1457" s="41">
        <v>5195</v>
      </c>
      <c r="H1457" s="41">
        <v>1946852250</v>
      </c>
      <c r="I1457" s="42">
        <v>7495</v>
      </c>
    </row>
    <row r="1458" spans="1:9" x14ac:dyDescent="0.25">
      <c r="A1458" t="s">
        <v>9</v>
      </c>
      <c r="B1458" s="39">
        <v>46064</v>
      </c>
      <c r="C1458" s="40">
        <v>0.58333333333333337</v>
      </c>
      <c r="D1458" s="41">
        <v>5192.5</v>
      </c>
      <c r="E1458" s="41">
        <v>5196</v>
      </c>
      <c r="F1458" s="41">
        <v>5190</v>
      </c>
      <c r="G1458" s="41">
        <v>5194</v>
      </c>
      <c r="H1458" s="41">
        <v>3379828875</v>
      </c>
      <c r="I1458" s="42">
        <v>13015</v>
      </c>
    </row>
    <row r="1459" spans="1:9" x14ac:dyDescent="0.25">
      <c r="A1459" t="s">
        <v>9</v>
      </c>
      <c r="B1459" s="39">
        <v>46064</v>
      </c>
      <c r="C1459" s="40">
        <v>0.5625</v>
      </c>
      <c r="D1459" s="41">
        <v>5200</v>
      </c>
      <c r="E1459" s="41">
        <v>5201</v>
      </c>
      <c r="F1459" s="41">
        <v>5191.5</v>
      </c>
      <c r="G1459" s="41">
        <v>5192.5</v>
      </c>
      <c r="H1459" s="41">
        <v>2095802500</v>
      </c>
      <c r="I1459" s="42">
        <v>8070</v>
      </c>
    </row>
    <row r="1460" spans="1:9" x14ac:dyDescent="0.25">
      <c r="A1460" t="s">
        <v>9</v>
      </c>
      <c r="B1460" s="39">
        <v>46064</v>
      </c>
      <c r="C1460" s="40">
        <v>0.54166666666666663</v>
      </c>
      <c r="D1460" s="41">
        <v>5204</v>
      </c>
      <c r="E1460" s="41">
        <v>5204</v>
      </c>
      <c r="F1460" s="41">
        <v>5196</v>
      </c>
      <c r="G1460" s="41">
        <v>5200</v>
      </c>
      <c r="H1460" s="41">
        <v>3794815500</v>
      </c>
      <c r="I1460" s="42">
        <v>14595</v>
      </c>
    </row>
    <row r="1461" spans="1:9" x14ac:dyDescent="0.25">
      <c r="A1461" t="s">
        <v>9</v>
      </c>
      <c r="B1461" s="39">
        <v>46064</v>
      </c>
      <c r="C1461" s="40">
        <v>0.52083333333333337</v>
      </c>
      <c r="D1461" s="41">
        <v>5208.5</v>
      </c>
      <c r="E1461" s="41">
        <v>5212.5</v>
      </c>
      <c r="F1461" s="41">
        <v>5201.5</v>
      </c>
      <c r="G1461" s="41">
        <v>5204</v>
      </c>
      <c r="H1461" s="41">
        <v>2946793875</v>
      </c>
      <c r="I1461" s="42">
        <v>11320</v>
      </c>
    </row>
    <row r="1462" spans="1:9" x14ac:dyDescent="0.25">
      <c r="A1462" t="s">
        <v>9</v>
      </c>
      <c r="B1462" s="39">
        <v>46064</v>
      </c>
      <c r="C1462" s="40">
        <v>0.5</v>
      </c>
      <c r="D1462" s="41">
        <v>5200</v>
      </c>
      <c r="E1462" s="41">
        <v>5209</v>
      </c>
      <c r="F1462" s="41">
        <v>5193</v>
      </c>
      <c r="G1462" s="41">
        <v>5208</v>
      </c>
      <c r="H1462" s="41">
        <v>4719215875</v>
      </c>
      <c r="I1462" s="42">
        <v>18150</v>
      </c>
    </row>
    <row r="1463" spans="1:9" x14ac:dyDescent="0.25">
      <c r="A1463" t="s">
        <v>9</v>
      </c>
      <c r="B1463" s="39">
        <v>46064</v>
      </c>
      <c r="C1463" s="40">
        <v>0.47916666666666669</v>
      </c>
      <c r="D1463" s="41">
        <v>5198.5</v>
      </c>
      <c r="E1463" s="41">
        <v>5202.5</v>
      </c>
      <c r="F1463" s="41">
        <v>5193</v>
      </c>
      <c r="G1463" s="41">
        <v>5200</v>
      </c>
      <c r="H1463" s="41">
        <v>6283940125</v>
      </c>
      <c r="I1463" s="42">
        <v>24175</v>
      </c>
    </row>
    <row r="1464" spans="1:9" x14ac:dyDescent="0.25">
      <c r="A1464" t="s">
        <v>9</v>
      </c>
      <c r="B1464" s="39">
        <v>46064</v>
      </c>
      <c r="C1464" s="40">
        <v>0.45833333333333331</v>
      </c>
      <c r="D1464" s="41">
        <v>5200.5</v>
      </c>
      <c r="E1464" s="41">
        <v>5202.5</v>
      </c>
      <c r="F1464" s="41">
        <v>5185.5</v>
      </c>
      <c r="G1464" s="41">
        <v>5199</v>
      </c>
      <c r="H1464" s="41">
        <v>4799988250</v>
      </c>
      <c r="I1464" s="42">
        <v>18485</v>
      </c>
    </row>
    <row r="1465" spans="1:9" x14ac:dyDescent="0.25">
      <c r="A1465" t="s">
        <v>9</v>
      </c>
      <c r="B1465" s="39">
        <v>46064</v>
      </c>
      <c r="C1465" s="40">
        <v>0.4375</v>
      </c>
      <c r="D1465" s="41">
        <v>5203</v>
      </c>
      <c r="E1465" s="41">
        <v>5220.5</v>
      </c>
      <c r="F1465" s="41">
        <v>5194.5</v>
      </c>
      <c r="G1465" s="41">
        <v>5199.5</v>
      </c>
      <c r="H1465" s="41">
        <v>7150120375</v>
      </c>
      <c r="I1465" s="42">
        <v>27450</v>
      </c>
    </row>
    <row r="1466" spans="1:9" x14ac:dyDescent="0.25">
      <c r="A1466" t="s">
        <v>9</v>
      </c>
      <c r="B1466" s="39">
        <v>46064</v>
      </c>
      <c r="C1466" s="40">
        <v>0.41666666666666669</v>
      </c>
      <c r="D1466" s="41">
        <v>5199.5</v>
      </c>
      <c r="E1466" s="41">
        <v>5209.5</v>
      </c>
      <c r="F1466" s="41">
        <v>5197.5</v>
      </c>
      <c r="G1466" s="41">
        <v>5202</v>
      </c>
      <c r="H1466" s="41">
        <v>1931586875</v>
      </c>
      <c r="I1466" s="42">
        <v>7425</v>
      </c>
    </row>
    <row r="1467" spans="1:9" x14ac:dyDescent="0.25">
      <c r="A1467" t="s">
        <v>9</v>
      </c>
      <c r="B1467" s="39">
        <v>46064</v>
      </c>
      <c r="C1467" s="40">
        <v>0.39583333333333331</v>
      </c>
      <c r="D1467" s="41">
        <v>5204.5</v>
      </c>
      <c r="E1467" s="41">
        <v>5207.5</v>
      </c>
      <c r="F1467" s="41">
        <v>5196</v>
      </c>
      <c r="G1467" s="41">
        <v>5199</v>
      </c>
      <c r="H1467" s="41">
        <v>5530147875</v>
      </c>
      <c r="I1467" s="42">
        <v>21260</v>
      </c>
    </row>
    <row r="1468" spans="1:9" x14ac:dyDescent="0.25">
      <c r="A1468" t="s">
        <v>9</v>
      </c>
      <c r="B1468" s="39">
        <v>46064</v>
      </c>
      <c r="C1468" s="40">
        <v>0.375</v>
      </c>
      <c r="D1468" s="41">
        <v>5206</v>
      </c>
      <c r="E1468" s="41">
        <v>5206</v>
      </c>
      <c r="F1468" s="41">
        <v>5191</v>
      </c>
      <c r="G1468" s="41">
        <v>5203.5</v>
      </c>
      <c r="H1468" s="41">
        <v>3700338125</v>
      </c>
      <c r="I1468" s="42">
        <v>14240</v>
      </c>
    </row>
    <row r="1469" spans="1:9" x14ac:dyDescent="0.25">
      <c r="A1469" t="s">
        <v>9</v>
      </c>
      <c r="B1469" s="39">
        <v>46063</v>
      </c>
      <c r="C1469" s="40">
        <v>0.75</v>
      </c>
      <c r="D1469" s="41">
        <v>5215</v>
      </c>
      <c r="E1469" s="41">
        <v>5216.5</v>
      </c>
      <c r="F1469" s="41">
        <v>5210</v>
      </c>
      <c r="G1469" s="41">
        <v>5211.5</v>
      </c>
      <c r="H1469" s="41">
        <v>770283125</v>
      </c>
      <c r="I1469" s="42">
        <v>2955</v>
      </c>
    </row>
    <row r="1470" spans="1:9" x14ac:dyDescent="0.25">
      <c r="A1470" t="s">
        <v>9</v>
      </c>
      <c r="B1470" s="39">
        <v>46063</v>
      </c>
      <c r="C1470" s="40">
        <v>0.72916666666666663</v>
      </c>
      <c r="D1470" s="41">
        <v>5215</v>
      </c>
      <c r="E1470" s="41">
        <v>5216.5</v>
      </c>
      <c r="F1470" s="41">
        <v>5213</v>
      </c>
      <c r="G1470" s="41">
        <v>5215.5</v>
      </c>
      <c r="H1470" s="41">
        <v>623169500</v>
      </c>
      <c r="I1470" s="42">
        <v>2390</v>
      </c>
    </row>
    <row r="1471" spans="1:9" x14ac:dyDescent="0.25">
      <c r="A1471" t="s">
        <v>9</v>
      </c>
      <c r="B1471" s="39">
        <v>46063</v>
      </c>
      <c r="C1471" s="40">
        <v>0.70833333333333337</v>
      </c>
      <c r="D1471" s="41">
        <v>5216</v>
      </c>
      <c r="E1471" s="41">
        <v>5216.5</v>
      </c>
      <c r="F1471" s="41">
        <v>5213.5</v>
      </c>
      <c r="G1471" s="41">
        <v>5215.5</v>
      </c>
      <c r="H1471" s="41">
        <v>1119936750</v>
      </c>
      <c r="I1471" s="42">
        <v>4295</v>
      </c>
    </row>
    <row r="1472" spans="1:9" x14ac:dyDescent="0.25">
      <c r="A1472" t="s">
        <v>9</v>
      </c>
      <c r="B1472" s="39">
        <v>46063</v>
      </c>
      <c r="C1472" s="40">
        <v>0.6875</v>
      </c>
      <c r="D1472" s="41">
        <v>5220</v>
      </c>
      <c r="E1472" s="41">
        <v>5220.5</v>
      </c>
      <c r="F1472" s="41">
        <v>5214</v>
      </c>
      <c r="G1472" s="41">
        <v>5215.5</v>
      </c>
      <c r="H1472" s="41">
        <v>1582020250</v>
      </c>
      <c r="I1472" s="42">
        <v>6065</v>
      </c>
    </row>
    <row r="1473" spans="1:9" x14ac:dyDescent="0.25">
      <c r="A1473" t="s">
        <v>9</v>
      </c>
      <c r="B1473" s="39">
        <v>46063</v>
      </c>
      <c r="C1473" s="40">
        <v>0.66666666666666663</v>
      </c>
      <c r="D1473" s="41">
        <v>5221.5</v>
      </c>
      <c r="E1473" s="41">
        <v>5224</v>
      </c>
      <c r="F1473" s="41">
        <v>5219</v>
      </c>
      <c r="G1473" s="41">
        <v>5219.5</v>
      </c>
      <c r="H1473" s="41">
        <v>2519579125</v>
      </c>
      <c r="I1473" s="42">
        <v>9650</v>
      </c>
    </row>
    <row r="1474" spans="1:9" x14ac:dyDescent="0.25">
      <c r="A1474" t="s">
        <v>9</v>
      </c>
      <c r="B1474" s="39">
        <v>46063</v>
      </c>
      <c r="C1474" s="40">
        <v>0.64583333333333337</v>
      </c>
      <c r="D1474" s="41">
        <v>5224.5</v>
      </c>
      <c r="E1474" s="41">
        <v>5226.5</v>
      </c>
      <c r="F1474" s="41">
        <v>5221</v>
      </c>
      <c r="G1474" s="41">
        <v>5221.5</v>
      </c>
      <c r="H1474" s="41">
        <v>2169228875</v>
      </c>
      <c r="I1474" s="42">
        <v>8305</v>
      </c>
    </row>
    <row r="1475" spans="1:9" x14ac:dyDescent="0.25">
      <c r="A1475" t="s">
        <v>9</v>
      </c>
      <c r="B1475" s="39">
        <v>46063</v>
      </c>
      <c r="C1475" s="40">
        <v>0.625</v>
      </c>
      <c r="D1475" s="41">
        <v>5223</v>
      </c>
      <c r="E1475" s="41">
        <v>5226.5</v>
      </c>
      <c r="F1475" s="41">
        <v>5219.5</v>
      </c>
      <c r="G1475" s="41">
        <v>5225</v>
      </c>
      <c r="H1475" s="41">
        <v>2357567250</v>
      </c>
      <c r="I1475" s="42">
        <v>9030</v>
      </c>
    </row>
    <row r="1476" spans="1:9" x14ac:dyDescent="0.25">
      <c r="A1476" t="s">
        <v>9</v>
      </c>
      <c r="B1476" s="39">
        <v>46063</v>
      </c>
      <c r="C1476" s="40">
        <v>0.60416666666666663</v>
      </c>
      <c r="D1476" s="41">
        <v>5220</v>
      </c>
      <c r="E1476" s="41">
        <v>5224</v>
      </c>
      <c r="F1476" s="41">
        <v>5217</v>
      </c>
      <c r="G1476" s="41">
        <v>5222</v>
      </c>
      <c r="H1476" s="41">
        <v>1225299125</v>
      </c>
      <c r="I1476" s="42">
        <v>4695</v>
      </c>
    </row>
    <row r="1477" spans="1:9" x14ac:dyDescent="0.25">
      <c r="A1477" t="s">
        <v>9</v>
      </c>
      <c r="B1477" s="39">
        <v>46063</v>
      </c>
      <c r="C1477" s="40">
        <v>0.58333333333333337</v>
      </c>
      <c r="D1477" s="41">
        <v>5218</v>
      </c>
      <c r="E1477" s="41">
        <v>5222</v>
      </c>
      <c r="F1477" s="41">
        <v>5216.5</v>
      </c>
      <c r="G1477" s="41">
        <v>5220</v>
      </c>
      <c r="H1477" s="41">
        <v>2056430625</v>
      </c>
      <c r="I1477" s="42">
        <v>7880</v>
      </c>
    </row>
    <row r="1478" spans="1:9" x14ac:dyDescent="0.25">
      <c r="A1478" t="s">
        <v>9</v>
      </c>
      <c r="B1478" s="39">
        <v>46063</v>
      </c>
      <c r="C1478" s="40">
        <v>0.5625</v>
      </c>
      <c r="D1478" s="41">
        <v>5218.5</v>
      </c>
      <c r="E1478" s="41">
        <v>5220</v>
      </c>
      <c r="F1478" s="41">
        <v>5214</v>
      </c>
      <c r="G1478" s="41">
        <v>5218</v>
      </c>
      <c r="H1478" s="41">
        <v>2171613375</v>
      </c>
      <c r="I1478" s="42">
        <v>8325</v>
      </c>
    </row>
    <row r="1479" spans="1:9" x14ac:dyDescent="0.25">
      <c r="A1479" t="s">
        <v>9</v>
      </c>
      <c r="B1479" s="39">
        <v>46063</v>
      </c>
      <c r="C1479" s="40">
        <v>0.54166666666666663</v>
      </c>
      <c r="D1479" s="41">
        <v>5223.5</v>
      </c>
      <c r="E1479" s="41">
        <v>5225.5</v>
      </c>
      <c r="F1479" s="41">
        <v>5217.5</v>
      </c>
      <c r="G1479" s="41">
        <v>5218</v>
      </c>
      <c r="H1479" s="41">
        <v>1897916000</v>
      </c>
      <c r="I1479" s="42">
        <v>7270</v>
      </c>
    </row>
    <row r="1480" spans="1:9" x14ac:dyDescent="0.25">
      <c r="A1480" t="s">
        <v>9</v>
      </c>
      <c r="B1480" s="39">
        <v>46063</v>
      </c>
      <c r="C1480" s="40">
        <v>0.52083333333333337</v>
      </c>
      <c r="D1480" s="41">
        <v>5230.5</v>
      </c>
      <c r="E1480" s="41">
        <v>5231</v>
      </c>
      <c r="F1480" s="41">
        <v>5218</v>
      </c>
      <c r="G1480" s="41">
        <v>5224</v>
      </c>
      <c r="H1480" s="41">
        <v>2916909875</v>
      </c>
      <c r="I1480" s="42">
        <v>11170</v>
      </c>
    </row>
    <row r="1481" spans="1:9" x14ac:dyDescent="0.25">
      <c r="A1481" t="s">
        <v>9</v>
      </c>
      <c r="B1481" s="39">
        <v>46063</v>
      </c>
      <c r="C1481" s="40">
        <v>0.5</v>
      </c>
      <c r="D1481" s="41">
        <v>5216</v>
      </c>
      <c r="E1481" s="41">
        <v>5231</v>
      </c>
      <c r="F1481" s="41">
        <v>5216</v>
      </c>
      <c r="G1481" s="41">
        <v>5230.5</v>
      </c>
      <c r="H1481" s="41">
        <v>3763172625</v>
      </c>
      <c r="I1481" s="42">
        <v>14405</v>
      </c>
    </row>
    <row r="1482" spans="1:9" x14ac:dyDescent="0.25">
      <c r="A1482" t="s">
        <v>9</v>
      </c>
      <c r="B1482" s="39">
        <v>46063</v>
      </c>
      <c r="C1482" s="40">
        <v>0.47916666666666669</v>
      </c>
      <c r="D1482" s="41">
        <v>5208</v>
      </c>
      <c r="E1482" s="41">
        <v>5223.5</v>
      </c>
      <c r="F1482" s="41">
        <v>5202</v>
      </c>
      <c r="G1482" s="41">
        <v>5215.5</v>
      </c>
      <c r="H1482" s="41">
        <v>3520911625</v>
      </c>
      <c r="I1482" s="42">
        <v>13505</v>
      </c>
    </row>
    <row r="1483" spans="1:9" x14ac:dyDescent="0.25">
      <c r="A1483" t="s">
        <v>9</v>
      </c>
      <c r="B1483" s="39">
        <v>46063</v>
      </c>
      <c r="C1483" s="40">
        <v>0.45833333333333331</v>
      </c>
      <c r="D1483" s="41">
        <v>5219</v>
      </c>
      <c r="E1483" s="41">
        <v>5222.5</v>
      </c>
      <c r="F1483" s="41">
        <v>5203.5</v>
      </c>
      <c r="G1483" s="41">
        <v>5207.5</v>
      </c>
      <c r="H1483" s="41">
        <v>3520472375</v>
      </c>
      <c r="I1483" s="42">
        <v>13510</v>
      </c>
    </row>
    <row r="1484" spans="1:9" x14ac:dyDescent="0.25">
      <c r="A1484" t="s">
        <v>9</v>
      </c>
      <c r="B1484" s="39">
        <v>46063</v>
      </c>
      <c r="C1484" s="40">
        <v>0.4375</v>
      </c>
      <c r="D1484" s="41">
        <v>5225</v>
      </c>
      <c r="E1484" s="41">
        <v>5225.5</v>
      </c>
      <c r="F1484" s="41">
        <v>5218</v>
      </c>
      <c r="G1484" s="41">
        <v>5219</v>
      </c>
      <c r="H1484" s="41">
        <v>5203965750</v>
      </c>
      <c r="I1484" s="42">
        <v>19930</v>
      </c>
    </row>
    <row r="1485" spans="1:9" x14ac:dyDescent="0.25">
      <c r="A1485" t="s">
        <v>9</v>
      </c>
      <c r="B1485" s="39">
        <v>46063</v>
      </c>
      <c r="C1485" s="40">
        <v>0.41666666666666669</v>
      </c>
      <c r="D1485" s="41">
        <v>5223</v>
      </c>
      <c r="E1485" s="41">
        <v>5228</v>
      </c>
      <c r="F1485" s="41">
        <v>5221.5</v>
      </c>
      <c r="G1485" s="41">
        <v>5225</v>
      </c>
      <c r="H1485" s="41">
        <v>1968317750</v>
      </c>
      <c r="I1485" s="42">
        <v>7535</v>
      </c>
    </row>
    <row r="1486" spans="1:9" x14ac:dyDescent="0.25">
      <c r="A1486" t="s">
        <v>9</v>
      </c>
      <c r="B1486" s="39">
        <v>46063</v>
      </c>
      <c r="C1486" s="40">
        <v>0.39583333333333331</v>
      </c>
      <c r="D1486" s="41">
        <v>5214.5</v>
      </c>
      <c r="E1486" s="41">
        <v>5227</v>
      </c>
      <c r="F1486" s="41">
        <v>5214</v>
      </c>
      <c r="G1486" s="41">
        <v>5223</v>
      </c>
      <c r="H1486" s="41">
        <v>2897886875</v>
      </c>
      <c r="I1486" s="42">
        <v>11100</v>
      </c>
    </row>
    <row r="1487" spans="1:9" x14ac:dyDescent="0.25">
      <c r="A1487" t="s">
        <v>9</v>
      </c>
      <c r="B1487" s="39">
        <v>46063</v>
      </c>
      <c r="C1487" s="40">
        <v>0.375</v>
      </c>
      <c r="D1487" s="41">
        <v>5212</v>
      </c>
      <c r="E1487" s="41">
        <v>5220.5</v>
      </c>
      <c r="F1487" s="41">
        <v>5207.5</v>
      </c>
      <c r="G1487" s="41">
        <v>5215</v>
      </c>
      <c r="H1487" s="41">
        <v>1477900125</v>
      </c>
      <c r="I1487" s="42">
        <v>5670</v>
      </c>
    </row>
    <row r="1488" spans="1:9" x14ac:dyDescent="0.25">
      <c r="A1488" t="s">
        <v>9</v>
      </c>
      <c r="B1488" s="39">
        <v>46062</v>
      </c>
      <c r="C1488" s="40">
        <v>0.75</v>
      </c>
      <c r="D1488" s="41">
        <v>5213</v>
      </c>
      <c r="E1488" s="41">
        <v>5218.5</v>
      </c>
      <c r="F1488" s="41">
        <v>5212.5</v>
      </c>
      <c r="G1488" s="41">
        <v>5217</v>
      </c>
      <c r="H1488" s="41">
        <v>804393125</v>
      </c>
      <c r="I1488" s="42">
        <v>3085</v>
      </c>
    </row>
    <row r="1489" spans="1:9" x14ac:dyDescent="0.25">
      <c r="A1489" t="s">
        <v>9</v>
      </c>
      <c r="B1489" s="39">
        <v>46062</v>
      </c>
      <c r="C1489" s="40">
        <v>0.72916666666666663</v>
      </c>
      <c r="D1489" s="41">
        <v>5210.5</v>
      </c>
      <c r="E1489" s="41">
        <v>5214.5</v>
      </c>
      <c r="F1489" s="41">
        <v>5208.5</v>
      </c>
      <c r="G1489" s="41">
        <v>5212.5</v>
      </c>
      <c r="H1489" s="41">
        <v>1977076625</v>
      </c>
      <c r="I1489" s="42">
        <v>7590</v>
      </c>
    </row>
    <row r="1490" spans="1:9" x14ac:dyDescent="0.25">
      <c r="A1490" t="s">
        <v>9</v>
      </c>
      <c r="B1490" s="39">
        <v>46062</v>
      </c>
      <c r="C1490" s="40">
        <v>0.70833333333333337</v>
      </c>
      <c r="D1490" s="41">
        <v>5208.5</v>
      </c>
      <c r="E1490" s="41">
        <v>5212</v>
      </c>
      <c r="F1490" s="41">
        <v>5207.5</v>
      </c>
      <c r="G1490" s="41">
        <v>5210.5</v>
      </c>
      <c r="H1490" s="41">
        <v>691590250</v>
      </c>
      <c r="I1490" s="42">
        <v>2655</v>
      </c>
    </row>
    <row r="1491" spans="1:9" x14ac:dyDescent="0.25">
      <c r="A1491" t="s">
        <v>9</v>
      </c>
      <c r="B1491" s="39">
        <v>46062</v>
      </c>
      <c r="C1491" s="40">
        <v>0.6875</v>
      </c>
      <c r="D1491" s="41">
        <v>5209</v>
      </c>
      <c r="E1491" s="41">
        <v>5210</v>
      </c>
      <c r="F1491" s="41">
        <v>5205.5</v>
      </c>
      <c r="G1491" s="41">
        <v>5208.5</v>
      </c>
      <c r="H1491" s="41">
        <v>1307255875</v>
      </c>
      <c r="I1491" s="42">
        <v>5020</v>
      </c>
    </row>
    <row r="1492" spans="1:9" x14ac:dyDescent="0.25">
      <c r="A1492" t="s">
        <v>9</v>
      </c>
      <c r="B1492" s="39">
        <v>46062</v>
      </c>
      <c r="C1492" s="40">
        <v>0.66666666666666663</v>
      </c>
      <c r="D1492" s="41">
        <v>5212.5</v>
      </c>
      <c r="E1492" s="41">
        <v>5215</v>
      </c>
      <c r="F1492" s="41">
        <v>5208.5</v>
      </c>
      <c r="G1492" s="41">
        <v>5208.5</v>
      </c>
      <c r="H1492" s="41">
        <v>1414001375</v>
      </c>
      <c r="I1492" s="42">
        <v>5425</v>
      </c>
    </row>
    <row r="1493" spans="1:9" x14ac:dyDescent="0.25">
      <c r="A1493" t="s">
        <v>9</v>
      </c>
      <c r="B1493" s="39">
        <v>46062</v>
      </c>
      <c r="C1493" s="40">
        <v>0.64583333333333337</v>
      </c>
      <c r="D1493" s="41">
        <v>5214</v>
      </c>
      <c r="E1493" s="41">
        <v>5221.5</v>
      </c>
      <c r="F1493" s="41">
        <v>5211.5</v>
      </c>
      <c r="G1493" s="41">
        <v>5212</v>
      </c>
      <c r="H1493" s="41">
        <v>1927538000</v>
      </c>
      <c r="I1493" s="42">
        <v>7390</v>
      </c>
    </row>
    <row r="1494" spans="1:9" x14ac:dyDescent="0.25">
      <c r="A1494" t="s">
        <v>9</v>
      </c>
      <c r="B1494" s="39">
        <v>46062</v>
      </c>
      <c r="C1494" s="40">
        <v>0.625</v>
      </c>
      <c r="D1494" s="41">
        <v>5212</v>
      </c>
      <c r="E1494" s="41">
        <v>5226</v>
      </c>
      <c r="F1494" s="41">
        <v>5207.5</v>
      </c>
      <c r="G1494" s="41">
        <v>5215</v>
      </c>
      <c r="H1494" s="41">
        <v>2672097500</v>
      </c>
      <c r="I1494" s="42">
        <v>10250</v>
      </c>
    </row>
    <row r="1495" spans="1:9" x14ac:dyDescent="0.25">
      <c r="A1495" t="s">
        <v>9</v>
      </c>
      <c r="B1495" s="39">
        <v>46062</v>
      </c>
      <c r="C1495" s="40">
        <v>0.60416666666666663</v>
      </c>
      <c r="D1495" s="41">
        <v>5210.5</v>
      </c>
      <c r="E1495" s="41">
        <v>5214</v>
      </c>
      <c r="F1495" s="41">
        <v>5209.5</v>
      </c>
      <c r="G1495" s="41">
        <v>5211.5</v>
      </c>
      <c r="H1495" s="41">
        <v>2392332375</v>
      </c>
      <c r="I1495" s="42">
        <v>9180</v>
      </c>
    </row>
    <row r="1496" spans="1:9" x14ac:dyDescent="0.25">
      <c r="A1496" t="s">
        <v>9</v>
      </c>
      <c r="B1496" s="39">
        <v>46062</v>
      </c>
      <c r="C1496" s="40">
        <v>0.58333333333333337</v>
      </c>
      <c r="D1496" s="41">
        <v>5212</v>
      </c>
      <c r="E1496" s="41">
        <v>5215</v>
      </c>
      <c r="F1496" s="41">
        <v>5204.5</v>
      </c>
      <c r="G1496" s="41">
        <v>5211</v>
      </c>
      <c r="H1496" s="41">
        <v>1755379125</v>
      </c>
      <c r="I1496" s="42">
        <v>6740</v>
      </c>
    </row>
    <row r="1497" spans="1:9" x14ac:dyDescent="0.25">
      <c r="A1497" t="s">
        <v>9</v>
      </c>
      <c r="B1497" s="39">
        <v>46062</v>
      </c>
      <c r="C1497" s="40">
        <v>0.5625</v>
      </c>
      <c r="D1497" s="41">
        <v>5208</v>
      </c>
      <c r="E1497" s="41">
        <v>5215</v>
      </c>
      <c r="F1497" s="41">
        <v>5208</v>
      </c>
      <c r="G1497" s="41">
        <v>5212</v>
      </c>
      <c r="H1497" s="41">
        <v>3332999500</v>
      </c>
      <c r="I1497" s="42">
        <v>12790</v>
      </c>
    </row>
    <row r="1498" spans="1:9" x14ac:dyDescent="0.25">
      <c r="A1498" t="s">
        <v>9</v>
      </c>
      <c r="B1498" s="39">
        <v>46062</v>
      </c>
      <c r="C1498" s="40">
        <v>0.54166666666666663</v>
      </c>
      <c r="D1498" s="41">
        <v>5197.5</v>
      </c>
      <c r="E1498" s="41">
        <v>5209</v>
      </c>
      <c r="F1498" s="41">
        <v>5195.5</v>
      </c>
      <c r="G1498" s="41">
        <v>5208</v>
      </c>
      <c r="H1498" s="41">
        <v>2003779875</v>
      </c>
      <c r="I1498" s="42">
        <v>7705</v>
      </c>
    </row>
    <row r="1499" spans="1:9" x14ac:dyDescent="0.25">
      <c r="A1499" t="s">
        <v>9</v>
      </c>
      <c r="B1499" s="39">
        <v>46062</v>
      </c>
      <c r="C1499" s="40">
        <v>0.52083333333333337</v>
      </c>
      <c r="D1499" s="41">
        <v>5206</v>
      </c>
      <c r="E1499" s="41">
        <v>5207</v>
      </c>
      <c r="F1499" s="41">
        <v>5197</v>
      </c>
      <c r="G1499" s="41">
        <v>5197.5</v>
      </c>
      <c r="H1499" s="41">
        <v>2532528625</v>
      </c>
      <c r="I1499" s="42">
        <v>9735</v>
      </c>
    </row>
    <row r="1500" spans="1:9" x14ac:dyDescent="0.25">
      <c r="A1500" t="s">
        <v>9</v>
      </c>
      <c r="B1500" s="39">
        <v>46062</v>
      </c>
      <c r="C1500" s="40">
        <v>0.5</v>
      </c>
      <c r="D1500" s="41">
        <v>5210</v>
      </c>
      <c r="E1500" s="41">
        <v>5210</v>
      </c>
      <c r="F1500" s="41">
        <v>5202.5</v>
      </c>
      <c r="G1500" s="41">
        <v>5206</v>
      </c>
      <c r="H1500" s="41">
        <v>2032847000</v>
      </c>
      <c r="I1500" s="42">
        <v>7810</v>
      </c>
    </row>
    <row r="1501" spans="1:9" x14ac:dyDescent="0.25">
      <c r="A1501" t="s">
        <v>9</v>
      </c>
      <c r="B1501" s="39">
        <v>46062</v>
      </c>
      <c r="C1501" s="40">
        <v>0.47916666666666669</v>
      </c>
      <c r="D1501" s="41">
        <v>5222</v>
      </c>
      <c r="E1501" s="41">
        <v>5225</v>
      </c>
      <c r="F1501" s="41">
        <v>5207</v>
      </c>
      <c r="G1501" s="41">
        <v>5210</v>
      </c>
      <c r="H1501" s="41">
        <v>2754248625</v>
      </c>
      <c r="I1501" s="42">
        <v>10565</v>
      </c>
    </row>
    <row r="1502" spans="1:9" x14ac:dyDescent="0.25">
      <c r="A1502" t="s">
        <v>9</v>
      </c>
      <c r="B1502" s="39">
        <v>46062</v>
      </c>
      <c r="C1502" s="40">
        <v>0.45833333333333331</v>
      </c>
      <c r="D1502" s="41">
        <v>5230.5</v>
      </c>
      <c r="E1502" s="41">
        <v>5231.5</v>
      </c>
      <c r="F1502" s="41">
        <v>5221</v>
      </c>
      <c r="G1502" s="41">
        <v>5222.5</v>
      </c>
      <c r="H1502" s="41">
        <v>5041193625</v>
      </c>
      <c r="I1502" s="42">
        <v>19295</v>
      </c>
    </row>
    <row r="1503" spans="1:9" x14ac:dyDescent="0.25">
      <c r="A1503" t="s">
        <v>9</v>
      </c>
      <c r="B1503" s="39">
        <v>46062</v>
      </c>
      <c r="C1503" s="40">
        <v>0.4375</v>
      </c>
      <c r="D1503" s="41">
        <v>5216.5</v>
      </c>
      <c r="E1503" s="41">
        <v>5232</v>
      </c>
      <c r="F1503" s="41">
        <v>5214.5</v>
      </c>
      <c r="G1503" s="41">
        <v>5230.5</v>
      </c>
      <c r="H1503" s="41">
        <v>3332107000</v>
      </c>
      <c r="I1503" s="42">
        <v>12755</v>
      </c>
    </row>
    <row r="1504" spans="1:9" x14ac:dyDescent="0.25">
      <c r="A1504" t="s">
        <v>9</v>
      </c>
      <c r="B1504" s="39">
        <v>46062</v>
      </c>
      <c r="C1504" s="40">
        <v>0.41666666666666669</v>
      </c>
      <c r="D1504" s="41">
        <v>5226</v>
      </c>
      <c r="E1504" s="41">
        <v>5226</v>
      </c>
      <c r="F1504" s="41">
        <v>5211</v>
      </c>
      <c r="G1504" s="41">
        <v>5216</v>
      </c>
      <c r="H1504" s="41">
        <v>4657217500</v>
      </c>
      <c r="I1504" s="42">
        <v>17855</v>
      </c>
    </row>
    <row r="1505" spans="1:9" x14ac:dyDescent="0.25">
      <c r="A1505" t="s">
        <v>9</v>
      </c>
      <c r="B1505" s="39">
        <v>46062</v>
      </c>
      <c r="C1505" s="40">
        <v>0.39583333333333331</v>
      </c>
      <c r="D1505" s="41">
        <v>5225</v>
      </c>
      <c r="E1505" s="41">
        <v>5231</v>
      </c>
      <c r="F1505" s="41">
        <v>5221.5</v>
      </c>
      <c r="G1505" s="41">
        <v>5226.5</v>
      </c>
      <c r="H1505" s="41">
        <v>1911211625</v>
      </c>
      <c r="I1505" s="42">
        <v>7315</v>
      </c>
    </row>
    <row r="1506" spans="1:9" x14ac:dyDescent="0.25">
      <c r="A1506" t="s">
        <v>9</v>
      </c>
      <c r="B1506" s="39">
        <v>46062</v>
      </c>
      <c r="C1506" s="40">
        <v>0.375</v>
      </c>
      <c r="D1506" s="41">
        <v>5230</v>
      </c>
      <c r="E1506" s="41">
        <v>5233.5</v>
      </c>
      <c r="F1506" s="41">
        <v>5217.5</v>
      </c>
      <c r="G1506" s="41">
        <v>5225</v>
      </c>
      <c r="H1506" s="41">
        <v>3022622125</v>
      </c>
      <c r="I1506" s="42">
        <v>11570</v>
      </c>
    </row>
    <row r="1507" spans="1:9" x14ac:dyDescent="0.25">
      <c r="A1507" t="s">
        <v>9</v>
      </c>
      <c r="B1507" s="39">
        <v>46059</v>
      </c>
      <c r="C1507" s="40">
        <v>0.75</v>
      </c>
      <c r="D1507" s="41">
        <v>5239.5</v>
      </c>
      <c r="E1507" s="41">
        <v>5247.5</v>
      </c>
      <c r="F1507" s="41">
        <v>5235.5</v>
      </c>
      <c r="G1507" s="41">
        <v>5242.5</v>
      </c>
      <c r="H1507" s="41">
        <v>1069553250</v>
      </c>
      <c r="I1507" s="42">
        <v>4080</v>
      </c>
    </row>
    <row r="1508" spans="1:9" x14ac:dyDescent="0.25">
      <c r="A1508" t="s">
        <v>9</v>
      </c>
      <c r="B1508" s="39">
        <v>46059</v>
      </c>
      <c r="C1508" s="40">
        <v>0.72916666666666663</v>
      </c>
      <c r="D1508" s="41">
        <v>5243.5</v>
      </c>
      <c r="E1508" s="41">
        <v>5244</v>
      </c>
      <c r="F1508" s="41">
        <v>5239</v>
      </c>
      <c r="G1508" s="41">
        <v>5240</v>
      </c>
      <c r="H1508" s="41">
        <v>2147900750</v>
      </c>
      <c r="I1508" s="42">
        <v>8195</v>
      </c>
    </row>
    <row r="1509" spans="1:9" x14ac:dyDescent="0.25">
      <c r="A1509" t="s">
        <v>9</v>
      </c>
      <c r="B1509" s="39">
        <v>46059</v>
      </c>
      <c r="C1509" s="40">
        <v>0.70833333333333337</v>
      </c>
      <c r="D1509" s="41">
        <v>5242.5</v>
      </c>
      <c r="E1509" s="41">
        <v>5244</v>
      </c>
      <c r="F1509" s="41">
        <v>5240.5</v>
      </c>
      <c r="G1509" s="41">
        <v>5243.5</v>
      </c>
      <c r="H1509" s="41">
        <v>1258167625</v>
      </c>
      <c r="I1509" s="42">
        <v>4800</v>
      </c>
    </row>
    <row r="1510" spans="1:9" x14ac:dyDescent="0.25">
      <c r="A1510" t="s">
        <v>9</v>
      </c>
      <c r="B1510" s="39">
        <v>46059</v>
      </c>
      <c r="C1510" s="40">
        <v>0.6875</v>
      </c>
      <c r="D1510" s="41">
        <v>5244.5</v>
      </c>
      <c r="E1510" s="41">
        <v>5246</v>
      </c>
      <c r="F1510" s="41">
        <v>5240</v>
      </c>
      <c r="G1510" s="41">
        <v>5242</v>
      </c>
      <c r="H1510" s="41">
        <v>1191562875</v>
      </c>
      <c r="I1510" s="42">
        <v>4545</v>
      </c>
    </row>
    <row r="1511" spans="1:9" x14ac:dyDescent="0.25">
      <c r="A1511" t="s">
        <v>9</v>
      </c>
      <c r="B1511" s="39">
        <v>46059</v>
      </c>
      <c r="C1511" s="40">
        <v>0.66666666666666663</v>
      </c>
      <c r="D1511" s="41">
        <v>5241</v>
      </c>
      <c r="E1511" s="41">
        <v>5247</v>
      </c>
      <c r="F1511" s="41">
        <v>5239</v>
      </c>
      <c r="G1511" s="41">
        <v>5243.5</v>
      </c>
      <c r="H1511" s="41">
        <v>2065996750</v>
      </c>
      <c r="I1511" s="42">
        <v>7880</v>
      </c>
    </row>
    <row r="1512" spans="1:9" x14ac:dyDescent="0.25">
      <c r="A1512" t="s">
        <v>9</v>
      </c>
      <c r="B1512" s="39">
        <v>46059</v>
      </c>
      <c r="C1512" s="40">
        <v>0.64583333333333337</v>
      </c>
      <c r="D1512" s="41">
        <v>5240</v>
      </c>
      <c r="E1512" s="41">
        <v>5244.5</v>
      </c>
      <c r="F1512" s="41">
        <v>5238.5</v>
      </c>
      <c r="G1512" s="41">
        <v>5241.5</v>
      </c>
      <c r="H1512" s="41">
        <v>2181474750</v>
      </c>
      <c r="I1512" s="42">
        <v>8325</v>
      </c>
    </row>
    <row r="1513" spans="1:9" x14ac:dyDescent="0.25">
      <c r="A1513" t="s">
        <v>9</v>
      </c>
      <c r="B1513" s="39">
        <v>46059</v>
      </c>
      <c r="C1513" s="40">
        <v>0.625</v>
      </c>
      <c r="D1513" s="41">
        <v>5233.5</v>
      </c>
      <c r="E1513" s="41">
        <v>5255</v>
      </c>
      <c r="F1513" s="41">
        <v>5232.5</v>
      </c>
      <c r="G1513" s="41">
        <v>5240.5</v>
      </c>
      <c r="H1513" s="41">
        <v>6011326250</v>
      </c>
      <c r="I1513" s="42">
        <v>22935</v>
      </c>
    </row>
    <row r="1514" spans="1:9" x14ac:dyDescent="0.25">
      <c r="A1514" t="s">
        <v>9</v>
      </c>
      <c r="B1514" s="39">
        <v>46059</v>
      </c>
      <c r="C1514" s="40">
        <v>0.60416666666666663</v>
      </c>
      <c r="D1514" s="41">
        <v>5234</v>
      </c>
      <c r="E1514" s="41">
        <v>5234.5</v>
      </c>
      <c r="F1514" s="41">
        <v>5228</v>
      </c>
      <c r="G1514" s="41">
        <v>5233.5</v>
      </c>
      <c r="H1514" s="41">
        <v>1814079750</v>
      </c>
      <c r="I1514" s="42">
        <v>6935</v>
      </c>
    </row>
    <row r="1515" spans="1:9" x14ac:dyDescent="0.25">
      <c r="A1515" t="s">
        <v>9</v>
      </c>
      <c r="B1515" s="39">
        <v>46059</v>
      </c>
      <c r="C1515" s="40">
        <v>0.58333333333333337</v>
      </c>
      <c r="D1515" s="41">
        <v>5242.5</v>
      </c>
      <c r="E1515" s="41">
        <v>5244</v>
      </c>
      <c r="F1515" s="41">
        <v>5233.5</v>
      </c>
      <c r="G1515" s="41">
        <v>5234.5</v>
      </c>
      <c r="H1515" s="41">
        <v>1286278625</v>
      </c>
      <c r="I1515" s="42">
        <v>4910</v>
      </c>
    </row>
    <row r="1516" spans="1:9" x14ac:dyDescent="0.25">
      <c r="A1516" t="s">
        <v>9</v>
      </c>
      <c r="B1516" s="39">
        <v>46059</v>
      </c>
      <c r="C1516" s="40">
        <v>0.5625</v>
      </c>
      <c r="D1516" s="41">
        <v>5242.5</v>
      </c>
      <c r="E1516" s="41">
        <v>5243</v>
      </c>
      <c r="F1516" s="41">
        <v>5234.5</v>
      </c>
      <c r="G1516" s="41">
        <v>5242.5</v>
      </c>
      <c r="H1516" s="41">
        <v>1443366625</v>
      </c>
      <c r="I1516" s="42">
        <v>5510</v>
      </c>
    </row>
    <row r="1517" spans="1:9" x14ac:dyDescent="0.25">
      <c r="A1517" t="s">
        <v>9</v>
      </c>
      <c r="B1517" s="39">
        <v>46059</v>
      </c>
      <c r="C1517" s="40">
        <v>0.54166666666666663</v>
      </c>
      <c r="D1517" s="41">
        <v>5250.5</v>
      </c>
      <c r="E1517" s="41">
        <v>5252.5</v>
      </c>
      <c r="F1517" s="41">
        <v>5237.5</v>
      </c>
      <c r="G1517" s="41">
        <v>5242.5</v>
      </c>
      <c r="H1517" s="41">
        <v>4062429500</v>
      </c>
      <c r="I1517" s="42">
        <v>15490</v>
      </c>
    </row>
    <row r="1518" spans="1:9" x14ac:dyDescent="0.25">
      <c r="A1518" t="s">
        <v>9</v>
      </c>
      <c r="B1518" s="39">
        <v>46059</v>
      </c>
      <c r="C1518" s="40">
        <v>0.52083333333333337</v>
      </c>
      <c r="D1518" s="41">
        <v>5253.5</v>
      </c>
      <c r="E1518" s="41">
        <v>5257</v>
      </c>
      <c r="F1518" s="41">
        <v>5249</v>
      </c>
      <c r="G1518" s="41">
        <v>5250</v>
      </c>
      <c r="H1518" s="41">
        <v>1704228375</v>
      </c>
      <c r="I1518" s="42">
        <v>6490</v>
      </c>
    </row>
    <row r="1519" spans="1:9" x14ac:dyDescent="0.25">
      <c r="A1519" t="s">
        <v>9</v>
      </c>
      <c r="B1519" s="39">
        <v>46059</v>
      </c>
      <c r="C1519" s="40">
        <v>0.5</v>
      </c>
      <c r="D1519" s="41">
        <v>5251</v>
      </c>
      <c r="E1519" s="41">
        <v>5256.5</v>
      </c>
      <c r="F1519" s="41">
        <v>5245</v>
      </c>
      <c r="G1519" s="41">
        <v>5253</v>
      </c>
      <c r="H1519" s="41">
        <v>2797502250</v>
      </c>
      <c r="I1519" s="42">
        <v>10655</v>
      </c>
    </row>
    <row r="1520" spans="1:9" x14ac:dyDescent="0.25">
      <c r="A1520" t="s">
        <v>9</v>
      </c>
      <c r="B1520" s="39">
        <v>46059</v>
      </c>
      <c r="C1520" s="40">
        <v>0.47916666666666669</v>
      </c>
      <c r="D1520" s="41">
        <v>5240.5</v>
      </c>
      <c r="E1520" s="41">
        <v>5252.5</v>
      </c>
      <c r="F1520" s="41">
        <v>5234</v>
      </c>
      <c r="G1520" s="41">
        <v>5250.5</v>
      </c>
      <c r="H1520" s="41">
        <v>5360350500</v>
      </c>
      <c r="I1520" s="42">
        <v>20450</v>
      </c>
    </row>
    <row r="1521" spans="1:9" x14ac:dyDescent="0.25">
      <c r="A1521" t="s">
        <v>9</v>
      </c>
      <c r="B1521" s="39">
        <v>46059</v>
      </c>
      <c r="C1521" s="40">
        <v>0.45833333333333331</v>
      </c>
      <c r="D1521" s="41">
        <v>5250</v>
      </c>
      <c r="E1521" s="41">
        <v>5252</v>
      </c>
      <c r="F1521" s="41">
        <v>5238</v>
      </c>
      <c r="G1521" s="41">
        <v>5240.5</v>
      </c>
      <c r="H1521" s="41">
        <v>5781109750</v>
      </c>
      <c r="I1521" s="42">
        <v>22040</v>
      </c>
    </row>
    <row r="1522" spans="1:9" x14ac:dyDescent="0.25">
      <c r="A1522" t="s">
        <v>9</v>
      </c>
      <c r="B1522" s="39">
        <v>46059</v>
      </c>
      <c r="C1522" s="40">
        <v>0.4375</v>
      </c>
      <c r="D1522" s="41">
        <v>5258.5</v>
      </c>
      <c r="E1522" s="41">
        <v>5263.5</v>
      </c>
      <c r="F1522" s="41">
        <v>5249.5</v>
      </c>
      <c r="G1522" s="41">
        <v>5250</v>
      </c>
      <c r="H1522" s="41">
        <v>6151794625</v>
      </c>
      <c r="I1522" s="42">
        <v>23405</v>
      </c>
    </row>
    <row r="1523" spans="1:9" x14ac:dyDescent="0.25">
      <c r="A1523" t="s">
        <v>9</v>
      </c>
      <c r="B1523" s="39">
        <v>46059</v>
      </c>
      <c r="C1523" s="40">
        <v>0.41666666666666669</v>
      </c>
      <c r="D1523" s="41">
        <v>5271.5</v>
      </c>
      <c r="E1523" s="41">
        <v>5278</v>
      </c>
      <c r="F1523" s="41">
        <v>5257.5</v>
      </c>
      <c r="G1523" s="41">
        <v>5259.5</v>
      </c>
      <c r="H1523" s="41">
        <v>5402835625</v>
      </c>
      <c r="I1523" s="42">
        <v>20520</v>
      </c>
    </row>
    <row r="1524" spans="1:9" x14ac:dyDescent="0.25">
      <c r="A1524" t="s">
        <v>9</v>
      </c>
      <c r="B1524" s="39">
        <v>46059</v>
      </c>
      <c r="C1524" s="40">
        <v>0.39583333333333331</v>
      </c>
      <c r="D1524" s="41">
        <v>5258.5</v>
      </c>
      <c r="E1524" s="41">
        <v>5273.5</v>
      </c>
      <c r="F1524" s="41">
        <v>5251</v>
      </c>
      <c r="G1524" s="41">
        <v>5270.5</v>
      </c>
      <c r="H1524" s="41">
        <v>6341645750</v>
      </c>
      <c r="I1524" s="42">
        <v>24115</v>
      </c>
    </row>
    <row r="1525" spans="1:9" x14ac:dyDescent="0.25">
      <c r="A1525" t="s">
        <v>9</v>
      </c>
      <c r="B1525" s="39">
        <v>46059</v>
      </c>
      <c r="C1525" s="40">
        <v>0.375</v>
      </c>
      <c r="D1525" s="41">
        <v>5269.5</v>
      </c>
      <c r="E1525" s="41">
        <v>5269.5</v>
      </c>
      <c r="F1525" s="41">
        <v>5248</v>
      </c>
      <c r="G1525" s="41">
        <v>5259.5</v>
      </c>
      <c r="H1525" s="41">
        <v>3445015500</v>
      </c>
      <c r="I1525" s="42">
        <v>13105</v>
      </c>
    </row>
    <row r="1526" spans="1:9" x14ac:dyDescent="0.25">
      <c r="A1526" t="s">
        <v>9</v>
      </c>
      <c r="B1526" s="39">
        <v>46058</v>
      </c>
      <c r="C1526" s="40">
        <v>0.75</v>
      </c>
      <c r="D1526" s="41">
        <v>5298</v>
      </c>
      <c r="E1526" s="41">
        <v>5303</v>
      </c>
      <c r="F1526" s="41">
        <v>5296</v>
      </c>
      <c r="G1526" s="41">
        <v>5299</v>
      </c>
      <c r="H1526" s="41">
        <v>3068882875</v>
      </c>
      <c r="I1526" s="42">
        <v>11580</v>
      </c>
    </row>
    <row r="1527" spans="1:9" x14ac:dyDescent="0.25">
      <c r="A1527" t="s">
        <v>9</v>
      </c>
      <c r="B1527" s="39">
        <v>46058</v>
      </c>
      <c r="C1527" s="40">
        <v>0.72916666666666663</v>
      </c>
      <c r="D1527" s="41">
        <v>5289.5</v>
      </c>
      <c r="E1527" s="41">
        <v>5299.5</v>
      </c>
      <c r="F1527" s="41">
        <v>5287</v>
      </c>
      <c r="G1527" s="41">
        <v>5296.5</v>
      </c>
      <c r="H1527" s="41">
        <v>1636755625</v>
      </c>
      <c r="I1527" s="42">
        <v>6185</v>
      </c>
    </row>
    <row r="1528" spans="1:9" x14ac:dyDescent="0.25">
      <c r="A1528" t="s">
        <v>9</v>
      </c>
      <c r="B1528" s="39">
        <v>46058</v>
      </c>
      <c r="C1528" s="40">
        <v>0.70833333333333337</v>
      </c>
      <c r="D1528" s="41">
        <v>5279</v>
      </c>
      <c r="E1528" s="41">
        <v>5290</v>
      </c>
      <c r="F1528" s="41">
        <v>5279</v>
      </c>
      <c r="G1528" s="41">
        <v>5289</v>
      </c>
      <c r="H1528" s="41">
        <v>1624490750</v>
      </c>
      <c r="I1528" s="42">
        <v>6150</v>
      </c>
    </row>
    <row r="1529" spans="1:9" x14ac:dyDescent="0.25">
      <c r="A1529" t="s">
        <v>9</v>
      </c>
      <c r="B1529" s="39">
        <v>46058</v>
      </c>
      <c r="C1529" s="40">
        <v>0.6875</v>
      </c>
      <c r="D1529" s="41">
        <v>5277</v>
      </c>
      <c r="E1529" s="41">
        <v>5281</v>
      </c>
      <c r="F1529" s="41">
        <v>5276.5</v>
      </c>
      <c r="G1529" s="41">
        <v>5279.5</v>
      </c>
      <c r="H1529" s="41">
        <v>3915784750</v>
      </c>
      <c r="I1529" s="42">
        <v>14835</v>
      </c>
    </row>
    <row r="1530" spans="1:9" x14ac:dyDescent="0.25">
      <c r="A1530" t="s">
        <v>9</v>
      </c>
      <c r="B1530" s="39">
        <v>46058</v>
      </c>
      <c r="C1530" s="40">
        <v>0.66666666666666663</v>
      </c>
      <c r="D1530" s="41">
        <v>5274.5</v>
      </c>
      <c r="E1530" s="41">
        <v>5278.5</v>
      </c>
      <c r="F1530" s="41">
        <v>5274</v>
      </c>
      <c r="G1530" s="41">
        <v>5277</v>
      </c>
      <c r="H1530" s="41">
        <v>2394188125</v>
      </c>
      <c r="I1530" s="42">
        <v>9075</v>
      </c>
    </row>
    <row r="1531" spans="1:9" x14ac:dyDescent="0.25">
      <c r="A1531" t="s">
        <v>9</v>
      </c>
      <c r="B1531" s="39">
        <v>46058</v>
      </c>
      <c r="C1531" s="40">
        <v>0.64583333333333337</v>
      </c>
      <c r="D1531" s="41">
        <v>5275.5</v>
      </c>
      <c r="E1531" s="41">
        <v>5281</v>
      </c>
      <c r="F1531" s="41">
        <v>5271.5</v>
      </c>
      <c r="G1531" s="41">
        <v>5274.5</v>
      </c>
      <c r="H1531" s="41">
        <v>2515033250</v>
      </c>
      <c r="I1531" s="42">
        <v>9530</v>
      </c>
    </row>
    <row r="1532" spans="1:9" x14ac:dyDescent="0.25">
      <c r="A1532" t="s">
        <v>9</v>
      </c>
      <c r="B1532" s="39">
        <v>46058</v>
      </c>
      <c r="C1532" s="40">
        <v>0.625</v>
      </c>
      <c r="D1532" s="41">
        <v>5280.5</v>
      </c>
      <c r="E1532" s="41">
        <v>5280.5</v>
      </c>
      <c r="F1532" s="41">
        <v>5275.5</v>
      </c>
      <c r="G1532" s="41">
        <v>5275.5</v>
      </c>
      <c r="H1532" s="41">
        <v>3215425125</v>
      </c>
      <c r="I1532" s="42">
        <v>12185</v>
      </c>
    </row>
    <row r="1533" spans="1:9" x14ac:dyDescent="0.25">
      <c r="A1533" t="s">
        <v>9</v>
      </c>
      <c r="B1533" s="39">
        <v>46058</v>
      </c>
      <c r="C1533" s="40">
        <v>0.60416666666666663</v>
      </c>
      <c r="D1533" s="41">
        <v>5282</v>
      </c>
      <c r="E1533" s="41">
        <v>5285.5</v>
      </c>
      <c r="F1533" s="41">
        <v>5277</v>
      </c>
      <c r="G1533" s="41">
        <v>5281</v>
      </c>
      <c r="H1533" s="41">
        <v>2104421125</v>
      </c>
      <c r="I1533" s="42">
        <v>7970</v>
      </c>
    </row>
    <row r="1534" spans="1:9" x14ac:dyDescent="0.25">
      <c r="A1534" t="s">
        <v>9</v>
      </c>
      <c r="B1534" s="39">
        <v>46058</v>
      </c>
      <c r="C1534" s="40">
        <v>0.58333333333333337</v>
      </c>
      <c r="D1534" s="41">
        <v>5287.5</v>
      </c>
      <c r="E1534" s="41">
        <v>5296</v>
      </c>
      <c r="F1534" s="41">
        <v>5279</v>
      </c>
      <c r="G1534" s="41">
        <v>5282</v>
      </c>
      <c r="H1534" s="41">
        <v>3031003500</v>
      </c>
      <c r="I1534" s="42">
        <v>11460</v>
      </c>
    </row>
    <row r="1535" spans="1:9" x14ac:dyDescent="0.25">
      <c r="A1535" t="s">
        <v>9</v>
      </c>
      <c r="B1535" s="39">
        <v>46058</v>
      </c>
      <c r="C1535" s="40">
        <v>0.5625</v>
      </c>
      <c r="D1535" s="41">
        <v>5290</v>
      </c>
      <c r="E1535" s="41">
        <v>5291</v>
      </c>
      <c r="F1535" s="41">
        <v>5283.5</v>
      </c>
      <c r="G1535" s="41">
        <v>5287</v>
      </c>
      <c r="H1535" s="41">
        <v>3906866375</v>
      </c>
      <c r="I1535" s="42">
        <v>14775</v>
      </c>
    </row>
    <row r="1536" spans="1:9" x14ac:dyDescent="0.25">
      <c r="A1536" t="s">
        <v>9</v>
      </c>
      <c r="B1536" s="39">
        <v>46058</v>
      </c>
      <c r="C1536" s="40">
        <v>0.54166666666666663</v>
      </c>
      <c r="D1536" s="41">
        <v>5299</v>
      </c>
      <c r="E1536" s="41">
        <v>5310.5</v>
      </c>
      <c r="F1536" s="41">
        <v>5288.5</v>
      </c>
      <c r="G1536" s="41">
        <v>5291</v>
      </c>
      <c r="H1536" s="41">
        <v>5431561000</v>
      </c>
      <c r="I1536" s="42">
        <v>20495</v>
      </c>
    </row>
    <row r="1537" spans="1:9" x14ac:dyDescent="0.25">
      <c r="A1537" t="s">
        <v>9</v>
      </c>
      <c r="B1537" s="39">
        <v>46058</v>
      </c>
      <c r="C1537" s="40">
        <v>0.52083333333333337</v>
      </c>
      <c r="D1537" s="41">
        <v>5281</v>
      </c>
      <c r="E1537" s="41">
        <v>5314</v>
      </c>
      <c r="F1537" s="41">
        <v>5280.5</v>
      </c>
      <c r="G1537" s="41">
        <v>5299</v>
      </c>
      <c r="H1537" s="41">
        <v>10408554380</v>
      </c>
      <c r="I1537" s="42">
        <v>39270</v>
      </c>
    </row>
    <row r="1538" spans="1:9" x14ac:dyDescent="0.25">
      <c r="A1538" t="s">
        <v>9</v>
      </c>
      <c r="B1538" s="39">
        <v>46058</v>
      </c>
      <c r="C1538" s="40">
        <v>0.5</v>
      </c>
      <c r="D1538" s="41">
        <v>5270.5</v>
      </c>
      <c r="E1538" s="41">
        <v>5284.5</v>
      </c>
      <c r="F1538" s="41">
        <v>5267</v>
      </c>
      <c r="G1538" s="41">
        <v>5282.5</v>
      </c>
      <c r="H1538" s="41">
        <v>5141558250</v>
      </c>
      <c r="I1538" s="42">
        <v>19480</v>
      </c>
    </row>
    <row r="1539" spans="1:9" x14ac:dyDescent="0.25">
      <c r="A1539" t="s">
        <v>9</v>
      </c>
      <c r="B1539" s="39">
        <v>46058</v>
      </c>
      <c r="C1539" s="40">
        <v>0.47916666666666669</v>
      </c>
      <c r="D1539" s="41">
        <v>5269</v>
      </c>
      <c r="E1539" s="41">
        <v>5276</v>
      </c>
      <c r="F1539" s="41">
        <v>5260</v>
      </c>
      <c r="G1539" s="41">
        <v>5270</v>
      </c>
      <c r="H1539" s="41">
        <v>4307500000</v>
      </c>
      <c r="I1539" s="42">
        <v>16355</v>
      </c>
    </row>
    <row r="1540" spans="1:9" x14ac:dyDescent="0.25">
      <c r="A1540" t="s">
        <v>9</v>
      </c>
      <c r="B1540" s="39">
        <v>46058</v>
      </c>
      <c r="C1540" s="40">
        <v>0.45833333333333331</v>
      </c>
      <c r="D1540" s="41">
        <v>5274.5</v>
      </c>
      <c r="E1540" s="41">
        <v>5279</v>
      </c>
      <c r="F1540" s="41">
        <v>5264.5</v>
      </c>
      <c r="G1540" s="41">
        <v>5269</v>
      </c>
      <c r="H1540" s="41">
        <v>6725006250</v>
      </c>
      <c r="I1540" s="42">
        <v>25510</v>
      </c>
    </row>
    <row r="1541" spans="1:9" x14ac:dyDescent="0.25">
      <c r="A1541" t="s">
        <v>9</v>
      </c>
      <c r="B1541" s="39">
        <v>46058</v>
      </c>
      <c r="C1541" s="40">
        <v>0.4375</v>
      </c>
      <c r="D1541" s="41">
        <v>5283</v>
      </c>
      <c r="E1541" s="41">
        <v>5283</v>
      </c>
      <c r="F1541" s="41">
        <v>5270</v>
      </c>
      <c r="G1541" s="41">
        <v>5273.5</v>
      </c>
      <c r="H1541" s="41">
        <v>3496462500</v>
      </c>
      <c r="I1541" s="42">
        <v>13255</v>
      </c>
    </row>
    <row r="1542" spans="1:9" x14ac:dyDescent="0.25">
      <c r="A1542" t="s">
        <v>9</v>
      </c>
      <c r="B1542" s="39">
        <v>46058</v>
      </c>
      <c r="C1542" s="40">
        <v>0.41666666666666669</v>
      </c>
      <c r="D1542" s="41">
        <v>5292.5</v>
      </c>
      <c r="E1542" s="41">
        <v>5292.5</v>
      </c>
      <c r="F1542" s="41">
        <v>5279.5</v>
      </c>
      <c r="G1542" s="41">
        <v>5284</v>
      </c>
      <c r="H1542" s="41">
        <v>4370573125</v>
      </c>
      <c r="I1542" s="42">
        <v>16540</v>
      </c>
    </row>
    <row r="1543" spans="1:9" x14ac:dyDescent="0.25">
      <c r="A1543" t="s">
        <v>9</v>
      </c>
      <c r="B1543" s="39">
        <v>46058</v>
      </c>
      <c r="C1543" s="40">
        <v>0.39583333333333331</v>
      </c>
      <c r="D1543" s="41">
        <v>5286.5</v>
      </c>
      <c r="E1543" s="41">
        <v>5300</v>
      </c>
      <c r="F1543" s="41">
        <v>5283</v>
      </c>
      <c r="G1543" s="41">
        <v>5294</v>
      </c>
      <c r="H1543" s="41">
        <v>4509393250</v>
      </c>
      <c r="I1543" s="42">
        <v>17040</v>
      </c>
    </row>
    <row r="1544" spans="1:9" x14ac:dyDescent="0.25">
      <c r="A1544" t="s">
        <v>9</v>
      </c>
      <c r="B1544" s="39">
        <v>46058</v>
      </c>
      <c r="C1544" s="40">
        <v>0.375</v>
      </c>
      <c r="D1544" s="41">
        <v>5275.5</v>
      </c>
      <c r="E1544" s="41">
        <v>5288</v>
      </c>
      <c r="F1544" s="41">
        <v>5266</v>
      </c>
      <c r="G1544" s="41">
        <v>5287.5</v>
      </c>
      <c r="H1544" s="41">
        <v>4072171750</v>
      </c>
      <c r="I1544" s="42">
        <v>15430</v>
      </c>
    </row>
    <row r="1545" spans="1:9" x14ac:dyDescent="0.25">
      <c r="A1545" t="s">
        <v>9</v>
      </c>
      <c r="B1545" s="39">
        <v>46057</v>
      </c>
      <c r="C1545" s="40">
        <v>0.75</v>
      </c>
      <c r="D1545" s="41">
        <v>5269</v>
      </c>
      <c r="E1545" s="41">
        <v>5271</v>
      </c>
      <c r="F1545" s="41">
        <v>5265</v>
      </c>
      <c r="G1545" s="41">
        <v>5266</v>
      </c>
      <c r="H1545" s="41">
        <v>693993125</v>
      </c>
      <c r="I1545" s="42">
        <v>2635</v>
      </c>
    </row>
    <row r="1546" spans="1:9" x14ac:dyDescent="0.25">
      <c r="A1546" t="s">
        <v>9</v>
      </c>
      <c r="B1546" s="39">
        <v>46057</v>
      </c>
      <c r="C1546" s="40">
        <v>0.72916666666666663</v>
      </c>
      <c r="D1546" s="41">
        <v>5274</v>
      </c>
      <c r="E1546" s="41">
        <v>5274</v>
      </c>
      <c r="F1546" s="41">
        <v>5266</v>
      </c>
      <c r="G1546" s="41">
        <v>5268</v>
      </c>
      <c r="H1546" s="41">
        <v>1806267750</v>
      </c>
      <c r="I1546" s="42">
        <v>6855</v>
      </c>
    </row>
    <row r="1547" spans="1:9" x14ac:dyDescent="0.25">
      <c r="A1547" t="s">
        <v>9</v>
      </c>
      <c r="B1547" s="39">
        <v>46057</v>
      </c>
      <c r="C1547" s="40">
        <v>0.70833333333333337</v>
      </c>
      <c r="D1547" s="41">
        <v>5276.5</v>
      </c>
      <c r="E1547" s="41">
        <v>5279</v>
      </c>
      <c r="F1547" s="41">
        <v>5272.5</v>
      </c>
      <c r="G1547" s="41">
        <v>5274.5</v>
      </c>
      <c r="H1547" s="41">
        <v>2195759125</v>
      </c>
      <c r="I1547" s="42">
        <v>8325</v>
      </c>
    </row>
    <row r="1548" spans="1:9" x14ac:dyDescent="0.25">
      <c r="A1548" t="s">
        <v>9</v>
      </c>
      <c r="B1548" s="39">
        <v>46057</v>
      </c>
      <c r="C1548" s="40">
        <v>0.6875</v>
      </c>
      <c r="D1548" s="41">
        <v>5287</v>
      </c>
      <c r="E1548" s="41">
        <v>5287.5</v>
      </c>
      <c r="F1548" s="41">
        <v>5272.5</v>
      </c>
      <c r="G1548" s="41">
        <v>5277</v>
      </c>
      <c r="H1548" s="41">
        <v>1813688375</v>
      </c>
      <c r="I1548" s="42">
        <v>6870</v>
      </c>
    </row>
    <row r="1549" spans="1:9" x14ac:dyDescent="0.25">
      <c r="A1549" t="s">
        <v>9</v>
      </c>
      <c r="B1549" s="39">
        <v>46057</v>
      </c>
      <c r="C1549" s="40">
        <v>0.66666666666666663</v>
      </c>
      <c r="D1549" s="41">
        <v>5284</v>
      </c>
      <c r="E1549" s="41">
        <v>5291</v>
      </c>
      <c r="F1549" s="41">
        <v>5283.5</v>
      </c>
      <c r="G1549" s="41">
        <v>5287</v>
      </c>
      <c r="H1549" s="41">
        <v>2305311375</v>
      </c>
      <c r="I1549" s="42">
        <v>8720</v>
      </c>
    </row>
    <row r="1550" spans="1:9" x14ac:dyDescent="0.25">
      <c r="A1550" t="s">
        <v>9</v>
      </c>
      <c r="B1550" s="39">
        <v>46057</v>
      </c>
      <c r="C1550" s="40">
        <v>0.64583333333333337</v>
      </c>
      <c r="D1550" s="41">
        <v>5283</v>
      </c>
      <c r="E1550" s="41">
        <v>5285</v>
      </c>
      <c r="F1550" s="41">
        <v>5280</v>
      </c>
      <c r="G1550" s="41">
        <v>5284</v>
      </c>
      <c r="H1550" s="41">
        <v>1777639625</v>
      </c>
      <c r="I1550" s="42">
        <v>6730</v>
      </c>
    </row>
    <row r="1551" spans="1:9" x14ac:dyDescent="0.25">
      <c r="A1551" t="s">
        <v>9</v>
      </c>
      <c r="B1551" s="39">
        <v>46057</v>
      </c>
      <c r="C1551" s="40">
        <v>0.625</v>
      </c>
      <c r="D1551" s="41">
        <v>5281</v>
      </c>
      <c r="E1551" s="41">
        <v>5287.5</v>
      </c>
      <c r="F1551" s="41">
        <v>5280.5</v>
      </c>
      <c r="G1551" s="41">
        <v>5282.5</v>
      </c>
      <c r="H1551" s="41">
        <v>4533477375</v>
      </c>
      <c r="I1551" s="42">
        <v>17155</v>
      </c>
    </row>
    <row r="1552" spans="1:9" x14ac:dyDescent="0.25">
      <c r="A1552" t="s">
        <v>9</v>
      </c>
      <c r="B1552" s="39">
        <v>46057</v>
      </c>
      <c r="C1552" s="40">
        <v>0.60416666666666663</v>
      </c>
      <c r="D1552" s="41">
        <v>5273</v>
      </c>
      <c r="E1552" s="41">
        <v>5287.5</v>
      </c>
      <c r="F1552" s="41">
        <v>5270</v>
      </c>
      <c r="G1552" s="41">
        <v>5281</v>
      </c>
      <c r="H1552" s="41">
        <v>3242195125</v>
      </c>
      <c r="I1552" s="42">
        <v>12280</v>
      </c>
    </row>
    <row r="1553" spans="1:9" x14ac:dyDescent="0.25">
      <c r="A1553" t="s">
        <v>9</v>
      </c>
      <c r="B1553" s="39">
        <v>46057</v>
      </c>
      <c r="C1553" s="40">
        <v>0.58333333333333337</v>
      </c>
      <c r="D1553" s="41">
        <v>5275</v>
      </c>
      <c r="E1553" s="41">
        <v>5276.5</v>
      </c>
      <c r="F1553" s="41">
        <v>5266</v>
      </c>
      <c r="G1553" s="41">
        <v>5273.5</v>
      </c>
      <c r="H1553" s="41">
        <v>3041223250</v>
      </c>
      <c r="I1553" s="42">
        <v>11540</v>
      </c>
    </row>
    <row r="1554" spans="1:9" x14ac:dyDescent="0.25">
      <c r="A1554" t="s">
        <v>9</v>
      </c>
      <c r="B1554" s="39">
        <v>46057</v>
      </c>
      <c r="C1554" s="40">
        <v>0.5625</v>
      </c>
      <c r="D1554" s="41">
        <v>5277.5</v>
      </c>
      <c r="E1554" s="41">
        <v>5285</v>
      </c>
      <c r="F1554" s="41">
        <v>5273.5</v>
      </c>
      <c r="G1554" s="41">
        <v>5273.5</v>
      </c>
      <c r="H1554" s="41">
        <v>1850378250</v>
      </c>
      <c r="I1554" s="42">
        <v>7010</v>
      </c>
    </row>
    <row r="1555" spans="1:9" x14ac:dyDescent="0.25">
      <c r="A1555" t="s">
        <v>9</v>
      </c>
      <c r="B1555" s="39">
        <v>46057</v>
      </c>
      <c r="C1555" s="40">
        <v>0.54166666666666663</v>
      </c>
      <c r="D1555" s="41">
        <v>5277</v>
      </c>
      <c r="E1555" s="41">
        <v>5283</v>
      </c>
      <c r="F1555" s="41">
        <v>5275</v>
      </c>
      <c r="G1555" s="41">
        <v>5277.5</v>
      </c>
      <c r="H1555" s="41">
        <v>2065473500</v>
      </c>
      <c r="I1555" s="42">
        <v>7825</v>
      </c>
    </row>
    <row r="1556" spans="1:9" x14ac:dyDescent="0.25">
      <c r="A1556" t="s">
        <v>9</v>
      </c>
      <c r="B1556" s="39">
        <v>46057</v>
      </c>
      <c r="C1556" s="40">
        <v>0.52083333333333337</v>
      </c>
      <c r="D1556" s="41">
        <v>5272.5</v>
      </c>
      <c r="E1556" s="41">
        <v>5283.5</v>
      </c>
      <c r="F1556" s="41">
        <v>5271</v>
      </c>
      <c r="G1556" s="41">
        <v>5277</v>
      </c>
      <c r="H1556" s="41">
        <v>4082619625</v>
      </c>
      <c r="I1556" s="42">
        <v>15470</v>
      </c>
    </row>
    <row r="1557" spans="1:9" x14ac:dyDescent="0.25">
      <c r="A1557" t="s">
        <v>9</v>
      </c>
      <c r="B1557" s="39">
        <v>46057</v>
      </c>
      <c r="C1557" s="40">
        <v>0.5</v>
      </c>
      <c r="D1557" s="41">
        <v>5272.5</v>
      </c>
      <c r="E1557" s="41">
        <v>5276</v>
      </c>
      <c r="F1557" s="41">
        <v>5268</v>
      </c>
      <c r="G1557" s="41">
        <v>5273</v>
      </c>
      <c r="H1557" s="41">
        <v>2497634750</v>
      </c>
      <c r="I1557" s="42">
        <v>9475</v>
      </c>
    </row>
    <row r="1558" spans="1:9" x14ac:dyDescent="0.25">
      <c r="A1558" t="s">
        <v>9</v>
      </c>
      <c r="B1558" s="39">
        <v>46057</v>
      </c>
      <c r="C1558" s="40">
        <v>0.47916666666666669</v>
      </c>
      <c r="D1558" s="41">
        <v>5252.5</v>
      </c>
      <c r="E1558" s="41">
        <v>5273.5</v>
      </c>
      <c r="F1558" s="41">
        <v>5252.5</v>
      </c>
      <c r="G1558" s="41">
        <v>5271.5</v>
      </c>
      <c r="H1558" s="41">
        <v>4247907625</v>
      </c>
      <c r="I1558" s="42">
        <v>16135</v>
      </c>
    </row>
    <row r="1559" spans="1:9" x14ac:dyDescent="0.25">
      <c r="A1559" t="s">
        <v>9</v>
      </c>
      <c r="B1559" s="39">
        <v>46057</v>
      </c>
      <c r="C1559" s="40">
        <v>0.45833333333333331</v>
      </c>
      <c r="D1559" s="41">
        <v>5245</v>
      </c>
      <c r="E1559" s="41">
        <v>5254.5</v>
      </c>
      <c r="F1559" s="41">
        <v>5245</v>
      </c>
      <c r="G1559" s="41">
        <v>5253.5</v>
      </c>
      <c r="H1559" s="41">
        <v>6115774750</v>
      </c>
      <c r="I1559" s="42">
        <v>23295</v>
      </c>
    </row>
    <row r="1560" spans="1:9" x14ac:dyDescent="0.25">
      <c r="A1560" t="s">
        <v>9</v>
      </c>
      <c r="B1560" s="39">
        <v>46057</v>
      </c>
      <c r="C1560" s="40">
        <v>0.4375</v>
      </c>
      <c r="D1560" s="41">
        <v>5252</v>
      </c>
      <c r="E1560" s="41">
        <v>5255</v>
      </c>
      <c r="F1560" s="41">
        <v>5242.5</v>
      </c>
      <c r="G1560" s="41">
        <v>5245</v>
      </c>
      <c r="H1560" s="41">
        <v>3301026750</v>
      </c>
      <c r="I1560" s="42">
        <v>12580</v>
      </c>
    </row>
    <row r="1561" spans="1:9" x14ac:dyDescent="0.25">
      <c r="A1561" t="s">
        <v>9</v>
      </c>
      <c r="B1561" s="39">
        <v>46057</v>
      </c>
      <c r="C1561" s="40">
        <v>0.41666666666666669</v>
      </c>
      <c r="D1561" s="41">
        <v>5246.5</v>
      </c>
      <c r="E1561" s="41">
        <v>5253.5</v>
      </c>
      <c r="F1561" s="41">
        <v>5242</v>
      </c>
      <c r="G1561" s="41">
        <v>5252</v>
      </c>
      <c r="H1561" s="41">
        <v>2612080875</v>
      </c>
      <c r="I1561" s="42">
        <v>9955</v>
      </c>
    </row>
    <row r="1562" spans="1:9" x14ac:dyDescent="0.25">
      <c r="A1562" t="s">
        <v>9</v>
      </c>
      <c r="B1562" s="39">
        <v>46057</v>
      </c>
      <c r="C1562" s="40">
        <v>0.39583333333333331</v>
      </c>
      <c r="D1562" s="41">
        <v>5257.5</v>
      </c>
      <c r="E1562" s="41">
        <v>5257.5</v>
      </c>
      <c r="F1562" s="41">
        <v>5244</v>
      </c>
      <c r="G1562" s="41">
        <v>5246</v>
      </c>
      <c r="H1562" s="41">
        <v>1951389625</v>
      </c>
      <c r="I1562" s="42">
        <v>7435</v>
      </c>
    </row>
    <row r="1563" spans="1:9" x14ac:dyDescent="0.25">
      <c r="A1563" t="s">
        <v>9</v>
      </c>
      <c r="B1563" s="39">
        <v>46057</v>
      </c>
      <c r="C1563" s="40">
        <v>0.375</v>
      </c>
      <c r="D1563" s="41">
        <v>5267</v>
      </c>
      <c r="E1563" s="41">
        <v>5269</v>
      </c>
      <c r="F1563" s="41">
        <v>5252.5</v>
      </c>
      <c r="G1563" s="41">
        <v>5257</v>
      </c>
      <c r="H1563" s="41">
        <v>2531422375</v>
      </c>
      <c r="I1563" s="42">
        <v>9625</v>
      </c>
    </row>
    <row r="1564" spans="1:9" x14ac:dyDescent="0.25">
      <c r="A1564" t="s">
        <v>9</v>
      </c>
      <c r="B1564" s="39">
        <v>46056</v>
      </c>
      <c r="C1564" s="40">
        <v>0.75</v>
      </c>
      <c r="D1564" s="41">
        <v>5268.5</v>
      </c>
      <c r="E1564" s="41">
        <v>5271.5</v>
      </c>
      <c r="F1564" s="41">
        <v>5265.5</v>
      </c>
      <c r="G1564" s="41">
        <v>5267</v>
      </c>
      <c r="H1564" s="41">
        <v>1359367000</v>
      </c>
      <c r="I1564" s="42">
        <v>5160</v>
      </c>
    </row>
    <row r="1565" spans="1:9" x14ac:dyDescent="0.25">
      <c r="A1565" t="s">
        <v>9</v>
      </c>
      <c r="B1565" s="39">
        <v>46056</v>
      </c>
      <c r="C1565" s="40">
        <v>0.72916666666666663</v>
      </c>
      <c r="D1565" s="41">
        <v>5275</v>
      </c>
      <c r="E1565" s="41">
        <v>5275</v>
      </c>
      <c r="F1565" s="41">
        <v>5265.5</v>
      </c>
      <c r="G1565" s="41">
        <v>5267.5</v>
      </c>
      <c r="H1565" s="41">
        <v>2089131625</v>
      </c>
      <c r="I1565" s="42">
        <v>7930</v>
      </c>
    </row>
    <row r="1566" spans="1:9" x14ac:dyDescent="0.25">
      <c r="A1566" t="s">
        <v>9</v>
      </c>
      <c r="B1566" s="39">
        <v>46056</v>
      </c>
      <c r="C1566" s="40">
        <v>0.70833333333333337</v>
      </c>
      <c r="D1566" s="41">
        <v>5277.5</v>
      </c>
      <c r="E1566" s="41">
        <v>5282.5</v>
      </c>
      <c r="F1566" s="41">
        <v>5275</v>
      </c>
      <c r="G1566" s="41">
        <v>5275.5</v>
      </c>
      <c r="H1566" s="41">
        <v>1786503625</v>
      </c>
      <c r="I1566" s="42">
        <v>6770</v>
      </c>
    </row>
    <row r="1567" spans="1:9" x14ac:dyDescent="0.25">
      <c r="A1567" t="s">
        <v>9</v>
      </c>
      <c r="B1567" s="39">
        <v>46056</v>
      </c>
      <c r="C1567" s="40">
        <v>0.6875</v>
      </c>
      <c r="D1567" s="41">
        <v>5267.5</v>
      </c>
      <c r="E1567" s="41">
        <v>5292</v>
      </c>
      <c r="F1567" s="41">
        <v>5266</v>
      </c>
      <c r="G1567" s="41">
        <v>5276.5</v>
      </c>
      <c r="H1567" s="41">
        <v>4814107375</v>
      </c>
      <c r="I1567" s="42">
        <v>18245</v>
      </c>
    </row>
    <row r="1568" spans="1:9" x14ac:dyDescent="0.25">
      <c r="A1568" t="s">
        <v>9</v>
      </c>
      <c r="B1568" s="39">
        <v>46056</v>
      </c>
      <c r="C1568" s="40">
        <v>0.66666666666666663</v>
      </c>
      <c r="D1568" s="41">
        <v>5270.5</v>
      </c>
      <c r="E1568" s="41">
        <v>5276</v>
      </c>
      <c r="F1568" s="41">
        <v>5264.5</v>
      </c>
      <c r="G1568" s="41">
        <v>5267</v>
      </c>
      <c r="H1568" s="41">
        <v>3161736375</v>
      </c>
      <c r="I1568" s="42">
        <v>12000</v>
      </c>
    </row>
    <row r="1569" spans="1:9" x14ac:dyDescent="0.25">
      <c r="A1569" t="s">
        <v>9</v>
      </c>
      <c r="B1569" s="39">
        <v>46056</v>
      </c>
      <c r="C1569" s="40">
        <v>0.64583333333333337</v>
      </c>
      <c r="D1569" s="41">
        <v>5266.5</v>
      </c>
      <c r="E1569" s="41">
        <v>5270.5</v>
      </c>
      <c r="F1569" s="41">
        <v>5264</v>
      </c>
      <c r="G1569" s="41">
        <v>5270</v>
      </c>
      <c r="H1569" s="41">
        <v>3447343500</v>
      </c>
      <c r="I1569" s="42">
        <v>13090</v>
      </c>
    </row>
    <row r="1570" spans="1:9" x14ac:dyDescent="0.25">
      <c r="A1570" t="s">
        <v>9</v>
      </c>
      <c r="B1570" s="39">
        <v>46056</v>
      </c>
      <c r="C1570" s="40">
        <v>0.625</v>
      </c>
      <c r="D1570" s="41">
        <v>5261</v>
      </c>
      <c r="E1570" s="41">
        <v>5267.5</v>
      </c>
      <c r="F1570" s="41">
        <v>5256.5</v>
      </c>
      <c r="G1570" s="41">
        <v>5266.5</v>
      </c>
      <c r="H1570" s="41">
        <v>2659352375</v>
      </c>
      <c r="I1570" s="42">
        <v>10110</v>
      </c>
    </row>
    <row r="1571" spans="1:9" x14ac:dyDescent="0.25">
      <c r="A1571" t="s">
        <v>9</v>
      </c>
      <c r="B1571" s="39">
        <v>46056</v>
      </c>
      <c r="C1571" s="40">
        <v>0.60416666666666663</v>
      </c>
      <c r="D1571" s="41">
        <v>5263.5</v>
      </c>
      <c r="E1571" s="41">
        <v>5268</v>
      </c>
      <c r="F1571" s="41">
        <v>5259.5</v>
      </c>
      <c r="G1571" s="41">
        <v>5262</v>
      </c>
      <c r="H1571" s="41">
        <v>4360387375</v>
      </c>
      <c r="I1571" s="42">
        <v>16570</v>
      </c>
    </row>
    <row r="1572" spans="1:9" x14ac:dyDescent="0.25">
      <c r="A1572" t="s">
        <v>9</v>
      </c>
      <c r="B1572" s="39">
        <v>46056</v>
      </c>
      <c r="C1572" s="40">
        <v>0.58333333333333337</v>
      </c>
      <c r="D1572" s="41">
        <v>5252.5</v>
      </c>
      <c r="E1572" s="41">
        <v>5265</v>
      </c>
      <c r="F1572" s="41">
        <v>5251.5</v>
      </c>
      <c r="G1572" s="41">
        <v>5263</v>
      </c>
      <c r="H1572" s="41">
        <v>2597610625</v>
      </c>
      <c r="I1572" s="42">
        <v>9875</v>
      </c>
    </row>
    <row r="1573" spans="1:9" x14ac:dyDescent="0.25">
      <c r="A1573" t="s">
        <v>9</v>
      </c>
      <c r="B1573" s="39">
        <v>46056</v>
      </c>
      <c r="C1573" s="40">
        <v>0.5625</v>
      </c>
      <c r="D1573" s="41">
        <v>5252</v>
      </c>
      <c r="E1573" s="41">
        <v>5257</v>
      </c>
      <c r="F1573" s="41">
        <v>5248</v>
      </c>
      <c r="G1573" s="41">
        <v>5253</v>
      </c>
      <c r="H1573" s="41">
        <v>3898795875</v>
      </c>
      <c r="I1573" s="42">
        <v>14850</v>
      </c>
    </row>
    <row r="1574" spans="1:9" x14ac:dyDescent="0.25">
      <c r="A1574" t="s">
        <v>9</v>
      </c>
      <c r="B1574" s="39">
        <v>46056</v>
      </c>
      <c r="C1574" s="40">
        <v>0.54166666666666663</v>
      </c>
      <c r="D1574" s="41">
        <v>5243.5</v>
      </c>
      <c r="E1574" s="41">
        <v>5252.5</v>
      </c>
      <c r="F1574" s="41">
        <v>5241.5</v>
      </c>
      <c r="G1574" s="41">
        <v>5252.5</v>
      </c>
      <c r="H1574" s="41">
        <v>2076847875</v>
      </c>
      <c r="I1574" s="42">
        <v>7920</v>
      </c>
    </row>
    <row r="1575" spans="1:9" x14ac:dyDescent="0.25">
      <c r="A1575" t="s">
        <v>9</v>
      </c>
      <c r="B1575" s="39">
        <v>46056</v>
      </c>
      <c r="C1575" s="40">
        <v>0.52083333333333337</v>
      </c>
      <c r="D1575" s="41">
        <v>5249</v>
      </c>
      <c r="E1575" s="41">
        <v>5254.5</v>
      </c>
      <c r="F1575" s="41">
        <v>5244</v>
      </c>
      <c r="G1575" s="41">
        <v>5244</v>
      </c>
      <c r="H1575" s="41">
        <v>2649876750</v>
      </c>
      <c r="I1575" s="42">
        <v>10095</v>
      </c>
    </row>
    <row r="1576" spans="1:9" x14ac:dyDescent="0.25">
      <c r="A1576" t="s">
        <v>9</v>
      </c>
      <c r="B1576" s="39">
        <v>46056</v>
      </c>
      <c r="C1576" s="40">
        <v>0.5</v>
      </c>
      <c r="D1576" s="41">
        <v>5258</v>
      </c>
      <c r="E1576" s="41">
        <v>5267</v>
      </c>
      <c r="F1576" s="41">
        <v>5246.5</v>
      </c>
      <c r="G1576" s="41">
        <v>5249</v>
      </c>
      <c r="H1576" s="41">
        <v>8143233000</v>
      </c>
      <c r="I1576" s="42">
        <v>30985</v>
      </c>
    </row>
    <row r="1577" spans="1:9" x14ac:dyDescent="0.25">
      <c r="A1577" t="s">
        <v>9</v>
      </c>
      <c r="B1577" s="39">
        <v>46056</v>
      </c>
      <c r="C1577" s="40">
        <v>0.47916666666666669</v>
      </c>
      <c r="D1577" s="41">
        <v>5239.5</v>
      </c>
      <c r="E1577" s="41">
        <v>5258.5</v>
      </c>
      <c r="F1577" s="41">
        <v>5235</v>
      </c>
      <c r="G1577" s="41">
        <v>5258.5</v>
      </c>
      <c r="H1577" s="41">
        <v>4911732000</v>
      </c>
      <c r="I1577" s="42">
        <v>18730</v>
      </c>
    </row>
    <row r="1578" spans="1:9" x14ac:dyDescent="0.25">
      <c r="A1578" t="s">
        <v>9</v>
      </c>
      <c r="B1578" s="39">
        <v>46056</v>
      </c>
      <c r="C1578" s="40">
        <v>0.45833333333333331</v>
      </c>
      <c r="D1578" s="41">
        <v>5244</v>
      </c>
      <c r="E1578" s="41">
        <v>5250</v>
      </c>
      <c r="F1578" s="41">
        <v>5238</v>
      </c>
      <c r="G1578" s="41">
        <v>5239</v>
      </c>
      <c r="H1578" s="41">
        <v>3835537875</v>
      </c>
      <c r="I1578" s="42">
        <v>14630</v>
      </c>
    </row>
    <row r="1579" spans="1:9" x14ac:dyDescent="0.25">
      <c r="A1579" t="s">
        <v>9</v>
      </c>
      <c r="B1579" s="39">
        <v>46056</v>
      </c>
      <c r="C1579" s="40">
        <v>0.4375</v>
      </c>
      <c r="D1579" s="41">
        <v>5260.5</v>
      </c>
      <c r="E1579" s="41">
        <v>5261</v>
      </c>
      <c r="F1579" s="41">
        <v>5240</v>
      </c>
      <c r="G1579" s="41">
        <v>5244</v>
      </c>
      <c r="H1579" s="41">
        <v>3756221375</v>
      </c>
      <c r="I1579" s="42">
        <v>14310</v>
      </c>
    </row>
    <row r="1580" spans="1:9" x14ac:dyDescent="0.25">
      <c r="A1580" t="s">
        <v>9</v>
      </c>
      <c r="B1580" s="39">
        <v>46056</v>
      </c>
      <c r="C1580" s="40">
        <v>0.41666666666666669</v>
      </c>
      <c r="D1580" s="41">
        <v>5262.5</v>
      </c>
      <c r="E1580" s="41">
        <v>5263</v>
      </c>
      <c r="F1580" s="41">
        <v>5252.5</v>
      </c>
      <c r="G1580" s="41">
        <v>5260.5</v>
      </c>
      <c r="H1580" s="41">
        <v>7283545750</v>
      </c>
      <c r="I1580" s="42">
        <v>27710</v>
      </c>
    </row>
    <row r="1581" spans="1:9" x14ac:dyDescent="0.25">
      <c r="A1581" t="s">
        <v>9</v>
      </c>
      <c r="B1581" s="39">
        <v>46056</v>
      </c>
      <c r="C1581" s="40">
        <v>0.39583333333333331</v>
      </c>
      <c r="D1581" s="41">
        <v>5270.5</v>
      </c>
      <c r="E1581" s="41">
        <v>5273</v>
      </c>
      <c r="F1581" s="41">
        <v>5255</v>
      </c>
      <c r="G1581" s="41">
        <v>5264</v>
      </c>
      <c r="H1581" s="41">
        <v>3550437000</v>
      </c>
      <c r="I1581" s="42">
        <v>13490</v>
      </c>
    </row>
    <row r="1582" spans="1:9" x14ac:dyDescent="0.25">
      <c r="A1582" t="s">
        <v>9</v>
      </c>
      <c r="B1582" s="39">
        <v>46056</v>
      </c>
      <c r="C1582" s="40">
        <v>0.375</v>
      </c>
      <c r="D1582" s="41">
        <v>5272.5</v>
      </c>
      <c r="E1582" s="41">
        <v>5278.5</v>
      </c>
      <c r="F1582" s="41">
        <v>5261</v>
      </c>
      <c r="G1582" s="41">
        <v>5270.5</v>
      </c>
      <c r="H1582" s="41">
        <v>2517350750</v>
      </c>
      <c r="I1582" s="42">
        <v>9560</v>
      </c>
    </row>
    <row r="1583" spans="1:9" x14ac:dyDescent="0.25">
      <c r="A1583" t="s">
        <v>9</v>
      </c>
      <c r="B1583" s="39">
        <v>46055</v>
      </c>
      <c r="C1583" s="40">
        <v>0.75</v>
      </c>
      <c r="D1583" s="41">
        <v>5288</v>
      </c>
      <c r="E1583" s="41">
        <v>5292</v>
      </c>
      <c r="F1583" s="41">
        <v>5286.5</v>
      </c>
      <c r="G1583" s="41">
        <v>5292</v>
      </c>
      <c r="H1583" s="41">
        <v>493204875</v>
      </c>
      <c r="I1583" s="42">
        <v>1865</v>
      </c>
    </row>
    <row r="1584" spans="1:9" x14ac:dyDescent="0.25">
      <c r="A1584" t="s">
        <v>9</v>
      </c>
      <c r="B1584" s="39">
        <v>46055</v>
      </c>
      <c r="C1584" s="40">
        <v>0.72916666666666663</v>
      </c>
      <c r="D1584" s="41">
        <v>5288.5</v>
      </c>
      <c r="E1584" s="41">
        <v>5290.5</v>
      </c>
      <c r="F1584" s="41">
        <v>5287</v>
      </c>
      <c r="G1584" s="41">
        <v>5288</v>
      </c>
      <c r="H1584" s="41">
        <v>2455247625</v>
      </c>
      <c r="I1584" s="42">
        <v>9285</v>
      </c>
    </row>
    <row r="1585" spans="1:9" x14ac:dyDescent="0.25">
      <c r="A1585" t="s">
        <v>9</v>
      </c>
      <c r="B1585" s="39">
        <v>46055</v>
      </c>
      <c r="C1585" s="40">
        <v>0.70833333333333337</v>
      </c>
      <c r="D1585" s="41">
        <v>5289</v>
      </c>
      <c r="E1585" s="41">
        <v>5290</v>
      </c>
      <c r="F1585" s="41">
        <v>5287</v>
      </c>
      <c r="G1585" s="41">
        <v>5288</v>
      </c>
      <c r="H1585" s="41">
        <v>1076204750</v>
      </c>
      <c r="I1585" s="42">
        <v>4070</v>
      </c>
    </row>
    <row r="1586" spans="1:9" x14ac:dyDescent="0.25">
      <c r="A1586" t="s">
        <v>9</v>
      </c>
      <c r="B1586" s="39">
        <v>46055</v>
      </c>
      <c r="C1586" s="40">
        <v>0.6875</v>
      </c>
      <c r="D1586" s="41">
        <v>5292.5</v>
      </c>
      <c r="E1586" s="41">
        <v>5294.5</v>
      </c>
      <c r="F1586" s="41">
        <v>5286.5</v>
      </c>
      <c r="G1586" s="41">
        <v>5288.5</v>
      </c>
      <c r="H1586" s="41">
        <v>3277479625</v>
      </c>
      <c r="I1586" s="42">
        <v>12390</v>
      </c>
    </row>
    <row r="1587" spans="1:9" x14ac:dyDescent="0.25">
      <c r="A1587" t="s">
        <v>9</v>
      </c>
      <c r="B1587" s="39">
        <v>46055</v>
      </c>
      <c r="C1587" s="40">
        <v>0.66666666666666663</v>
      </c>
      <c r="D1587" s="41">
        <v>5291.5</v>
      </c>
      <c r="E1587" s="41">
        <v>5294</v>
      </c>
      <c r="F1587" s="41">
        <v>5290.5</v>
      </c>
      <c r="G1587" s="41">
        <v>5292</v>
      </c>
      <c r="H1587" s="41">
        <v>2127286125</v>
      </c>
      <c r="I1587" s="42">
        <v>8040</v>
      </c>
    </row>
    <row r="1588" spans="1:9" x14ac:dyDescent="0.25">
      <c r="A1588" t="s">
        <v>9</v>
      </c>
      <c r="B1588" s="39">
        <v>46055</v>
      </c>
      <c r="C1588" s="40">
        <v>0.64583333333333337</v>
      </c>
      <c r="D1588" s="41">
        <v>5293</v>
      </c>
      <c r="E1588" s="41">
        <v>5294.5</v>
      </c>
      <c r="F1588" s="41">
        <v>5289.5</v>
      </c>
      <c r="G1588" s="41">
        <v>5291.5</v>
      </c>
      <c r="H1588" s="41">
        <v>2410564875</v>
      </c>
      <c r="I1588" s="42">
        <v>9110</v>
      </c>
    </row>
    <row r="1589" spans="1:9" x14ac:dyDescent="0.25">
      <c r="A1589" t="s">
        <v>9</v>
      </c>
      <c r="B1589" s="39">
        <v>46055</v>
      </c>
      <c r="C1589" s="40">
        <v>0.625</v>
      </c>
      <c r="D1589" s="41">
        <v>5289</v>
      </c>
      <c r="E1589" s="41">
        <v>5298</v>
      </c>
      <c r="F1589" s="41">
        <v>5288.5</v>
      </c>
      <c r="G1589" s="41">
        <v>5293</v>
      </c>
      <c r="H1589" s="41">
        <v>8410644375</v>
      </c>
      <c r="I1589" s="42">
        <v>31775</v>
      </c>
    </row>
    <row r="1590" spans="1:9" x14ac:dyDescent="0.25">
      <c r="A1590" t="s">
        <v>9</v>
      </c>
      <c r="B1590" s="39">
        <v>46055</v>
      </c>
      <c r="C1590" s="40">
        <v>0.60416666666666663</v>
      </c>
      <c r="D1590" s="41">
        <v>5286.5</v>
      </c>
      <c r="E1590" s="41">
        <v>5290.5</v>
      </c>
      <c r="F1590" s="41">
        <v>5285.5</v>
      </c>
      <c r="G1590" s="41">
        <v>5289.5</v>
      </c>
      <c r="H1590" s="41">
        <v>3827178375</v>
      </c>
      <c r="I1590" s="42">
        <v>14475</v>
      </c>
    </row>
    <row r="1591" spans="1:9" x14ac:dyDescent="0.25">
      <c r="A1591" t="s">
        <v>9</v>
      </c>
      <c r="B1591" s="39">
        <v>46055</v>
      </c>
      <c r="C1591" s="40">
        <v>0.58333333333333337</v>
      </c>
      <c r="D1591" s="41">
        <v>5291</v>
      </c>
      <c r="E1591" s="41">
        <v>5291.5</v>
      </c>
      <c r="F1591" s="41">
        <v>5280.5</v>
      </c>
      <c r="G1591" s="41">
        <v>5286.5</v>
      </c>
      <c r="H1591" s="41">
        <v>2695101750</v>
      </c>
      <c r="I1591" s="42">
        <v>10195</v>
      </c>
    </row>
    <row r="1592" spans="1:9" x14ac:dyDescent="0.25">
      <c r="A1592" t="s">
        <v>9</v>
      </c>
      <c r="B1592" s="39">
        <v>46055</v>
      </c>
      <c r="C1592" s="40">
        <v>0.5625</v>
      </c>
      <c r="D1592" s="41">
        <v>5290</v>
      </c>
      <c r="E1592" s="41">
        <v>5293.5</v>
      </c>
      <c r="F1592" s="41">
        <v>5284</v>
      </c>
      <c r="G1592" s="41">
        <v>5290.5</v>
      </c>
      <c r="H1592" s="41">
        <v>1819365250</v>
      </c>
      <c r="I1592" s="42">
        <v>6880</v>
      </c>
    </row>
    <row r="1593" spans="1:9" x14ac:dyDescent="0.25">
      <c r="A1593" t="s">
        <v>9</v>
      </c>
      <c r="B1593" s="39">
        <v>46055</v>
      </c>
      <c r="C1593" s="40">
        <v>0.54166666666666663</v>
      </c>
      <c r="D1593" s="41">
        <v>5293.5</v>
      </c>
      <c r="E1593" s="41">
        <v>5296</v>
      </c>
      <c r="F1593" s="41">
        <v>5286.5</v>
      </c>
      <c r="G1593" s="41">
        <v>5290</v>
      </c>
      <c r="H1593" s="41">
        <v>2753660000</v>
      </c>
      <c r="I1593" s="42">
        <v>10410</v>
      </c>
    </row>
    <row r="1594" spans="1:9" x14ac:dyDescent="0.25">
      <c r="A1594" t="s">
        <v>9</v>
      </c>
      <c r="B1594" s="39">
        <v>46055</v>
      </c>
      <c r="C1594" s="40">
        <v>0.52083333333333337</v>
      </c>
      <c r="D1594" s="41">
        <v>5298.5</v>
      </c>
      <c r="E1594" s="41">
        <v>5300</v>
      </c>
      <c r="F1594" s="41">
        <v>5290</v>
      </c>
      <c r="G1594" s="41">
        <v>5293.5</v>
      </c>
      <c r="H1594" s="41">
        <v>2800155500</v>
      </c>
      <c r="I1594" s="42">
        <v>10580</v>
      </c>
    </row>
    <row r="1595" spans="1:9" x14ac:dyDescent="0.25">
      <c r="A1595" t="s">
        <v>9</v>
      </c>
      <c r="B1595" s="39">
        <v>46055</v>
      </c>
      <c r="C1595" s="40">
        <v>0.5</v>
      </c>
      <c r="D1595" s="41">
        <v>5290</v>
      </c>
      <c r="E1595" s="41">
        <v>5301</v>
      </c>
      <c r="F1595" s="41">
        <v>5285</v>
      </c>
      <c r="G1595" s="41">
        <v>5299</v>
      </c>
      <c r="H1595" s="41">
        <v>3078509125</v>
      </c>
      <c r="I1595" s="42">
        <v>11635</v>
      </c>
    </row>
    <row r="1596" spans="1:9" x14ac:dyDescent="0.25">
      <c r="A1596" t="s">
        <v>9</v>
      </c>
      <c r="B1596" s="39">
        <v>46055</v>
      </c>
      <c r="C1596" s="40">
        <v>0.47916666666666669</v>
      </c>
      <c r="D1596" s="41">
        <v>5307</v>
      </c>
      <c r="E1596" s="41">
        <v>5309</v>
      </c>
      <c r="F1596" s="41">
        <v>5278</v>
      </c>
      <c r="G1596" s="41">
        <v>5288.5</v>
      </c>
      <c r="H1596" s="41">
        <v>5655304625</v>
      </c>
      <c r="I1596" s="42">
        <v>21375</v>
      </c>
    </row>
    <row r="1597" spans="1:9" x14ac:dyDescent="0.25">
      <c r="A1597" t="s">
        <v>9</v>
      </c>
      <c r="B1597" s="39">
        <v>46055</v>
      </c>
      <c r="C1597" s="40">
        <v>0.45833333333333331</v>
      </c>
      <c r="D1597" s="41">
        <v>5287.5</v>
      </c>
      <c r="E1597" s="41">
        <v>5312</v>
      </c>
      <c r="F1597" s="41">
        <v>5286</v>
      </c>
      <c r="G1597" s="41">
        <v>5307</v>
      </c>
      <c r="H1597" s="41">
        <v>10693973000</v>
      </c>
      <c r="I1597" s="42">
        <v>40350</v>
      </c>
    </row>
    <row r="1598" spans="1:9" x14ac:dyDescent="0.25">
      <c r="A1598" t="s">
        <v>9</v>
      </c>
      <c r="B1598" s="39">
        <v>46055</v>
      </c>
      <c r="C1598" s="40">
        <v>0.4375</v>
      </c>
      <c r="D1598" s="41">
        <v>5288</v>
      </c>
      <c r="E1598" s="41">
        <v>5294</v>
      </c>
      <c r="F1598" s="41">
        <v>5285.5</v>
      </c>
      <c r="G1598" s="41">
        <v>5287.5</v>
      </c>
      <c r="H1598" s="41">
        <v>2252299875</v>
      </c>
      <c r="I1598" s="42">
        <v>8515</v>
      </c>
    </row>
    <row r="1599" spans="1:9" x14ac:dyDescent="0.25">
      <c r="A1599" t="s">
        <v>9</v>
      </c>
      <c r="B1599" s="39">
        <v>46055</v>
      </c>
      <c r="C1599" s="40">
        <v>0.41666666666666669</v>
      </c>
      <c r="D1599" s="41">
        <v>5274</v>
      </c>
      <c r="E1599" s="41">
        <v>5295</v>
      </c>
      <c r="F1599" s="41">
        <v>5273.5</v>
      </c>
      <c r="G1599" s="41">
        <v>5288</v>
      </c>
      <c r="H1599" s="41">
        <v>3474640875</v>
      </c>
      <c r="I1599" s="42">
        <v>13145</v>
      </c>
    </row>
    <row r="1600" spans="1:9" x14ac:dyDescent="0.25">
      <c r="A1600" t="s">
        <v>9</v>
      </c>
      <c r="B1600" s="39">
        <v>46055</v>
      </c>
      <c r="C1600" s="40">
        <v>0.39583333333333331</v>
      </c>
      <c r="D1600" s="41">
        <v>5279</v>
      </c>
      <c r="E1600" s="41">
        <v>5282.5</v>
      </c>
      <c r="F1600" s="41">
        <v>5267.5</v>
      </c>
      <c r="G1600" s="41">
        <v>5274.5</v>
      </c>
      <c r="H1600" s="41">
        <v>3489482625</v>
      </c>
      <c r="I1600" s="42">
        <v>13230</v>
      </c>
    </row>
    <row r="1601" spans="1:9" x14ac:dyDescent="0.25">
      <c r="A1601" t="s">
        <v>9</v>
      </c>
      <c r="B1601" s="39">
        <v>46055</v>
      </c>
      <c r="C1601" s="40">
        <v>0.375</v>
      </c>
      <c r="D1601" s="41">
        <v>5295</v>
      </c>
      <c r="E1601" s="41">
        <v>5295</v>
      </c>
      <c r="F1601" s="41">
        <v>5271.5</v>
      </c>
      <c r="G1601" s="41">
        <v>5278.5</v>
      </c>
      <c r="H1601" s="41">
        <v>3296572250</v>
      </c>
      <c r="I1601" s="42">
        <v>12485</v>
      </c>
    </row>
    <row r="1602" spans="1:9" x14ac:dyDescent="0.25">
      <c r="A1602" t="s">
        <v>9</v>
      </c>
      <c r="B1602" s="39">
        <v>46052</v>
      </c>
      <c r="C1602" s="40">
        <v>0.75</v>
      </c>
      <c r="D1602" s="41">
        <v>5294.5</v>
      </c>
      <c r="E1602" s="41">
        <v>5298.5</v>
      </c>
      <c r="F1602" s="41">
        <v>5288</v>
      </c>
      <c r="G1602" s="41">
        <v>5290.5</v>
      </c>
      <c r="H1602" s="41">
        <v>1315477250</v>
      </c>
      <c r="I1602" s="42">
        <v>4970</v>
      </c>
    </row>
    <row r="1603" spans="1:9" x14ac:dyDescent="0.25">
      <c r="A1603" t="s">
        <v>9</v>
      </c>
      <c r="B1603" s="39">
        <v>46052</v>
      </c>
      <c r="C1603" s="40">
        <v>0.72916666666666663</v>
      </c>
      <c r="D1603" s="41">
        <v>5294</v>
      </c>
      <c r="E1603" s="41">
        <v>5299.5</v>
      </c>
      <c r="F1603" s="41">
        <v>5289.5</v>
      </c>
      <c r="G1603" s="41">
        <v>5294</v>
      </c>
      <c r="H1603" s="41">
        <v>3146654375</v>
      </c>
      <c r="I1603" s="42">
        <v>11890</v>
      </c>
    </row>
    <row r="1604" spans="1:9" x14ac:dyDescent="0.25">
      <c r="A1604" t="s">
        <v>9</v>
      </c>
      <c r="B1604" s="39">
        <v>46052</v>
      </c>
      <c r="C1604" s="40">
        <v>0.70833333333333337</v>
      </c>
      <c r="D1604" s="41">
        <v>5279</v>
      </c>
      <c r="E1604" s="41">
        <v>5296</v>
      </c>
      <c r="F1604" s="41">
        <v>5278.5</v>
      </c>
      <c r="G1604" s="41">
        <v>5294</v>
      </c>
      <c r="H1604" s="41">
        <v>2248141000</v>
      </c>
      <c r="I1604" s="42">
        <v>8505</v>
      </c>
    </row>
    <row r="1605" spans="1:9" x14ac:dyDescent="0.25">
      <c r="A1605" t="s">
        <v>9</v>
      </c>
      <c r="B1605" s="39">
        <v>46052</v>
      </c>
      <c r="C1605" s="40">
        <v>0.6875</v>
      </c>
      <c r="D1605" s="41">
        <v>5283</v>
      </c>
      <c r="E1605" s="41">
        <v>5284.5</v>
      </c>
      <c r="F1605" s="41">
        <v>5278</v>
      </c>
      <c r="G1605" s="41">
        <v>5280</v>
      </c>
      <c r="H1605" s="41">
        <v>2156038875</v>
      </c>
      <c r="I1605" s="42">
        <v>8165</v>
      </c>
    </row>
    <row r="1606" spans="1:9" x14ac:dyDescent="0.25">
      <c r="A1606" t="s">
        <v>9</v>
      </c>
      <c r="B1606" s="39">
        <v>46052</v>
      </c>
      <c r="C1606" s="40">
        <v>0.66666666666666663</v>
      </c>
      <c r="D1606" s="41">
        <v>5285.5</v>
      </c>
      <c r="E1606" s="41">
        <v>5285.5</v>
      </c>
      <c r="F1606" s="41">
        <v>5273.5</v>
      </c>
      <c r="G1606" s="41">
        <v>5282.5</v>
      </c>
      <c r="H1606" s="41">
        <v>4920388125</v>
      </c>
      <c r="I1606" s="42">
        <v>18640</v>
      </c>
    </row>
    <row r="1607" spans="1:9" x14ac:dyDescent="0.25">
      <c r="A1607" t="s">
        <v>9</v>
      </c>
      <c r="B1607" s="39">
        <v>46052</v>
      </c>
      <c r="C1607" s="40">
        <v>0.64583333333333337</v>
      </c>
      <c r="D1607" s="41">
        <v>5299</v>
      </c>
      <c r="E1607" s="41">
        <v>5310.5</v>
      </c>
      <c r="F1607" s="41">
        <v>5280.5</v>
      </c>
      <c r="G1607" s="41">
        <v>5284.5</v>
      </c>
      <c r="H1607" s="41">
        <v>10409050130</v>
      </c>
      <c r="I1607" s="42">
        <v>39305</v>
      </c>
    </row>
    <row r="1608" spans="1:9" x14ac:dyDescent="0.25">
      <c r="A1608" t="s">
        <v>9</v>
      </c>
      <c r="B1608" s="39">
        <v>46052</v>
      </c>
      <c r="C1608" s="40">
        <v>0.625</v>
      </c>
      <c r="D1608" s="41">
        <v>5291</v>
      </c>
      <c r="E1608" s="41">
        <v>5311.5</v>
      </c>
      <c r="F1608" s="41">
        <v>5287</v>
      </c>
      <c r="G1608" s="41">
        <v>5299.5</v>
      </c>
      <c r="H1608" s="41">
        <v>7362834125</v>
      </c>
      <c r="I1608" s="42">
        <v>27805</v>
      </c>
    </row>
    <row r="1609" spans="1:9" x14ac:dyDescent="0.25">
      <c r="A1609" t="s">
        <v>9</v>
      </c>
      <c r="B1609" s="39">
        <v>46052</v>
      </c>
      <c r="C1609" s="40">
        <v>0.60416666666666663</v>
      </c>
      <c r="D1609" s="41">
        <v>5290.5</v>
      </c>
      <c r="E1609" s="41">
        <v>5291</v>
      </c>
      <c r="F1609" s="41">
        <v>5282</v>
      </c>
      <c r="G1609" s="41">
        <v>5290.5</v>
      </c>
      <c r="H1609" s="41">
        <v>12498822880</v>
      </c>
      <c r="I1609" s="42">
        <v>47295</v>
      </c>
    </row>
    <row r="1610" spans="1:9" x14ac:dyDescent="0.25">
      <c r="A1610" t="s">
        <v>9</v>
      </c>
      <c r="B1610" s="39">
        <v>46052</v>
      </c>
      <c r="C1610" s="40">
        <v>0.58333333333333337</v>
      </c>
      <c r="D1610" s="41">
        <v>5278.5</v>
      </c>
      <c r="E1610" s="41">
        <v>5297</v>
      </c>
      <c r="F1610" s="41">
        <v>5276.5</v>
      </c>
      <c r="G1610" s="41">
        <v>5290</v>
      </c>
      <c r="H1610" s="41">
        <v>4388555125</v>
      </c>
      <c r="I1610" s="42">
        <v>16590</v>
      </c>
    </row>
    <row r="1611" spans="1:9" x14ac:dyDescent="0.25">
      <c r="A1611" t="s">
        <v>9</v>
      </c>
      <c r="B1611" s="39">
        <v>46052</v>
      </c>
      <c r="C1611" s="40">
        <v>0.5625</v>
      </c>
      <c r="D1611" s="41">
        <v>5269.5</v>
      </c>
      <c r="E1611" s="41">
        <v>5283.5</v>
      </c>
      <c r="F1611" s="41">
        <v>5266.5</v>
      </c>
      <c r="G1611" s="41">
        <v>5278</v>
      </c>
      <c r="H1611" s="41">
        <v>4093737625</v>
      </c>
      <c r="I1611" s="42">
        <v>15530</v>
      </c>
    </row>
    <row r="1612" spans="1:9" x14ac:dyDescent="0.25">
      <c r="A1612" t="s">
        <v>9</v>
      </c>
      <c r="B1612" s="39">
        <v>46052</v>
      </c>
      <c r="C1612" s="40">
        <v>0.54166666666666663</v>
      </c>
      <c r="D1612" s="41">
        <v>5269.5</v>
      </c>
      <c r="E1612" s="41">
        <v>5275</v>
      </c>
      <c r="F1612" s="41">
        <v>5264.5</v>
      </c>
      <c r="G1612" s="41">
        <v>5270.5</v>
      </c>
      <c r="H1612" s="41">
        <v>8531360750</v>
      </c>
      <c r="I1612" s="42">
        <v>32375</v>
      </c>
    </row>
    <row r="1613" spans="1:9" x14ac:dyDescent="0.25">
      <c r="A1613" t="s">
        <v>9</v>
      </c>
      <c r="B1613" s="39">
        <v>46052</v>
      </c>
      <c r="C1613" s="40">
        <v>0.52083333333333337</v>
      </c>
      <c r="D1613" s="41">
        <v>5261.5</v>
      </c>
      <c r="E1613" s="41">
        <v>5270.5</v>
      </c>
      <c r="F1613" s="41">
        <v>5251</v>
      </c>
      <c r="G1613" s="41">
        <v>5269.5</v>
      </c>
      <c r="H1613" s="41">
        <v>3532742875</v>
      </c>
      <c r="I1613" s="42">
        <v>13430</v>
      </c>
    </row>
    <row r="1614" spans="1:9" x14ac:dyDescent="0.25">
      <c r="A1614" t="s">
        <v>9</v>
      </c>
      <c r="B1614" s="39">
        <v>46052</v>
      </c>
      <c r="C1614" s="40">
        <v>0.5</v>
      </c>
      <c r="D1614" s="41">
        <v>5254</v>
      </c>
      <c r="E1614" s="41">
        <v>5262.5</v>
      </c>
      <c r="F1614" s="41">
        <v>5249</v>
      </c>
      <c r="G1614" s="41">
        <v>5261</v>
      </c>
      <c r="H1614" s="41">
        <v>6464988125</v>
      </c>
      <c r="I1614" s="42">
        <v>24605</v>
      </c>
    </row>
    <row r="1615" spans="1:9" x14ac:dyDescent="0.25">
      <c r="A1615" t="s">
        <v>9</v>
      </c>
      <c r="B1615" s="39">
        <v>46052</v>
      </c>
      <c r="C1615" s="40">
        <v>0.47916666666666669</v>
      </c>
      <c r="D1615" s="41">
        <v>5256.5</v>
      </c>
      <c r="E1615" s="41">
        <v>5257</v>
      </c>
      <c r="F1615" s="41">
        <v>5247.5</v>
      </c>
      <c r="G1615" s="41">
        <v>5254</v>
      </c>
      <c r="H1615" s="41">
        <v>4370823375</v>
      </c>
      <c r="I1615" s="42">
        <v>16645</v>
      </c>
    </row>
    <row r="1616" spans="1:9" x14ac:dyDescent="0.25">
      <c r="A1616" t="s">
        <v>9</v>
      </c>
      <c r="B1616" s="39">
        <v>46052</v>
      </c>
      <c r="C1616" s="40">
        <v>0.45833333333333331</v>
      </c>
      <c r="D1616" s="41">
        <v>5270.5</v>
      </c>
      <c r="E1616" s="41">
        <v>5271</v>
      </c>
      <c r="F1616" s="41">
        <v>5251.5</v>
      </c>
      <c r="G1616" s="41">
        <v>5256</v>
      </c>
      <c r="H1616" s="41">
        <v>5448576750</v>
      </c>
      <c r="I1616" s="42">
        <v>20715</v>
      </c>
    </row>
    <row r="1617" spans="1:9" x14ac:dyDescent="0.25">
      <c r="A1617" t="s">
        <v>9</v>
      </c>
      <c r="B1617" s="39">
        <v>46052</v>
      </c>
      <c r="C1617" s="40">
        <v>0.4375</v>
      </c>
      <c r="D1617" s="41">
        <v>5251.5</v>
      </c>
      <c r="E1617" s="41">
        <v>5275</v>
      </c>
      <c r="F1617" s="41">
        <v>5251.5</v>
      </c>
      <c r="G1617" s="41">
        <v>5270</v>
      </c>
      <c r="H1617" s="41">
        <v>5803276750</v>
      </c>
      <c r="I1617" s="42">
        <v>22050</v>
      </c>
    </row>
    <row r="1618" spans="1:9" x14ac:dyDescent="0.25">
      <c r="A1618" t="s">
        <v>9</v>
      </c>
      <c r="B1618" s="39">
        <v>46052</v>
      </c>
      <c r="C1618" s="40">
        <v>0.41666666666666669</v>
      </c>
      <c r="D1618" s="41">
        <v>5252</v>
      </c>
      <c r="E1618" s="41">
        <v>5261.5</v>
      </c>
      <c r="F1618" s="41">
        <v>5247</v>
      </c>
      <c r="G1618" s="41">
        <v>5251</v>
      </c>
      <c r="H1618" s="41">
        <v>4804215250</v>
      </c>
      <c r="I1618" s="42">
        <v>18285</v>
      </c>
    </row>
    <row r="1619" spans="1:9" x14ac:dyDescent="0.25">
      <c r="A1619" t="s">
        <v>9</v>
      </c>
      <c r="B1619" s="39">
        <v>46052</v>
      </c>
      <c r="C1619" s="40">
        <v>0.39583333333333331</v>
      </c>
      <c r="D1619" s="41">
        <v>5236.5</v>
      </c>
      <c r="E1619" s="41">
        <v>5257.5</v>
      </c>
      <c r="F1619" s="41">
        <v>5227.5</v>
      </c>
      <c r="G1619" s="41">
        <v>5251.5</v>
      </c>
      <c r="H1619" s="41">
        <v>6485332375</v>
      </c>
      <c r="I1619" s="42">
        <v>24740</v>
      </c>
    </row>
    <row r="1620" spans="1:9" x14ac:dyDescent="0.25">
      <c r="A1620" t="s">
        <v>9</v>
      </c>
      <c r="B1620" s="39">
        <v>46052</v>
      </c>
      <c r="C1620" s="40">
        <v>0.375</v>
      </c>
      <c r="D1620" s="41">
        <v>5238.5</v>
      </c>
      <c r="E1620" s="41">
        <v>5247.5</v>
      </c>
      <c r="F1620" s="41">
        <v>5227.5</v>
      </c>
      <c r="G1620" s="41">
        <v>5236.5</v>
      </c>
      <c r="H1620" s="41">
        <v>6745083125</v>
      </c>
      <c r="I1620" s="42">
        <v>25770</v>
      </c>
    </row>
    <row r="1621" spans="1:9" x14ac:dyDescent="0.25">
      <c r="A1621" t="s">
        <v>9</v>
      </c>
      <c r="B1621" s="39">
        <v>46051</v>
      </c>
      <c r="C1621" s="40">
        <v>0.75</v>
      </c>
      <c r="D1621" s="41">
        <v>5191.5</v>
      </c>
      <c r="E1621" s="41">
        <v>5200</v>
      </c>
      <c r="F1621" s="41">
        <v>5191</v>
      </c>
      <c r="G1621" s="41">
        <v>5197</v>
      </c>
      <c r="H1621" s="41">
        <v>933672375</v>
      </c>
      <c r="I1621" s="42">
        <v>3595</v>
      </c>
    </row>
    <row r="1622" spans="1:9" x14ac:dyDescent="0.25">
      <c r="A1622" t="s">
        <v>9</v>
      </c>
      <c r="B1622" s="39">
        <v>46051</v>
      </c>
      <c r="C1622" s="40">
        <v>0.72916666666666663</v>
      </c>
      <c r="D1622" s="41">
        <v>5192.5</v>
      </c>
      <c r="E1622" s="41">
        <v>5195</v>
      </c>
      <c r="F1622" s="41">
        <v>5189.5</v>
      </c>
      <c r="G1622" s="41">
        <v>5192.5</v>
      </c>
      <c r="H1622" s="41">
        <v>789227375</v>
      </c>
      <c r="I1622" s="42">
        <v>3040</v>
      </c>
    </row>
    <row r="1623" spans="1:9" x14ac:dyDescent="0.25">
      <c r="A1623" t="s">
        <v>9</v>
      </c>
      <c r="B1623" s="39">
        <v>46051</v>
      </c>
      <c r="C1623" s="40">
        <v>0.70833333333333337</v>
      </c>
      <c r="D1623" s="41">
        <v>5196</v>
      </c>
      <c r="E1623" s="41">
        <v>5197</v>
      </c>
      <c r="F1623" s="41">
        <v>5190.5</v>
      </c>
      <c r="G1623" s="41">
        <v>5192.5</v>
      </c>
      <c r="H1623" s="41">
        <v>1272739250</v>
      </c>
      <c r="I1623" s="42">
        <v>4900</v>
      </c>
    </row>
    <row r="1624" spans="1:9" x14ac:dyDescent="0.25">
      <c r="A1624" t="s">
        <v>9</v>
      </c>
      <c r="B1624" s="39">
        <v>46051</v>
      </c>
      <c r="C1624" s="40">
        <v>0.6875</v>
      </c>
      <c r="D1624" s="41">
        <v>5192.5</v>
      </c>
      <c r="E1624" s="41">
        <v>5197</v>
      </c>
      <c r="F1624" s="41">
        <v>5189</v>
      </c>
      <c r="G1624" s="41">
        <v>5196.5</v>
      </c>
      <c r="H1624" s="41">
        <v>2142028000</v>
      </c>
      <c r="I1624" s="42">
        <v>8250</v>
      </c>
    </row>
    <row r="1625" spans="1:9" x14ac:dyDescent="0.25">
      <c r="A1625" t="s">
        <v>9</v>
      </c>
      <c r="B1625" s="39">
        <v>46051</v>
      </c>
      <c r="C1625" s="40">
        <v>0.66666666666666663</v>
      </c>
      <c r="D1625" s="41">
        <v>5192</v>
      </c>
      <c r="E1625" s="41">
        <v>5193</v>
      </c>
      <c r="F1625" s="41">
        <v>5186.5</v>
      </c>
      <c r="G1625" s="41">
        <v>5192</v>
      </c>
      <c r="H1625" s="41">
        <v>1508985375</v>
      </c>
      <c r="I1625" s="42">
        <v>5815</v>
      </c>
    </row>
    <row r="1626" spans="1:9" x14ac:dyDescent="0.25">
      <c r="A1626" t="s">
        <v>9</v>
      </c>
      <c r="B1626" s="39">
        <v>46051</v>
      </c>
      <c r="C1626" s="40">
        <v>0.64583333333333337</v>
      </c>
      <c r="D1626" s="41">
        <v>5199</v>
      </c>
      <c r="E1626" s="41">
        <v>5201.5</v>
      </c>
      <c r="F1626" s="41">
        <v>5189</v>
      </c>
      <c r="G1626" s="41">
        <v>5191.5</v>
      </c>
      <c r="H1626" s="41">
        <v>2636420125</v>
      </c>
      <c r="I1626" s="42">
        <v>10150</v>
      </c>
    </row>
    <row r="1627" spans="1:9" x14ac:dyDescent="0.25">
      <c r="A1627" t="s">
        <v>9</v>
      </c>
      <c r="B1627" s="39">
        <v>46051</v>
      </c>
      <c r="C1627" s="40">
        <v>0.625</v>
      </c>
      <c r="D1627" s="41">
        <v>5209.5</v>
      </c>
      <c r="E1627" s="41">
        <v>5212.5</v>
      </c>
      <c r="F1627" s="41">
        <v>5197</v>
      </c>
      <c r="G1627" s="41">
        <v>5199</v>
      </c>
      <c r="H1627" s="41">
        <v>4298389875</v>
      </c>
      <c r="I1627" s="42">
        <v>16520</v>
      </c>
    </row>
    <row r="1628" spans="1:9" x14ac:dyDescent="0.25">
      <c r="A1628" t="s">
        <v>9</v>
      </c>
      <c r="B1628" s="39">
        <v>46051</v>
      </c>
      <c r="C1628" s="40">
        <v>0.60416666666666663</v>
      </c>
      <c r="D1628" s="41">
        <v>5207.5</v>
      </c>
      <c r="E1628" s="41">
        <v>5215.5</v>
      </c>
      <c r="F1628" s="41">
        <v>5199.5</v>
      </c>
      <c r="G1628" s="41">
        <v>5210</v>
      </c>
      <c r="H1628" s="41">
        <v>3979738750</v>
      </c>
      <c r="I1628" s="42">
        <v>15285</v>
      </c>
    </row>
    <row r="1629" spans="1:9" x14ac:dyDescent="0.25">
      <c r="A1629" t="s">
        <v>9</v>
      </c>
      <c r="B1629" s="39">
        <v>46051</v>
      </c>
      <c r="C1629" s="40">
        <v>0.58333333333333337</v>
      </c>
      <c r="D1629" s="41">
        <v>5217.5</v>
      </c>
      <c r="E1629" s="41">
        <v>5217.5</v>
      </c>
      <c r="F1629" s="41">
        <v>5202.5</v>
      </c>
      <c r="G1629" s="41">
        <v>5207</v>
      </c>
      <c r="H1629" s="41">
        <v>1548119250</v>
      </c>
      <c r="I1629" s="42">
        <v>5945</v>
      </c>
    </row>
    <row r="1630" spans="1:9" x14ac:dyDescent="0.25">
      <c r="A1630" t="s">
        <v>9</v>
      </c>
      <c r="B1630" s="39">
        <v>46051</v>
      </c>
      <c r="C1630" s="40">
        <v>0.5625</v>
      </c>
      <c r="D1630" s="41">
        <v>5218.5</v>
      </c>
      <c r="E1630" s="41">
        <v>5220</v>
      </c>
      <c r="F1630" s="41">
        <v>5206</v>
      </c>
      <c r="G1630" s="41">
        <v>5217.5</v>
      </c>
      <c r="H1630" s="41">
        <v>5027741875</v>
      </c>
      <c r="I1630" s="42">
        <v>19285</v>
      </c>
    </row>
    <row r="1631" spans="1:9" x14ac:dyDescent="0.25">
      <c r="A1631" t="s">
        <v>9</v>
      </c>
      <c r="B1631" s="39">
        <v>46051</v>
      </c>
      <c r="C1631" s="40">
        <v>0.54166666666666663</v>
      </c>
      <c r="D1631" s="41">
        <v>5233.5</v>
      </c>
      <c r="E1631" s="41">
        <v>5234</v>
      </c>
      <c r="F1631" s="41">
        <v>5214.5</v>
      </c>
      <c r="G1631" s="41">
        <v>5219</v>
      </c>
      <c r="H1631" s="41">
        <v>7013282500</v>
      </c>
      <c r="I1631" s="42">
        <v>26860</v>
      </c>
    </row>
    <row r="1632" spans="1:9" x14ac:dyDescent="0.25">
      <c r="A1632" t="s">
        <v>9</v>
      </c>
      <c r="B1632" s="39">
        <v>46051</v>
      </c>
      <c r="C1632" s="40">
        <v>0.52083333333333337</v>
      </c>
      <c r="D1632" s="41">
        <v>5248</v>
      </c>
      <c r="E1632" s="41">
        <v>5248</v>
      </c>
      <c r="F1632" s="41">
        <v>5226</v>
      </c>
      <c r="G1632" s="41">
        <v>5234</v>
      </c>
      <c r="H1632" s="41">
        <v>6638202875</v>
      </c>
      <c r="I1632" s="42">
        <v>25360</v>
      </c>
    </row>
    <row r="1633" spans="1:9" x14ac:dyDescent="0.25">
      <c r="A1633" t="s">
        <v>9</v>
      </c>
      <c r="B1633" s="39">
        <v>46051</v>
      </c>
      <c r="C1633" s="40">
        <v>0.5</v>
      </c>
      <c r="D1633" s="41">
        <v>5200</v>
      </c>
      <c r="E1633" s="41">
        <v>5252.5</v>
      </c>
      <c r="F1633" s="41">
        <v>5200</v>
      </c>
      <c r="G1633" s="41">
        <v>5249</v>
      </c>
      <c r="H1633" s="41">
        <v>11484168750</v>
      </c>
      <c r="I1633" s="42">
        <v>43940</v>
      </c>
    </row>
    <row r="1634" spans="1:9" x14ac:dyDescent="0.25">
      <c r="A1634" t="s">
        <v>9</v>
      </c>
      <c r="B1634" s="39">
        <v>46051</v>
      </c>
      <c r="C1634" s="40">
        <v>0.47916666666666669</v>
      </c>
      <c r="D1634" s="41">
        <v>5180.5</v>
      </c>
      <c r="E1634" s="41">
        <v>5202</v>
      </c>
      <c r="F1634" s="41">
        <v>5167</v>
      </c>
      <c r="G1634" s="41">
        <v>5200</v>
      </c>
      <c r="H1634" s="41">
        <v>8225191000</v>
      </c>
      <c r="I1634" s="42">
        <v>31755</v>
      </c>
    </row>
    <row r="1635" spans="1:9" x14ac:dyDescent="0.25">
      <c r="A1635" t="s">
        <v>9</v>
      </c>
      <c r="B1635" s="39">
        <v>46051</v>
      </c>
      <c r="C1635" s="40">
        <v>0.45833333333333331</v>
      </c>
      <c r="D1635" s="41">
        <v>5186.5</v>
      </c>
      <c r="E1635" s="41">
        <v>5187</v>
      </c>
      <c r="F1635" s="41">
        <v>5177</v>
      </c>
      <c r="G1635" s="41">
        <v>5180.5</v>
      </c>
      <c r="H1635" s="41">
        <v>5021843000</v>
      </c>
      <c r="I1635" s="42">
        <v>19380</v>
      </c>
    </row>
    <row r="1636" spans="1:9" x14ac:dyDescent="0.25">
      <c r="A1636" t="s">
        <v>9</v>
      </c>
      <c r="B1636" s="39">
        <v>46051</v>
      </c>
      <c r="C1636" s="40">
        <v>0.4375</v>
      </c>
      <c r="D1636" s="41">
        <v>5191</v>
      </c>
      <c r="E1636" s="41">
        <v>5196</v>
      </c>
      <c r="F1636" s="41">
        <v>5186</v>
      </c>
      <c r="G1636" s="41">
        <v>5186.5</v>
      </c>
      <c r="H1636" s="41">
        <v>4847216625</v>
      </c>
      <c r="I1636" s="42">
        <v>18680</v>
      </c>
    </row>
    <row r="1637" spans="1:9" x14ac:dyDescent="0.25">
      <c r="A1637" t="s">
        <v>9</v>
      </c>
      <c r="B1637" s="39">
        <v>46051</v>
      </c>
      <c r="C1637" s="40">
        <v>0.41666666666666669</v>
      </c>
      <c r="D1637" s="41">
        <v>5194.5</v>
      </c>
      <c r="E1637" s="41">
        <v>5195.5</v>
      </c>
      <c r="F1637" s="41">
        <v>5183.5</v>
      </c>
      <c r="G1637" s="41">
        <v>5191.5</v>
      </c>
      <c r="H1637" s="41">
        <v>3479400500</v>
      </c>
      <c r="I1637" s="42">
        <v>13410</v>
      </c>
    </row>
    <row r="1638" spans="1:9" x14ac:dyDescent="0.25">
      <c r="A1638" t="s">
        <v>9</v>
      </c>
      <c r="B1638" s="39">
        <v>46051</v>
      </c>
      <c r="C1638" s="40">
        <v>0.39583333333333331</v>
      </c>
      <c r="D1638" s="41">
        <v>5196.5</v>
      </c>
      <c r="E1638" s="41">
        <v>5203</v>
      </c>
      <c r="F1638" s="41">
        <v>5189.5</v>
      </c>
      <c r="G1638" s="41">
        <v>5195.5</v>
      </c>
      <c r="H1638" s="41">
        <v>4891866500</v>
      </c>
      <c r="I1638" s="42">
        <v>18820</v>
      </c>
    </row>
    <row r="1639" spans="1:9" x14ac:dyDescent="0.25">
      <c r="A1639" t="s">
        <v>9</v>
      </c>
      <c r="B1639" s="39">
        <v>46051</v>
      </c>
      <c r="C1639" s="40">
        <v>0.375</v>
      </c>
      <c r="D1639" s="41">
        <v>5200</v>
      </c>
      <c r="E1639" s="41">
        <v>5207</v>
      </c>
      <c r="F1639" s="41">
        <v>5180.5</v>
      </c>
      <c r="G1639" s="41">
        <v>5196.5</v>
      </c>
      <c r="H1639" s="41">
        <v>3013857875</v>
      </c>
      <c r="I1639" s="42">
        <v>11600</v>
      </c>
    </row>
    <row r="1640" spans="1:9" x14ac:dyDescent="0.25">
      <c r="A1640" t="s">
        <v>9</v>
      </c>
      <c r="B1640" s="39">
        <v>46050</v>
      </c>
      <c r="C1640" s="40">
        <v>0.75</v>
      </c>
      <c r="D1640" s="41">
        <v>5200</v>
      </c>
      <c r="E1640" s="41">
        <v>5200.5</v>
      </c>
      <c r="F1640" s="41">
        <v>5195</v>
      </c>
      <c r="G1640" s="41">
        <v>5197.5</v>
      </c>
      <c r="H1640" s="41">
        <v>1973104875</v>
      </c>
      <c r="I1640" s="42">
        <v>7590</v>
      </c>
    </row>
    <row r="1641" spans="1:9" x14ac:dyDescent="0.25">
      <c r="A1641" t="s">
        <v>9</v>
      </c>
      <c r="B1641" s="39">
        <v>46050</v>
      </c>
      <c r="C1641" s="40">
        <v>0.72916666666666663</v>
      </c>
      <c r="D1641" s="41">
        <v>5202.5</v>
      </c>
      <c r="E1641" s="41">
        <v>5203.5</v>
      </c>
      <c r="F1641" s="41">
        <v>5194.5</v>
      </c>
      <c r="G1641" s="41">
        <v>5200</v>
      </c>
      <c r="H1641" s="41">
        <v>2313348500</v>
      </c>
      <c r="I1641" s="42">
        <v>8900</v>
      </c>
    </row>
    <row r="1642" spans="1:9" x14ac:dyDescent="0.25">
      <c r="A1642" t="s">
        <v>9</v>
      </c>
      <c r="B1642" s="39">
        <v>46050</v>
      </c>
      <c r="C1642" s="40">
        <v>0.70833333333333337</v>
      </c>
      <c r="D1642" s="41">
        <v>5210.5</v>
      </c>
      <c r="E1642" s="41">
        <v>5210.5</v>
      </c>
      <c r="F1642" s="41">
        <v>5201.5</v>
      </c>
      <c r="G1642" s="41">
        <v>5202.5</v>
      </c>
      <c r="H1642" s="41">
        <v>3220456500</v>
      </c>
      <c r="I1642" s="42">
        <v>12370</v>
      </c>
    </row>
    <row r="1643" spans="1:9" x14ac:dyDescent="0.25">
      <c r="A1643" t="s">
        <v>9</v>
      </c>
      <c r="B1643" s="39">
        <v>46050</v>
      </c>
      <c r="C1643" s="40">
        <v>0.6875</v>
      </c>
      <c r="D1643" s="41">
        <v>5216.5</v>
      </c>
      <c r="E1643" s="41">
        <v>5220.5</v>
      </c>
      <c r="F1643" s="41">
        <v>5209</v>
      </c>
      <c r="G1643" s="41">
        <v>5210.5</v>
      </c>
      <c r="H1643" s="41">
        <v>2490947750</v>
      </c>
      <c r="I1643" s="42">
        <v>9555</v>
      </c>
    </row>
    <row r="1644" spans="1:9" x14ac:dyDescent="0.25">
      <c r="A1644" t="s">
        <v>9</v>
      </c>
      <c r="B1644" s="39">
        <v>46050</v>
      </c>
      <c r="C1644" s="40">
        <v>0.66666666666666663</v>
      </c>
      <c r="D1644" s="41">
        <v>5223</v>
      </c>
      <c r="E1644" s="41">
        <v>5228</v>
      </c>
      <c r="F1644" s="41">
        <v>5213.5</v>
      </c>
      <c r="G1644" s="41">
        <v>5216.5</v>
      </c>
      <c r="H1644" s="41">
        <v>2770158625</v>
      </c>
      <c r="I1644" s="42">
        <v>10615</v>
      </c>
    </row>
    <row r="1645" spans="1:9" x14ac:dyDescent="0.25">
      <c r="A1645" t="s">
        <v>9</v>
      </c>
      <c r="B1645" s="39">
        <v>46050</v>
      </c>
      <c r="C1645" s="40">
        <v>0.64583333333333337</v>
      </c>
      <c r="D1645" s="41">
        <v>5217</v>
      </c>
      <c r="E1645" s="41">
        <v>5226.5</v>
      </c>
      <c r="F1645" s="41">
        <v>5216.5</v>
      </c>
      <c r="G1645" s="41">
        <v>5223.5</v>
      </c>
      <c r="H1645" s="41">
        <v>4035707750</v>
      </c>
      <c r="I1645" s="42">
        <v>15455</v>
      </c>
    </row>
    <row r="1646" spans="1:9" x14ac:dyDescent="0.25">
      <c r="A1646" t="s">
        <v>9</v>
      </c>
      <c r="B1646" s="39">
        <v>46050</v>
      </c>
      <c r="C1646" s="40">
        <v>0.625</v>
      </c>
      <c r="D1646" s="41">
        <v>5212</v>
      </c>
      <c r="E1646" s="41">
        <v>5217.5</v>
      </c>
      <c r="F1646" s="41">
        <v>5209</v>
      </c>
      <c r="G1646" s="41">
        <v>5217</v>
      </c>
      <c r="H1646" s="41">
        <v>2396281875</v>
      </c>
      <c r="I1646" s="42">
        <v>9195</v>
      </c>
    </row>
    <row r="1647" spans="1:9" x14ac:dyDescent="0.25">
      <c r="A1647" t="s">
        <v>9</v>
      </c>
      <c r="B1647" s="39">
        <v>46050</v>
      </c>
      <c r="C1647" s="40">
        <v>0.60416666666666663</v>
      </c>
      <c r="D1647" s="41">
        <v>5210.5</v>
      </c>
      <c r="E1647" s="41">
        <v>5213.5</v>
      </c>
      <c r="F1647" s="41">
        <v>5204.5</v>
      </c>
      <c r="G1647" s="41">
        <v>5212</v>
      </c>
      <c r="H1647" s="41">
        <v>3093232250</v>
      </c>
      <c r="I1647" s="42">
        <v>11880</v>
      </c>
    </row>
    <row r="1648" spans="1:9" x14ac:dyDescent="0.25">
      <c r="A1648" t="s">
        <v>9</v>
      </c>
      <c r="B1648" s="39">
        <v>46050</v>
      </c>
      <c r="C1648" s="40">
        <v>0.58333333333333337</v>
      </c>
      <c r="D1648" s="41">
        <v>5215.5</v>
      </c>
      <c r="E1648" s="41">
        <v>5216.5</v>
      </c>
      <c r="F1648" s="41">
        <v>5208.5</v>
      </c>
      <c r="G1648" s="41">
        <v>5211</v>
      </c>
      <c r="H1648" s="41">
        <v>1815350125</v>
      </c>
      <c r="I1648" s="42">
        <v>6965</v>
      </c>
    </row>
    <row r="1649" spans="1:9" x14ac:dyDescent="0.25">
      <c r="A1649" t="s">
        <v>9</v>
      </c>
      <c r="B1649" s="39">
        <v>46050</v>
      </c>
      <c r="C1649" s="40">
        <v>0.5625</v>
      </c>
      <c r="D1649" s="41">
        <v>5216</v>
      </c>
      <c r="E1649" s="41">
        <v>5219.5</v>
      </c>
      <c r="F1649" s="41">
        <v>5214</v>
      </c>
      <c r="G1649" s="41">
        <v>5214.5</v>
      </c>
      <c r="H1649" s="41">
        <v>1422899125</v>
      </c>
      <c r="I1649" s="42">
        <v>5455</v>
      </c>
    </row>
    <row r="1650" spans="1:9" x14ac:dyDescent="0.25">
      <c r="A1650" t="s">
        <v>9</v>
      </c>
      <c r="B1650" s="39">
        <v>46050</v>
      </c>
      <c r="C1650" s="40">
        <v>0.54166666666666663</v>
      </c>
      <c r="D1650" s="41">
        <v>5214.5</v>
      </c>
      <c r="E1650" s="41">
        <v>5219</v>
      </c>
      <c r="F1650" s="41">
        <v>5204.5</v>
      </c>
      <c r="G1650" s="41">
        <v>5215.5</v>
      </c>
      <c r="H1650" s="41">
        <v>4993042625</v>
      </c>
      <c r="I1650" s="42">
        <v>19160</v>
      </c>
    </row>
    <row r="1651" spans="1:9" x14ac:dyDescent="0.25">
      <c r="A1651" t="s">
        <v>9</v>
      </c>
      <c r="B1651" s="39">
        <v>46050</v>
      </c>
      <c r="C1651" s="40">
        <v>0.52083333333333337</v>
      </c>
      <c r="D1651" s="41">
        <v>5203.5</v>
      </c>
      <c r="E1651" s="41">
        <v>5216</v>
      </c>
      <c r="F1651" s="41">
        <v>5199</v>
      </c>
      <c r="G1651" s="41">
        <v>5214</v>
      </c>
      <c r="H1651" s="41">
        <v>7119461625</v>
      </c>
      <c r="I1651" s="42">
        <v>27340</v>
      </c>
    </row>
    <row r="1652" spans="1:9" x14ac:dyDescent="0.25">
      <c r="A1652" t="s">
        <v>9</v>
      </c>
      <c r="B1652" s="39">
        <v>46050</v>
      </c>
      <c r="C1652" s="40">
        <v>0.5</v>
      </c>
      <c r="D1652" s="41">
        <v>5191.5</v>
      </c>
      <c r="E1652" s="41">
        <v>5209</v>
      </c>
      <c r="F1652" s="41">
        <v>5184</v>
      </c>
      <c r="G1652" s="41">
        <v>5204</v>
      </c>
      <c r="H1652" s="41">
        <v>10227051880</v>
      </c>
      <c r="I1652" s="42">
        <v>39340</v>
      </c>
    </row>
    <row r="1653" spans="1:9" x14ac:dyDescent="0.25">
      <c r="A1653" t="s">
        <v>9</v>
      </c>
      <c r="B1653" s="39">
        <v>46050</v>
      </c>
      <c r="C1653" s="40">
        <v>0.47916666666666669</v>
      </c>
      <c r="D1653" s="41">
        <v>5191</v>
      </c>
      <c r="E1653" s="41">
        <v>5200</v>
      </c>
      <c r="F1653" s="41">
        <v>5186.5</v>
      </c>
      <c r="G1653" s="41">
        <v>5191.5</v>
      </c>
      <c r="H1653" s="41">
        <v>4750999375</v>
      </c>
      <c r="I1653" s="42">
        <v>18300</v>
      </c>
    </row>
    <row r="1654" spans="1:9" x14ac:dyDescent="0.25">
      <c r="A1654" t="s">
        <v>9</v>
      </c>
      <c r="B1654" s="39">
        <v>46050</v>
      </c>
      <c r="C1654" s="40">
        <v>0.45833333333333331</v>
      </c>
      <c r="D1654" s="41">
        <v>5180</v>
      </c>
      <c r="E1654" s="41">
        <v>5193</v>
      </c>
      <c r="F1654" s="41">
        <v>5177.5</v>
      </c>
      <c r="G1654" s="41">
        <v>5191.5</v>
      </c>
      <c r="H1654" s="41">
        <v>5080377375</v>
      </c>
      <c r="I1654" s="42">
        <v>19590</v>
      </c>
    </row>
    <row r="1655" spans="1:9" x14ac:dyDescent="0.25">
      <c r="A1655" t="s">
        <v>9</v>
      </c>
      <c r="B1655" s="39">
        <v>46050</v>
      </c>
      <c r="C1655" s="40">
        <v>0.4375</v>
      </c>
      <c r="D1655" s="41">
        <v>5182</v>
      </c>
      <c r="E1655" s="41">
        <v>5186.5</v>
      </c>
      <c r="F1655" s="41">
        <v>5178</v>
      </c>
      <c r="G1655" s="41">
        <v>5180</v>
      </c>
      <c r="H1655" s="41">
        <v>3472256625</v>
      </c>
      <c r="I1655" s="42">
        <v>13400</v>
      </c>
    </row>
    <row r="1656" spans="1:9" x14ac:dyDescent="0.25">
      <c r="A1656" t="s">
        <v>9</v>
      </c>
      <c r="B1656" s="39">
        <v>46050</v>
      </c>
      <c r="C1656" s="40">
        <v>0.41666666666666669</v>
      </c>
      <c r="D1656" s="41">
        <v>5182.5</v>
      </c>
      <c r="E1656" s="41">
        <v>5190</v>
      </c>
      <c r="F1656" s="41">
        <v>5174</v>
      </c>
      <c r="G1656" s="41">
        <v>5182.5</v>
      </c>
      <c r="H1656" s="41">
        <v>5463143000</v>
      </c>
      <c r="I1656" s="42">
        <v>21085</v>
      </c>
    </row>
    <row r="1657" spans="1:9" x14ac:dyDescent="0.25">
      <c r="A1657" t="s">
        <v>9</v>
      </c>
      <c r="B1657" s="39">
        <v>46050</v>
      </c>
      <c r="C1657" s="40">
        <v>0.39583333333333331</v>
      </c>
      <c r="D1657" s="41">
        <v>5197.5</v>
      </c>
      <c r="E1657" s="41">
        <v>5199</v>
      </c>
      <c r="F1657" s="41">
        <v>5180.5</v>
      </c>
      <c r="G1657" s="41">
        <v>5182.5</v>
      </c>
      <c r="H1657" s="41">
        <v>3796338125</v>
      </c>
      <c r="I1657" s="42">
        <v>14630</v>
      </c>
    </row>
    <row r="1658" spans="1:9" x14ac:dyDescent="0.25">
      <c r="A1658" t="s">
        <v>9</v>
      </c>
      <c r="B1658" s="39">
        <v>46050</v>
      </c>
      <c r="C1658" s="40">
        <v>0.375</v>
      </c>
      <c r="D1658" s="41">
        <v>5190.5</v>
      </c>
      <c r="E1658" s="41">
        <v>5206.5</v>
      </c>
      <c r="F1658" s="41">
        <v>5190.5</v>
      </c>
      <c r="G1658" s="41">
        <v>5198.5</v>
      </c>
      <c r="H1658" s="41">
        <v>4427336375</v>
      </c>
      <c r="I1658" s="42">
        <v>17030</v>
      </c>
    </row>
    <row r="1659" spans="1:9" x14ac:dyDescent="0.25">
      <c r="A1659" t="s">
        <v>9</v>
      </c>
      <c r="B1659" s="39">
        <v>46049</v>
      </c>
      <c r="C1659" s="40">
        <v>0.75</v>
      </c>
      <c r="D1659" s="41">
        <v>5194</v>
      </c>
      <c r="E1659" s="41">
        <v>5195.5</v>
      </c>
      <c r="F1659" s="41">
        <v>5180.5</v>
      </c>
      <c r="G1659" s="41">
        <v>5183.5</v>
      </c>
      <c r="H1659" s="41">
        <v>4149058875</v>
      </c>
      <c r="I1659" s="42">
        <v>15985</v>
      </c>
    </row>
    <row r="1660" spans="1:9" x14ac:dyDescent="0.25">
      <c r="A1660" t="s">
        <v>9</v>
      </c>
      <c r="B1660" s="39">
        <v>46049</v>
      </c>
      <c r="C1660" s="40">
        <v>0.72916666666666663</v>
      </c>
      <c r="D1660" s="41">
        <v>5204.5</v>
      </c>
      <c r="E1660" s="41">
        <v>5208</v>
      </c>
      <c r="F1660" s="41">
        <v>5182</v>
      </c>
      <c r="G1660" s="41">
        <v>5194</v>
      </c>
      <c r="H1660" s="41">
        <v>6864186625</v>
      </c>
      <c r="I1660" s="42">
        <v>26420</v>
      </c>
    </row>
    <row r="1661" spans="1:9" x14ac:dyDescent="0.25">
      <c r="A1661" t="s">
        <v>9</v>
      </c>
      <c r="B1661" s="39">
        <v>46049</v>
      </c>
      <c r="C1661" s="40">
        <v>0.70833333333333337</v>
      </c>
      <c r="D1661" s="41">
        <v>5212.5</v>
      </c>
      <c r="E1661" s="41">
        <v>5212.5</v>
      </c>
      <c r="F1661" s="41">
        <v>5204</v>
      </c>
      <c r="G1661" s="41">
        <v>5205</v>
      </c>
      <c r="H1661" s="41">
        <v>2837502625</v>
      </c>
      <c r="I1661" s="42">
        <v>10895</v>
      </c>
    </row>
    <row r="1662" spans="1:9" x14ac:dyDescent="0.25">
      <c r="A1662" t="s">
        <v>9</v>
      </c>
      <c r="B1662" s="39">
        <v>46049</v>
      </c>
      <c r="C1662" s="40">
        <v>0.6875</v>
      </c>
      <c r="D1662" s="41">
        <v>5210.5</v>
      </c>
      <c r="E1662" s="41">
        <v>5213</v>
      </c>
      <c r="F1662" s="41">
        <v>5204</v>
      </c>
      <c r="G1662" s="41">
        <v>5212</v>
      </c>
      <c r="H1662" s="41">
        <v>2891616500</v>
      </c>
      <c r="I1662" s="42">
        <v>11105</v>
      </c>
    </row>
    <row r="1663" spans="1:9" x14ac:dyDescent="0.25">
      <c r="A1663" t="s">
        <v>9</v>
      </c>
      <c r="B1663" s="39">
        <v>46049</v>
      </c>
      <c r="C1663" s="40">
        <v>0.66666666666666663</v>
      </c>
      <c r="D1663" s="41">
        <v>5209.5</v>
      </c>
      <c r="E1663" s="41">
        <v>5213</v>
      </c>
      <c r="F1663" s="41">
        <v>5203</v>
      </c>
      <c r="G1663" s="41">
        <v>5210.5</v>
      </c>
      <c r="H1663" s="41">
        <v>4525845500</v>
      </c>
      <c r="I1663" s="42">
        <v>17380</v>
      </c>
    </row>
    <row r="1664" spans="1:9" x14ac:dyDescent="0.25">
      <c r="A1664" t="s">
        <v>9</v>
      </c>
      <c r="B1664" s="39">
        <v>46049</v>
      </c>
      <c r="C1664" s="40">
        <v>0.64583333333333337</v>
      </c>
      <c r="D1664" s="41">
        <v>5216.5</v>
      </c>
      <c r="E1664" s="41">
        <v>5218.5</v>
      </c>
      <c r="F1664" s="41">
        <v>5208.5</v>
      </c>
      <c r="G1664" s="41">
        <v>5210</v>
      </c>
      <c r="H1664" s="41">
        <v>5522230875</v>
      </c>
      <c r="I1664" s="42">
        <v>21175</v>
      </c>
    </row>
    <row r="1665" spans="1:9" x14ac:dyDescent="0.25">
      <c r="A1665" t="s">
        <v>9</v>
      </c>
      <c r="B1665" s="39">
        <v>46049</v>
      </c>
      <c r="C1665" s="40">
        <v>0.625</v>
      </c>
      <c r="D1665" s="41">
        <v>5216</v>
      </c>
      <c r="E1665" s="41">
        <v>5220.5</v>
      </c>
      <c r="F1665" s="41">
        <v>5214</v>
      </c>
      <c r="G1665" s="41">
        <v>5217</v>
      </c>
      <c r="H1665" s="41">
        <v>5324033750</v>
      </c>
      <c r="I1665" s="42">
        <v>20410</v>
      </c>
    </row>
    <row r="1666" spans="1:9" x14ac:dyDescent="0.25">
      <c r="A1666" t="s">
        <v>9</v>
      </c>
      <c r="B1666" s="39">
        <v>46049</v>
      </c>
      <c r="C1666" s="40">
        <v>0.60416666666666663</v>
      </c>
      <c r="D1666" s="41">
        <v>5223</v>
      </c>
      <c r="E1666" s="41">
        <v>5226.5</v>
      </c>
      <c r="F1666" s="41">
        <v>5215</v>
      </c>
      <c r="G1666" s="41">
        <v>5216</v>
      </c>
      <c r="H1666" s="41">
        <v>2450842125</v>
      </c>
      <c r="I1666" s="42">
        <v>9390</v>
      </c>
    </row>
    <row r="1667" spans="1:9" x14ac:dyDescent="0.25">
      <c r="A1667" t="s">
        <v>9</v>
      </c>
      <c r="B1667" s="39">
        <v>46049</v>
      </c>
      <c r="C1667" s="40">
        <v>0.58333333333333337</v>
      </c>
      <c r="D1667" s="41">
        <v>5219</v>
      </c>
      <c r="E1667" s="41">
        <v>5225</v>
      </c>
      <c r="F1667" s="41">
        <v>5218</v>
      </c>
      <c r="G1667" s="41">
        <v>5223.5</v>
      </c>
      <c r="H1667" s="41">
        <v>3095483125</v>
      </c>
      <c r="I1667" s="42">
        <v>11855</v>
      </c>
    </row>
    <row r="1668" spans="1:9" x14ac:dyDescent="0.25">
      <c r="A1668" t="s">
        <v>9</v>
      </c>
      <c r="B1668" s="39">
        <v>46049</v>
      </c>
      <c r="C1668" s="40">
        <v>0.5625</v>
      </c>
      <c r="D1668" s="41">
        <v>5224.5</v>
      </c>
      <c r="E1668" s="41">
        <v>5229</v>
      </c>
      <c r="F1668" s="41">
        <v>5212</v>
      </c>
      <c r="G1668" s="41">
        <v>5219</v>
      </c>
      <c r="H1668" s="41">
        <v>4109361750</v>
      </c>
      <c r="I1668" s="42">
        <v>15740</v>
      </c>
    </row>
    <row r="1669" spans="1:9" x14ac:dyDescent="0.25">
      <c r="A1669" t="s">
        <v>9</v>
      </c>
      <c r="B1669" s="39">
        <v>46049</v>
      </c>
      <c r="C1669" s="40">
        <v>0.54166666666666663</v>
      </c>
      <c r="D1669" s="41">
        <v>5224</v>
      </c>
      <c r="E1669" s="41">
        <v>5226</v>
      </c>
      <c r="F1669" s="41">
        <v>5216.5</v>
      </c>
      <c r="G1669" s="41">
        <v>5225</v>
      </c>
      <c r="H1669" s="41">
        <v>4474256375</v>
      </c>
      <c r="I1669" s="42">
        <v>17135</v>
      </c>
    </row>
    <row r="1670" spans="1:9" x14ac:dyDescent="0.25">
      <c r="A1670" t="s">
        <v>9</v>
      </c>
      <c r="B1670" s="39">
        <v>46049</v>
      </c>
      <c r="C1670" s="40">
        <v>0.52083333333333337</v>
      </c>
      <c r="D1670" s="41">
        <v>5228</v>
      </c>
      <c r="E1670" s="41">
        <v>5235</v>
      </c>
      <c r="F1670" s="41">
        <v>5223.5</v>
      </c>
      <c r="G1670" s="41">
        <v>5223.5</v>
      </c>
      <c r="H1670" s="41">
        <v>5028827625</v>
      </c>
      <c r="I1670" s="42">
        <v>19230</v>
      </c>
    </row>
    <row r="1671" spans="1:9" x14ac:dyDescent="0.25">
      <c r="A1671" t="s">
        <v>9</v>
      </c>
      <c r="B1671" s="39">
        <v>46049</v>
      </c>
      <c r="C1671" s="40">
        <v>0.5</v>
      </c>
      <c r="D1671" s="41">
        <v>5252</v>
      </c>
      <c r="E1671" s="41">
        <v>5253</v>
      </c>
      <c r="F1671" s="41">
        <v>5225</v>
      </c>
      <c r="G1671" s="41">
        <v>5227</v>
      </c>
      <c r="H1671" s="41">
        <v>5027569250</v>
      </c>
      <c r="I1671" s="42">
        <v>19185</v>
      </c>
    </row>
    <row r="1672" spans="1:9" x14ac:dyDescent="0.25">
      <c r="A1672" t="s">
        <v>9</v>
      </c>
      <c r="B1672" s="39">
        <v>46049</v>
      </c>
      <c r="C1672" s="40">
        <v>0.47916666666666669</v>
      </c>
      <c r="D1672" s="41">
        <v>5255.5</v>
      </c>
      <c r="E1672" s="41">
        <v>5257</v>
      </c>
      <c r="F1672" s="41">
        <v>5251.5</v>
      </c>
      <c r="G1672" s="41">
        <v>5252</v>
      </c>
      <c r="H1672" s="41">
        <v>3119594750</v>
      </c>
      <c r="I1672" s="42">
        <v>11875</v>
      </c>
    </row>
    <row r="1673" spans="1:9" x14ac:dyDescent="0.25">
      <c r="A1673" t="s">
        <v>9</v>
      </c>
      <c r="B1673" s="39">
        <v>46049</v>
      </c>
      <c r="C1673" s="40">
        <v>0.45833333333333331</v>
      </c>
      <c r="D1673" s="41">
        <v>5251.5</v>
      </c>
      <c r="E1673" s="41">
        <v>5257.5</v>
      </c>
      <c r="F1673" s="41">
        <v>5249.5</v>
      </c>
      <c r="G1673" s="41">
        <v>5255.5</v>
      </c>
      <c r="H1673" s="41">
        <v>4790026625</v>
      </c>
      <c r="I1673" s="42">
        <v>18240</v>
      </c>
    </row>
    <row r="1674" spans="1:9" x14ac:dyDescent="0.25">
      <c r="A1674" t="s">
        <v>9</v>
      </c>
      <c r="B1674" s="39">
        <v>46049</v>
      </c>
      <c r="C1674" s="40">
        <v>0.4375</v>
      </c>
      <c r="D1674" s="41">
        <v>5260</v>
      </c>
      <c r="E1674" s="41">
        <v>5260.5</v>
      </c>
      <c r="F1674" s="41">
        <v>5250.5</v>
      </c>
      <c r="G1674" s="41">
        <v>5251.5</v>
      </c>
      <c r="H1674" s="41">
        <v>8807903500</v>
      </c>
      <c r="I1674" s="42">
        <v>33525</v>
      </c>
    </row>
    <row r="1675" spans="1:9" x14ac:dyDescent="0.25">
      <c r="A1675" t="s">
        <v>9</v>
      </c>
      <c r="B1675" s="39">
        <v>46049</v>
      </c>
      <c r="C1675" s="40">
        <v>0.41666666666666669</v>
      </c>
      <c r="D1675" s="41">
        <v>5261</v>
      </c>
      <c r="E1675" s="41">
        <v>5262</v>
      </c>
      <c r="F1675" s="41">
        <v>5256.5</v>
      </c>
      <c r="G1675" s="41">
        <v>5260</v>
      </c>
      <c r="H1675" s="41">
        <v>4365083375</v>
      </c>
      <c r="I1675" s="42">
        <v>16600</v>
      </c>
    </row>
    <row r="1676" spans="1:9" x14ac:dyDescent="0.25">
      <c r="A1676" t="s">
        <v>9</v>
      </c>
      <c r="B1676" s="39">
        <v>46049</v>
      </c>
      <c r="C1676" s="40">
        <v>0.39583333333333331</v>
      </c>
      <c r="D1676" s="41">
        <v>5276</v>
      </c>
      <c r="E1676" s="41">
        <v>5278.5</v>
      </c>
      <c r="F1676" s="41">
        <v>5260</v>
      </c>
      <c r="G1676" s="41">
        <v>5262</v>
      </c>
      <c r="H1676" s="41">
        <v>3320813625</v>
      </c>
      <c r="I1676" s="42">
        <v>12610</v>
      </c>
    </row>
    <row r="1677" spans="1:9" x14ac:dyDescent="0.25">
      <c r="A1677" t="s">
        <v>9</v>
      </c>
      <c r="B1677" s="39">
        <v>46049</v>
      </c>
      <c r="C1677" s="40">
        <v>0.375</v>
      </c>
      <c r="D1677" s="41">
        <v>5283.5</v>
      </c>
      <c r="E1677" s="41">
        <v>5283.5</v>
      </c>
      <c r="F1677" s="41">
        <v>5273</v>
      </c>
      <c r="G1677" s="41">
        <v>5275.5</v>
      </c>
      <c r="H1677" s="41">
        <v>3684850375</v>
      </c>
      <c r="I1677" s="42">
        <v>13960</v>
      </c>
    </row>
    <row r="1678" spans="1:9" x14ac:dyDescent="0.25">
      <c r="A1678" t="s">
        <v>9</v>
      </c>
      <c r="B1678" s="39">
        <v>46048</v>
      </c>
      <c r="C1678" s="40">
        <v>0.75</v>
      </c>
      <c r="D1678" s="41">
        <v>5291</v>
      </c>
      <c r="E1678" s="41">
        <v>5294</v>
      </c>
      <c r="F1678" s="41">
        <v>5287.5</v>
      </c>
      <c r="G1678" s="41">
        <v>5288.5</v>
      </c>
      <c r="H1678" s="41">
        <v>1198343125</v>
      </c>
      <c r="I1678" s="42">
        <v>4530</v>
      </c>
    </row>
    <row r="1679" spans="1:9" x14ac:dyDescent="0.25">
      <c r="A1679" t="s">
        <v>9</v>
      </c>
      <c r="B1679" s="39">
        <v>46048</v>
      </c>
      <c r="C1679" s="40">
        <v>0.72916666666666663</v>
      </c>
      <c r="D1679" s="41">
        <v>5285.5</v>
      </c>
      <c r="E1679" s="41">
        <v>5292</v>
      </c>
      <c r="F1679" s="41">
        <v>5282</v>
      </c>
      <c r="G1679" s="41">
        <v>5290.5</v>
      </c>
      <c r="H1679" s="41">
        <v>1131267125</v>
      </c>
      <c r="I1679" s="42">
        <v>4280</v>
      </c>
    </row>
    <row r="1680" spans="1:9" x14ac:dyDescent="0.25">
      <c r="A1680" t="s">
        <v>9</v>
      </c>
      <c r="B1680" s="39">
        <v>46048</v>
      </c>
      <c r="C1680" s="40">
        <v>0.70833333333333337</v>
      </c>
      <c r="D1680" s="41">
        <v>5287.5</v>
      </c>
      <c r="E1680" s="41">
        <v>5288</v>
      </c>
      <c r="F1680" s="41">
        <v>5285</v>
      </c>
      <c r="G1680" s="41">
        <v>5286</v>
      </c>
      <c r="H1680" s="41">
        <v>1268818875</v>
      </c>
      <c r="I1680" s="42">
        <v>4800</v>
      </c>
    </row>
    <row r="1681" spans="1:9" x14ac:dyDescent="0.25">
      <c r="A1681" t="s">
        <v>9</v>
      </c>
      <c r="B1681" s="39">
        <v>46048</v>
      </c>
      <c r="C1681" s="40">
        <v>0.6875</v>
      </c>
      <c r="D1681" s="41">
        <v>5288.5</v>
      </c>
      <c r="E1681" s="41">
        <v>5291</v>
      </c>
      <c r="F1681" s="41">
        <v>5287.5</v>
      </c>
      <c r="G1681" s="41">
        <v>5287.5</v>
      </c>
      <c r="H1681" s="41">
        <v>1798527625</v>
      </c>
      <c r="I1681" s="42">
        <v>6800</v>
      </c>
    </row>
    <row r="1682" spans="1:9" x14ac:dyDescent="0.25">
      <c r="A1682" t="s">
        <v>9</v>
      </c>
      <c r="B1682" s="39">
        <v>46048</v>
      </c>
      <c r="C1682" s="40">
        <v>0.66666666666666663</v>
      </c>
      <c r="D1682" s="41">
        <v>5284</v>
      </c>
      <c r="E1682" s="41">
        <v>5293</v>
      </c>
      <c r="F1682" s="41">
        <v>5284</v>
      </c>
      <c r="G1682" s="41">
        <v>5288</v>
      </c>
      <c r="H1682" s="41">
        <v>2966732875</v>
      </c>
      <c r="I1682" s="42">
        <v>11220</v>
      </c>
    </row>
    <row r="1683" spans="1:9" x14ac:dyDescent="0.25">
      <c r="A1683" t="s">
        <v>9</v>
      </c>
      <c r="B1683" s="39">
        <v>46048</v>
      </c>
      <c r="C1683" s="40">
        <v>0.64583333333333337</v>
      </c>
      <c r="D1683" s="41">
        <v>5279</v>
      </c>
      <c r="E1683" s="41">
        <v>5284</v>
      </c>
      <c r="F1683" s="41">
        <v>5279</v>
      </c>
      <c r="G1683" s="41">
        <v>5284</v>
      </c>
      <c r="H1683" s="41">
        <v>3742794875</v>
      </c>
      <c r="I1683" s="42">
        <v>14170</v>
      </c>
    </row>
    <row r="1684" spans="1:9" x14ac:dyDescent="0.25">
      <c r="A1684" t="s">
        <v>9</v>
      </c>
      <c r="B1684" s="39">
        <v>46048</v>
      </c>
      <c r="C1684" s="40">
        <v>0.625</v>
      </c>
      <c r="D1684" s="41">
        <v>5277.5</v>
      </c>
      <c r="E1684" s="41">
        <v>5279.5</v>
      </c>
      <c r="F1684" s="41">
        <v>5274</v>
      </c>
      <c r="G1684" s="41">
        <v>5279</v>
      </c>
      <c r="H1684" s="41">
        <v>2251688125</v>
      </c>
      <c r="I1684" s="42">
        <v>8535</v>
      </c>
    </row>
    <row r="1685" spans="1:9" x14ac:dyDescent="0.25">
      <c r="A1685" t="s">
        <v>9</v>
      </c>
      <c r="B1685" s="39">
        <v>46048</v>
      </c>
      <c r="C1685" s="40">
        <v>0.60416666666666663</v>
      </c>
      <c r="D1685" s="41">
        <v>5280.5</v>
      </c>
      <c r="E1685" s="41">
        <v>5283.5</v>
      </c>
      <c r="F1685" s="41">
        <v>5274.5</v>
      </c>
      <c r="G1685" s="41">
        <v>5277</v>
      </c>
      <c r="H1685" s="41">
        <v>1642875750</v>
      </c>
      <c r="I1685" s="42">
        <v>6225</v>
      </c>
    </row>
    <row r="1686" spans="1:9" x14ac:dyDescent="0.25">
      <c r="A1686" t="s">
        <v>9</v>
      </c>
      <c r="B1686" s="39">
        <v>46048</v>
      </c>
      <c r="C1686" s="40">
        <v>0.58333333333333337</v>
      </c>
      <c r="D1686" s="41">
        <v>5280.5</v>
      </c>
      <c r="E1686" s="41">
        <v>5283</v>
      </c>
      <c r="F1686" s="41">
        <v>5278.5</v>
      </c>
      <c r="G1686" s="41">
        <v>5280.5</v>
      </c>
      <c r="H1686" s="41">
        <v>1832260125</v>
      </c>
      <c r="I1686" s="42">
        <v>6940</v>
      </c>
    </row>
    <row r="1687" spans="1:9" x14ac:dyDescent="0.25">
      <c r="A1687" t="s">
        <v>9</v>
      </c>
      <c r="B1687" s="39">
        <v>46048</v>
      </c>
      <c r="C1687" s="40">
        <v>0.5625</v>
      </c>
      <c r="D1687" s="41">
        <v>5277</v>
      </c>
      <c r="E1687" s="41">
        <v>5282</v>
      </c>
      <c r="F1687" s="41">
        <v>5276</v>
      </c>
      <c r="G1687" s="41">
        <v>5281</v>
      </c>
      <c r="H1687" s="41">
        <v>1672458250</v>
      </c>
      <c r="I1687" s="42">
        <v>6335</v>
      </c>
    </row>
    <row r="1688" spans="1:9" x14ac:dyDescent="0.25">
      <c r="A1688" t="s">
        <v>9</v>
      </c>
      <c r="B1688" s="39">
        <v>46048</v>
      </c>
      <c r="C1688" s="40">
        <v>0.54166666666666663</v>
      </c>
      <c r="D1688" s="41">
        <v>5270</v>
      </c>
      <c r="E1688" s="41">
        <v>5278.5</v>
      </c>
      <c r="F1688" s="41">
        <v>5268.5</v>
      </c>
      <c r="G1688" s="41">
        <v>5276.5</v>
      </c>
      <c r="H1688" s="41">
        <v>3311926625</v>
      </c>
      <c r="I1688" s="42">
        <v>12560</v>
      </c>
    </row>
    <row r="1689" spans="1:9" x14ac:dyDescent="0.25">
      <c r="A1689" t="s">
        <v>9</v>
      </c>
      <c r="B1689" s="39">
        <v>46048</v>
      </c>
      <c r="C1689" s="40">
        <v>0.52083333333333337</v>
      </c>
      <c r="D1689" s="41">
        <v>5279</v>
      </c>
      <c r="E1689" s="41">
        <v>5281.5</v>
      </c>
      <c r="F1689" s="41">
        <v>5268</v>
      </c>
      <c r="G1689" s="41">
        <v>5269.5</v>
      </c>
      <c r="H1689" s="41">
        <v>2486910375</v>
      </c>
      <c r="I1689" s="42">
        <v>9430</v>
      </c>
    </row>
    <row r="1690" spans="1:9" x14ac:dyDescent="0.25">
      <c r="A1690" t="s">
        <v>9</v>
      </c>
      <c r="B1690" s="39">
        <v>46048</v>
      </c>
      <c r="C1690" s="40">
        <v>0.5</v>
      </c>
      <c r="D1690" s="41">
        <v>5277</v>
      </c>
      <c r="E1690" s="41">
        <v>5284.5</v>
      </c>
      <c r="F1690" s="41">
        <v>5274</v>
      </c>
      <c r="G1690" s="41">
        <v>5279.5</v>
      </c>
      <c r="H1690" s="41">
        <v>3610639750</v>
      </c>
      <c r="I1690" s="42">
        <v>13680</v>
      </c>
    </row>
    <row r="1691" spans="1:9" x14ac:dyDescent="0.25">
      <c r="A1691" t="s">
        <v>9</v>
      </c>
      <c r="B1691" s="39">
        <v>46048</v>
      </c>
      <c r="C1691" s="40">
        <v>0.47916666666666669</v>
      </c>
      <c r="D1691" s="41">
        <v>5280</v>
      </c>
      <c r="E1691" s="41">
        <v>5287.5</v>
      </c>
      <c r="F1691" s="41">
        <v>5275</v>
      </c>
      <c r="G1691" s="41">
        <v>5277</v>
      </c>
      <c r="H1691" s="41">
        <v>3311601125</v>
      </c>
      <c r="I1691" s="42">
        <v>12540</v>
      </c>
    </row>
    <row r="1692" spans="1:9" x14ac:dyDescent="0.25">
      <c r="A1692" t="s">
        <v>9</v>
      </c>
      <c r="B1692" s="39">
        <v>46048</v>
      </c>
      <c r="C1692" s="40">
        <v>0.45833333333333331</v>
      </c>
      <c r="D1692" s="41">
        <v>5289.5</v>
      </c>
      <c r="E1692" s="41">
        <v>5292.5</v>
      </c>
      <c r="F1692" s="41">
        <v>5276.5</v>
      </c>
      <c r="G1692" s="41">
        <v>5280</v>
      </c>
      <c r="H1692" s="41">
        <v>3579273625</v>
      </c>
      <c r="I1692" s="42">
        <v>13545</v>
      </c>
    </row>
    <row r="1693" spans="1:9" x14ac:dyDescent="0.25">
      <c r="A1693" t="s">
        <v>9</v>
      </c>
      <c r="B1693" s="39">
        <v>46048</v>
      </c>
      <c r="C1693" s="40">
        <v>0.4375</v>
      </c>
      <c r="D1693" s="41">
        <v>5292.5</v>
      </c>
      <c r="E1693" s="41">
        <v>5295</v>
      </c>
      <c r="F1693" s="41">
        <v>5287.5</v>
      </c>
      <c r="G1693" s="41">
        <v>5290</v>
      </c>
      <c r="H1693" s="41">
        <v>2979672500</v>
      </c>
      <c r="I1693" s="42">
        <v>11265</v>
      </c>
    </row>
    <row r="1694" spans="1:9" x14ac:dyDescent="0.25">
      <c r="A1694" t="s">
        <v>9</v>
      </c>
      <c r="B1694" s="39">
        <v>46048</v>
      </c>
      <c r="C1694" s="40">
        <v>0.41666666666666669</v>
      </c>
      <c r="D1694" s="41">
        <v>5291</v>
      </c>
      <c r="E1694" s="41">
        <v>5297.5</v>
      </c>
      <c r="F1694" s="41">
        <v>5288.5</v>
      </c>
      <c r="G1694" s="41">
        <v>5291.5</v>
      </c>
      <c r="H1694" s="41">
        <v>4966636250</v>
      </c>
      <c r="I1694" s="42">
        <v>18770</v>
      </c>
    </row>
    <row r="1695" spans="1:9" x14ac:dyDescent="0.25">
      <c r="A1695" t="s">
        <v>9</v>
      </c>
      <c r="B1695" s="39">
        <v>46048</v>
      </c>
      <c r="C1695" s="40">
        <v>0.39583333333333331</v>
      </c>
      <c r="D1695" s="41">
        <v>5287.5</v>
      </c>
      <c r="E1695" s="41">
        <v>5297.5</v>
      </c>
      <c r="F1695" s="41">
        <v>5287.5</v>
      </c>
      <c r="G1695" s="41">
        <v>5290</v>
      </c>
      <c r="H1695" s="41">
        <v>5524574625</v>
      </c>
      <c r="I1695" s="42">
        <v>20875</v>
      </c>
    </row>
    <row r="1696" spans="1:9" x14ac:dyDescent="0.25">
      <c r="A1696" t="s">
        <v>9</v>
      </c>
      <c r="B1696" s="39">
        <v>46048</v>
      </c>
      <c r="C1696" s="40">
        <v>0.375</v>
      </c>
      <c r="D1696" s="41">
        <v>5289</v>
      </c>
      <c r="E1696" s="41">
        <v>5290</v>
      </c>
      <c r="F1696" s="41">
        <v>5275.5</v>
      </c>
      <c r="G1696" s="41">
        <v>5287</v>
      </c>
      <c r="H1696" s="41">
        <v>2015628625</v>
      </c>
      <c r="I1696" s="42">
        <v>7630</v>
      </c>
    </row>
    <row r="1697" spans="1:9" x14ac:dyDescent="0.25">
      <c r="A1697" t="s">
        <v>9</v>
      </c>
      <c r="B1697" s="39">
        <v>46045</v>
      </c>
      <c r="C1697" s="40">
        <v>0.75</v>
      </c>
      <c r="D1697" s="41">
        <v>5295.5</v>
      </c>
      <c r="E1697" s="41">
        <v>5304.5</v>
      </c>
      <c r="F1697" s="41">
        <v>5293.5</v>
      </c>
      <c r="G1697" s="41">
        <v>5303.5</v>
      </c>
      <c r="H1697" s="41">
        <v>1153869500</v>
      </c>
      <c r="I1697" s="42">
        <v>4355</v>
      </c>
    </row>
    <row r="1698" spans="1:9" x14ac:dyDescent="0.25">
      <c r="A1698" t="s">
        <v>9</v>
      </c>
      <c r="B1698" s="39">
        <v>46045</v>
      </c>
      <c r="C1698" s="40">
        <v>0.72916666666666663</v>
      </c>
      <c r="D1698" s="41">
        <v>5295.5</v>
      </c>
      <c r="E1698" s="41">
        <v>5299</v>
      </c>
      <c r="F1698" s="41">
        <v>5292.5</v>
      </c>
      <c r="G1698" s="41">
        <v>5296.5</v>
      </c>
      <c r="H1698" s="41">
        <v>1247133500</v>
      </c>
      <c r="I1698" s="42">
        <v>4710</v>
      </c>
    </row>
    <row r="1699" spans="1:9" x14ac:dyDescent="0.25">
      <c r="A1699" t="s">
        <v>9</v>
      </c>
      <c r="B1699" s="39">
        <v>46045</v>
      </c>
      <c r="C1699" s="40">
        <v>0.70833333333333337</v>
      </c>
      <c r="D1699" s="41">
        <v>5296</v>
      </c>
      <c r="E1699" s="41">
        <v>5296.5</v>
      </c>
      <c r="F1699" s="41">
        <v>5286.5</v>
      </c>
      <c r="G1699" s="41">
        <v>5296</v>
      </c>
      <c r="H1699" s="41">
        <v>1096855500</v>
      </c>
      <c r="I1699" s="42">
        <v>4145</v>
      </c>
    </row>
    <row r="1700" spans="1:9" x14ac:dyDescent="0.25">
      <c r="A1700" t="s">
        <v>9</v>
      </c>
      <c r="B1700" s="39">
        <v>46045</v>
      </c>
      <c r="C1700" s="40">
        <v>0.6875</v>
      </c>
      <c r="D1700" s="41">
        <v>5297</v>
      </c>
      <c r="E1700" s="41">
        <v>5298.5</v>
      </c>
      <c r="F1700" s="41">
        <v>5293</v>
      </c>
      <c r="G1700" s="41">
        <v>5296</v>
      </c>
      <c r="H1700" s="41">
        <v>1235303625</v>
      </c>
      <c r="I1700" s="42">
        <v>4665</v>
      </c>
    </row>
    <row r="1701" spans="1:9" x14ac:dyDescent="0.25">
      <c r="A1701" t="s">
        <v>9</v>
      </c>
      <c r="B1701" s="39">
        <v>46045</v>
      </c>
      <c r="C1701" s="40">
        <v>0.66666666666666663</v>
      </c>
      <c r="D1701" s="41">
        <v>5298</v>
      </c>
      <c r="E1701" s="41">
        <v>5299</v>
      </c>
      <c r="F1701" s="41">
        <v>5295.5</v>
      </c>
      <c r="G1701" s="41">
        <v>5296.5</v>
      </c>
      <c r="H1701" s="41">
        <v>1708451625</v>
      </c>
      <c r="I1701" s="42">
        <v>6450</v>
      </c>
    </row>
    <row r="1702" spans="1:9" x14ac:dyDescent="0.25">
      <c r="A1702" t="s">
        <v>9</v>
      </c>
      <c r="B1702" s="39">
        <v>46045</v>
      </c>
      <c r="C1702" s="40">
        <v>0.64583333333333337</v>
      </c>
      <c r="D1702" s="41">
        <v>5294</v>
      </c>
      <c r="E1702" s="41">
        <v>5301</v>
      </c>
      <c r="F1702" s="41">
        <v>5294</v>
      </c>
      <c r="G1702" s="41">
        <v>5297.5</v>
      </c>
      <c r="H1702" s="41">
        <v>2091731750</v>
      </c>
      <c r="I1702" s="42">
        <v>7895</v>
      </c>
    </row>
    <row r="1703" spans="1:9" x14ac:dyDescent="0.25">
      <c r="A1703" t="s">
        <v>9</v>
      </c>
      <c r="B1703" s="39">
        <v>46045</v>
      </c>
      <c r="C1703" s="40">
        <v>0.625</v>
      </c>
      <c r="D1703" s="41">
        <v>5301.5</v>
      </c>
      <c r="E1703" s="41">
        <v>5308</v>
      </c>
      <c r="F1703" s="41">
        <v>5292.5</v>
      </c>
      <c r="G1703" s="41">
        <v>5294</v>
      </c>
      <c r="H1703" s="41">
        <v>5025865250</v>
      </c>
      <c r="I1703" s="42">
        <v>18965</v>
      </c>
    </row>
    <row r="1704" spans="1:9" x14ac:dyDescent="0.25">
      <c r="A1704" t="s">
        <v>9</v>
      </c>
      <c r="B1704" s="39">
        <v>46045</v>
      </c>
      <c r="C1704" s="40">
        <v>0.60416666666666663</v>
      </c>
      <c r="D1704" s="41">
        <v>5288</v>
      </c>
      <c r="E1704" s="41">
        <v>5301.5</v>
      </c>
      <c r="F1704" s="41">
        <v>5282.5</v>
      </c>
      <c r="G1704" s="41">
        <v>5301.5</v>
      </c>
      <c r="H1704" s="41">
        <v>5685760625</v>
      </c>
      <c r="I1704" s="42">
        <v>21485</v>
      </c>
    </row>
    <row r="1705" spans="1:9" x14ac:dyDescent="0.25">
      <c r="A1705" t="s">
        <v>9</v>
      </c>
      <c r="B1705" s="39">
        <v>46045</v>
      </c>
      <c r="C1705" s="40">
        <v>0.58333333333333337</v>
      </c>
      <c r="D1705" s="41">
        <v>5305.5</v>
      </c>
      <c r="E1705" s="41">
        <v>5306.5</v>
      </c>
      <c r="F1705" s="41">
        <v>5286.5</v>
      </c>
      <c r="G1705" s="41">
        <v>5287.5</v>
      </c>
      <c r="H1705" s="41">
        <v>5721166625</v>
      </c>
      <c r="I1705" s="42">
        <v>21615</v>
      </c>
    </row>
    <row r="1706" spans="1:9" x14ac:dyDescent="0.25">
      <c r="A1706" t="s">
        <v>9</v>
      </c>
      <c r="B1706" s="39">
        <v>46045</v>
      </c>
      <c r="C1706" s="40">
        <v>0.5625</v>
      </c>
      <c r="D1706" s="41">
        <v>5300</v>
      </c>
      <c r="E1706" s="41">
        <v>5307.5</v>
      </c>
      <c r="F1706" s="41">
        <v>5297.5</v>
      </c>
      <c r="G1706" s="41">
        <v>5304.5</v>
      </c>
      <c r="H1706" s="41">
        <v>1464491625</v>
      </c>
      <c r="I1706" s="42">
        <v>5525</v>
      </c>
    </row>
    <row r="1707" spans="1:9" x14ac:dyDescent="0.25">
      <c r="A1707" t="s">
        <v>9</v>
      </c>
      <c r="B1707" s="39">
        <v>46045</v>
      </c>
      <c r="C1707" s="40">
        <v>0.54166666666666663</v>
      </c>
      <c r="D1707" s="41">
        <v>5292.5</v>
      </c>
      <c r="E1707" s="41">
        <v>5304</v>
      </c>
      <c r="F1707" s="41">
        <v>5290.5</v>
      </c>
      <c r="G1707" s="41">
        <v>5300</v>
      </c>
      <c r="H1707" s="41">
        <v>3707203000</v>
      </c>
      <c r="I1707" s="42">
        <v>13995</v>
      </c>
    </row>
    <row r="1708" spans="1:9" x14ac:dyDescent="0.25">
      <c r="A1708" t="s">
        <v>9</v>
      </c>
      <c r="B1708" s="39">
        <v>46045</v>
      </c>
      <c r="C1708" s="40">
        <v>0.52083333333333337</v>
      </c>
      <c r="D1708" s="41">
        <v>5295.5</v>
      </c>
      <c r="E1708" s="41">
        <v>5300</v>
      </c>
      <c r="F1708" s="41">
        <v>5292</v>
      </c>
      <c r="G1708" s="41">
        <v>5292.5</v>
      </c>
      <c r="H1708" s="41">
        <v>2351471625</v>
      </c>
      <c r="I1708" s="42">
        <v>8880</v>
      </c>
    </row>
    <row r="1709" spans="1:9" x14ac:dyDescent="0.25">
      <c r="A1709" t="s">
        <v>9</v>
      </c>
      <c r="B1709" s="39">
        <v>46045</v>
      </c>
      <c r="C1709" s="40">
        <v>0.5</v>
      </c>
      <c r="D1709" s="41">
        <v>5307.5</v>
      </c>
      <c r="E1709" s="41">
        <v>5307.5</v>
      </c>
      <c r="F1709" s="41">
        <v>5294</v>
      </c>
      <c r="G1709" s="41">
        <v>5295.5</v>
      </c>
      <c r="H1709" s="41">
        <v>4834810250</v>
      </c>
      <c r="I1709" s="42">
        <v>18240</v>
      </c>
    </row>
    <row r="1710" spans="1:9" x14ac:dyDescent="0.25">
      <c r="A1710" t="s">
        <v>9</v>
      </c>
      <c r="B1710" s="39">
        <v>46045</v>
      </c>
      <c r="C1710" s="40">
        <v>0.47916666666666669</v>
      </c>
      <c r="D1710" s="41">
        <v>5305</v>
      </c>
      <c r="E1710" s="41">
        <v>5314.5</v>
      </c>
      <c r="F1710" s="41">
        <v>5303.5</v>
      </c>
      <c r="G1710" s="41">
        <v>5308</v>
      </c>
      <c r="H1710" s="41">
        <v>2637266875</v>
      </c>
      <c r="I1710" s="42">
        <v>9935</v>
      </c>
    </row>
    <row r="1711" spans="1:9" x14ac:dyDescent="0.25">
      <c r="A1711" t="s">
        <v>9</v>
      </c>
      <c r="B1711" s="39">
        <v>46045</v>
      </c>
      <c r="C1711" s="40">
        <v>0.45833333333333331</v>
      </c>
      <c r="D1711" s="41">
        <v>5304</v>
      </c>
      <c r="E1711" s="41">
        <v>5313.5</v>
      </c>
      <c r="F1711" s="41">
        <v>5301</v>
      </c>
      <c r="G1711" s="41">
        <v>5304.5</v>
      </c>
      <c r="H1711" s="41">
        <v>10355741500</v>
      </c>
      <c r="I1711" s="42">
        <v>39025</v>
      </c>
    </row>
    <row r="1712" spans="1:9" x14ac:dyDescent="0.25">
      <c r="A1712" t="s">
        <v>9</v>
      </c>
      <c r="B1712" s="39">
        <v>46045</v>
      </c>
      <c r="C1712" s="40">
        <v>0.4375</v>
      </c>
      <c r="D1712" s="41">
        <v>5300</v>
      </c>
      <c r="E1712" s="41">
        <v>5308.5</v>
      </c>
      <c r="F1712" s="41">
        <v>5298.5</v>
      </c>
      <c r="G1712" s="41">
        <v>5303.5</v>
      </c>
      <c r="H1712" s="41">
        <v>2553111750</v>
      </c>
      <c r="I1712" s="42">
        <v>9630</v>
      </c>
    </row>
    <row r="1713" spans="1:9" x14ac:dyDescent="0.25">
      <c r="A1713" t="s">
        <v>9</v>
      </c>
      <c r="B1713" s="39">
        <v>46045</v>
      </c>
      <c r="C1713" s="40">
        <v>0.41666666666666669</v>
      </c>
      <c r="D1713" s="41">
        <v>5296.5</v>
      </c>
      <c r="E1713" s="41">
        <v>5301</v>
      </c>
      <c r="F1713" s="41">
        <v>5286.5</v>
      </c>
      <c r="G1713" s="41">
        <v>5300</v>
      </c>
      <c r="H1713" s="41">
        <v>3759642000</v>
      </c>
      <c r="I1713" s="42">
        <v>14205</v>
      </c>
    </row>
    <row r="1714" spans="1:9" x14ac:dyDescent="0.25">
      <c r="A1714" t="s">
        <v>9</v>
      </c>
      <c r="B1714" s="39">
        <v>46045</v>
      </c>
      <c r="C1714" s="40">
        <v>0.39583333333333331</v>
      </c>
      <c r="D1714" s="41">
        <v>5304</v>
      </c>
      <c r="E1714" s="41">
        <v>5307</v>
      </c>
      <c r="F1714" s="41">
        <v>5296.5</v>
      </c>
      <c r="G1714" s="41">
        <v>5296.5</v>
      </c>
      <c r="H1714" s="41">
        <v>2389686875</v>
      </c>
      <c r="I1714" s="42">
        <v>9015</v>
      </c>
    </row>
    <row r="1715" spans="1:9" x14ac:dyDescent="0.25">
      <c r="A1715" t="s">
        <v>9</v>
      </c>
      <c r="B1715" s="39">
        <v>46045</v>
      </c>
      <c r="C1715" s="40">
        <v>0.375</v>
      </c>
      <c r="D1715" s="41">
        <v>5303</v>
      </c>
      <c r="E1715" s="41">
        <v>5309</v>
      </c>
      <c r="F1715" s="41">
        <v>5296</v>
      </c>
      <c r="G1715" s="41">
        <v>5304</v>
      </c>
      <c r="H1715" s="41">
        <v>3498026250</v>
      </c>
      <c r="I1715" s="42">
        <v>13195</v>
      </c>
    </row>
    <row r="1716" spans="1:9" x14ac:dyDescent="0.25">
      <c r="A1716" t="s">
        <v>9</v>
      </c>
      <c r="B1716" s="39">
        <v>46044</v>
      </c>
      <c r="C1716" s="40">
        <v>0.75</v>
      </c>
      <c r="D1716" s="41">
        <v>5300</v>
      </c>
      <c r="E1716" s="41">
        <v>5305.5</v>
      </c>
      <c r="F1716" s="41">
        <v>5296.5</v>
      </c>
      <c r="G1716" s="41">
        <v>5296.5</v>
      </c>
      <c r="H1716" s="41">
        <v>1661691125</v>
      </c>
      <c r="I1716" s="42">
        <v>6270</v>
      </c>
    </row>
    <row r="1717" spans="1:9" x14ac:dyDescent="0.25">
      <c r="A1717" t="s">
        <v>9</v>
      </c>
      <c r="B1717" s="39">
        <v>46044</v>
      </c>
      <c r="C1717" s="40">
        <v>0.72916666666666663</v>
      </c>
      <c r="D1717" s="41">
        <v>5292.5</v>
      </c>
      <c r="E1717" s="41">
        <v>5301</v>
      </c>
      <c r="F1717" s="41">
        <v>5292.5</v>
      </c>
      <c r="G1717" s="41">
        <v>5300.5</v>
      </c>
      <c r="H1717" s="41">
        <v>843427250</v>
      </c>
      <c r="I1717" s="42">
        <v>3185</v>
      </c>
    </row>
    <row r="1718" spans="1:9" x14ac:dyDescent="0.25">
      <c r="A1718" t="s">
        <v>9</v>
      </c>
      <c r="B1718" s="39">
        <v>46044</v>
      </c>
      <c r="C1718" s="40">
        <v>0.70833333333333337</v>
      </c>
      <c r="D1718" s="41">
        <v>5294.5</v>
      </c>
      <c r="E1718" s="41">
        <v>5296.5</v>
      </c>
      <c r="F1718" s="41">
        <v>5291</v>
      </c>
      <c r="G1718" s="41">
        <v>5292</v>
      </c>
      <c r="H1718" s="41">
        <v>2297798875</v>
      </c>
      <c r="I1718" s="42">
        <v>8680</v>
      </c>
    </row>
    <row r="1719" spans="1:9" x14ac:dyDescent="0.25">
      <c r="A1719" t="s">
        <v>9</v>
      </c>
      <c r="B1719" s="39">
        <v>46044</v>
      </c>
      <c r="C1719" s="40">
        <v>0.6875</v>
      </c>
      <c r="D1719" s="41">
        <v>5295</v>
      </c>
      <c r="E1719" s="41">
        <v>5296</v>
      </c>
      <c r="F1719" s="41">
        <v>5292.5</v>
      </c>
      <c r="G1719" s="41">
        <v>5294</v>
      </c>
      <c r="H1719" s="41">
        <v>1355363125</v>
      </c>
      <c r="I1719" s="42">
        <v>5120</v>
      </c>
    </row>
    <row r="1720" spans="1:9" x14ac:dyDescent="0.25">
      <c r="A1720" t="s">
        <v>9</v>
      </c>
      <c r="B1720" s="39">
        <v>46044</v>
      </c>
      <c r="C1720" s="40">
        <v>0.66666666666666663</v>
      </c>
      <c r="D1720" s="41">
        <v>5293.5</v>
      </c>
      <c r="E1720" s="41">
        <v>5296.5</v>
      </c>
      <c r="F1720" s="41">
        <v>5293.5</v>
      </c>
      <c r="G1720" s="41">
        <v>5296</v>
      </c>
      <c r="H1720" s="41">
        <v>2559188125</v>
      </c>
      <c r="I1720" s="42">
        <v>9665</v>
      </c>
    </row>
    <row r="1721" spans="1:9" x14ac:dyDescent="0.25">
      <c r="A1721" t="s">
        <v>9</v>
      </c>
      <c r="B1721" s="39">
        <v>46044</v>
      </c>
      <c r="C1721" s="40">
        <v>0.64583333333333337</v>
      </c>
      <c r="D1721" s="41">
        <v>5303.5</v>
      </c>
      <c r="E1721" s="41">
        <v>5303.5</v>
      </c>
      <c r="F1721" s="41">
        <v>5292.5</v>
      </c>
      <c r="G1721" s="41">
        <v>5293.5</v>
      </c>
      <c r="H1721" s="41">
        <v>3319001125</v>
      </c>
      <c r="I1721" s="42">
        <v>12530</v>
      </c>
    </row>
    <row r="1722" spans="1:9" x14ac:dyDescent="0.25">
      <c r="A1722" t="s">
        <v>9</v>
      </c>
      <c r="B1722" s="39">
        <v>46044</v>
      </c>
      <c r="C1722" s="40">
        <v>0.625</v>
      </c>
      <c r="D1722" s="41">
        <v>5304</v>
      </c>
      <c r="E1722" s="41">
        <v>5304.5</v>
      </c>
      <c r="F1722" s="41">
        <v>5295.5</v>
      </c>
      <c r="G1722" s="41">
        <v>5303</v>
      </c>
      <c r="H1722" s="41">
        <v>2758185750</v>
      </c>
      <c r="I1722" s="42">
        <v>10410</v>
      </c>
    </row>
    <row r="1723" spans="1:9" x14ac:dyDescent="0.25">
      <c r="A1723" t="s">
        <v>9</v>
      </c>
      <c r="B1723" s="39">
        <v>46044</v>
      </c>
      <c r="C1723" s="40">
        <v>0.60416666666666663</v>
      </c>
      <c r="D1723" s="41">
        <v>5305.5</v>
      </c>
      <c r="E1723" s="41">
        <v>5307</v>
      </c>
      <c r="F1723" s="41">
        <v>5296.5</v>
      </c>
      <c r="G1723" s="41">
        <v>5303.5</v>
      </c>
      <c r="H1723" s="41">
        <v>3743664750</v>
      </c>
      <c r="I1723" s="42">
        <v>14120</v>
      </c>
    </row>
    <row r="1724" spans="1:9" x14ac:dyDescent="0.25">
      <c r="A1724" t="s">
        <v>9</v>
      </c>
      <c r="B1724" s="39">
        <v>46044</v>
      </c>
      <c r="C1724" s="40">
        <v>0.58333333333333337</v>
      </c>
      <c r="D1724" s="41">
        <v>5308</v>
      </c>
      <c r="E1724" s="41">
        <v>5312.5</v>
      </c>
      <c r="F1724" s="41">
        <v>5305</v>
      </c>
      <c r="G1724" s="41">
        <v>5305.5</v>
      </c>
      <c r="H1724" s="41">
        <v>5211582125</v>
      </c>
      <c r="I1724" s="42">
        <v>19635</v>
      </c>
    </row>
    <row r="1725" spans="1:9" x14ac:dyDescent="0.25">
      <c r="A1725" t="s">
        <v>9</v>
      </c>
      <c r="B1725" s="39">
        <v>46044</v>
      </c>
      <c r="C1725" s="40">
        <v>0.5625</v>
      </c>
      <c r="D1725" s="41">
        <v>5303.5</v>
      </c>
      <c r="E1725" s="41">
        <v>5310.5</v>
      </c>
      <c r="F1725" s="41">
        <v>5303</v>
      </c>
      <c r="G1725" s="41">
        <v>5308</v>
      </c>
      <c r="H1725" s="41">
        <v>5347377625</v>
      </c>
      <c r="I1725" s="42">
        <v>20155</v>
      </c>
    </row>
    <row r="1726" spans="1:9" x14ac:dyDescent="0.25">
      <c r="A1726" t="s">
        <v>9</v>
      </c>
      <c r="B1726" s="39">
        <v>46044</v>
      </c>
      <c r="C1726" s="40">
        <v>0.54166666666666663</v>
      </c>
      <c r="D1726" s="41">
        <v>5305</v>
      </c>
      <c r="E1726" s="41">
        <v>5307.5</v>
      </c>
      <c r="F1726" s="41">
        <v>5300.5</v>
      </c>
      <c r="G1726" s="41">
        <v>5303</v>
      </c>
      <c r="H1726" s="41">
        <v>4982635750</v>
      </c>
      <c r="I1726" s="42">
        <v>18790</v>
      </c>
    </row>
    <row r="1727" spans="1:9" x14ac:dyDescent="0.25">
      <c r="A1727" t="s">
        <v>9</v>
      </c>
      <c r="B1727" s="39">
        <v>46044</v>
      </c>
      <c r="C1727" s="40">
        <v>0.52083333333333337</v>
      </c>
      <c r="D1727" s="41">
        <v>5313.5</v>
      </c>
      <c r="E1727" s="41">
        <v>5320</v>
      </c>
      <c r="F1727" s="41">
        <v>5305.5</v>
      </c>
      <c r="G1727" s="41">
        <v>5305.5</v>
      </c>
      <c r="H1727" s="41">
        <v>2847944875</v>
      </c>
      <c r="I1727" s="42">
        <v>10720</v>
      </c>
    </row>
    <row r="1728" spans="1:9" x14ac:dyDescent="0.25">
      <c r="A1728" t="s">
        <v>9</v>
      </c>
      <c r="B1728" s="39">
        <v>46044</v>
      </c>
      <c r="C1728" s="40">
        <v>0.5</v>
      </c>
      <c r="D1728" s="41">
        <v>5324.5</v>
      </c>
      <c r="E1728" s="41">
        <v>5327.5</v>
      </c>
      <c r="F1728" s="41">
        <v>5313</v>
      </c>
      <c r="G1728" s="41">
        <v>5314</v>
      </c>
      <c r="H1728" s="41">
        <v>5442102375</v>
      </c>
      <c r="I1728" s="42">
        <v>20445</v>
      </c>
    </row>
    <row r="1729" spans="1:9" x14ac:dyDescent="0.25">
      <c r="A1729" t="s">
        <v>9</v>
      </c>
      <c r="B1729" s="39">
        <v>46044</v>
      </c>
      <c r="C1729" s="40">
        <v>0.47916666666666669</v>
      </c>
      <c r="D1729" s="41">
        <v>5330</v>
      </c>
      <c r="E1729" s="41">
        <v>5330</v>
      </c>
      <c r="F1729" s="41">
        <v>5321.5</v>
      </c>
      <c r="G1729" s="41">
        <v>5325</v>
      </c>
      <c r="H1729" s="41">
        <v>3348231625</v>
      </c>
      <c r="I1729" s="42">
        <v>12575</v>
      </c>
    </row>
    <row r="1730" spans="1:9" x14ac:dyDescent="0.25">
      <c r="A1730" t="s">
        <v>9</v>
      </c>
      <c r="B1730" s="39">
        <v>46044</v>
      </c>
      <c r="C1730" s="40">
        <v>0.45833333333333331</v>
      </c>
      <c r="D1730" s="41">
        <v>5336.5</v>
      </c>
      <c r="E1730" s="41">
        <v>5336.5</v>
      </c>
      <c r="F1730" s="41">
        <v>5326.5</v>
      </c>
      <c r="G1730" s="41">
        <v>5330.5</v>
      </c>
      <c r="H1730" s="41">
        <v>2350998750</v>
      </c>
      <c r="I1730" s="42">
        <v>8820</v>
      </c>
    </row>
    <row r="1731" spans="1:9" x14ac:dyDescent="0.25">
      <c r="A1731" t="s">
        <v>9</v>
      </c>
      <c r="B1731" s="39">
        <v>46044</v>
      </c>
      <c r="C1731" s="40">
        <v>0.4375</v>
      </c>
      <c r="D1731" s="41">
        <v>5328</v>
      </c>
      <c r="E1731" s="41">
        <v>5337</v>
      </c>
      <c r="F1731" s="41">
        <v>5325.5</v>
      </c>
      <c r="G1731" s="41">
        <v>5336.5</v>
      </c>
      <c r="H1731" s="41">
        <v>2771994625</v>
      </c>
      <c r="I1731" s="42">
        <v>10400</v>
      </c>
    </row>
    <row r="1732" spans="1:9" x14ac:dyDescent="0.25">
      <c r="A1732" t="s">
        <v>9</v>
      </c>
      <c r="B1732" s="39">
        <v>46044</v>
      </c>
      <c r="C1732" s="40">
        <v>0.41666666666666669</v>
      </c>
      <c r="D1732" s="41">
        <v>5325</v>
      </c>
      <c r="E1732" s="41">
        <v>5330</v>
      </c>
      <c r="F1732" s="41">
        <v>5324.5</v>
      </c>
      <c r="G1732" s="41">
        <v>5327</v>
      </c>
      <c r="H1732" s="41">
        <v>2735371375</v>
      </c>
      <c r="I1732" s="42">
        <v>10270</v>
      </c>
    </row>
    <row r="1733" spans="1:9" x14ac:dyDescent="0.25">
      <c r="A1733" t="s">
        <v>9</v>
      </c>
      <c r="B1733" s="39">
        <v>46044</v>
      </c>
      <c r="C1733" s="40">
        <v>0.39583333333333331</v>
      </c>
      <c r="D1733" s="41">
        <v>5322.5</v>
      </c>
      <c r="E1733" s="41">
        <v>5326</v>
      </c>
      <c r="F1733" s="41">
        <v>5318.5</v>
      </c>
      <c r="G1733" s="41">
        <v>5325.5</v>
      </c>
      <c r="H1733" s="41">
        <v>2091889375</v>
      </c>
      <c r="I1733" s="42">
        <v>7860</v>
      </c>
    </row>
    <row r="1734" spans="1:9" x14ac:dyDescent="0.25">
      <c r="A1734" t="s">
        <v>9</v>
      </c>
      <c r="B1734" s="39">
        <v>46044</v>
      </c>
      <c r="C1734" s="40">
        <v>0.375</v>
      </c>
      <c r="D1734" s="41">
        <v>5328</v>
      </c>
      <c r="E1734" s="41">
        <v>5335.5</v>
      </c>
      <c r="F1734" s="41">
        <v>5316.5</v>
      </c>
      <c r="G1734" s="41">
        <v>5323.5</v>
      </c>
      <c r="H1734" s="41">
        <v>4691715375</v>
      </c>
      <c r="I1734" s="42">
        <v>17620</v>
      </c>
    </row>
    <row r="1735" spans="1:9" x14ac:dyDescent="0.25">
      <c r="A1735" t="s">
        <v>9</v>
      </c>
      <c r="B1735" s="39">
        <v>46043</v>
      </c>
      <c r="C1735" s="40">
        <v>0.75</v>
      </c>
      <c r="D1735" s="41">
        <v>5329.5</v>
      </c>
      <c r="E1735" s="41">
        <v>5334</v>
      </c>
      <c r="F1735" s="41">
        <v>5328</v>
      </c>
      <c r="G1735" s="41">
        <v>5333.5</v>
      </c>
      <c r="H1735" s="41">
        <v>2561659250</v>
      </c>
      <c r="I1735" s="42">
        <v>9610</v>
      </c>
    </row>
    <row r="1736" spans="1:9" x14ac:dyDescent="0.25">
      <c r="A1736" t="s">
        <v>9</v>
      </c>
      <c r="B1736" s="39">
        <v>46043</v>
      </c>
      <c r="C1736" s="40">
        <v>0.72916666666666663</v>
      </c>
      <c r="D1736" s="41">
        <v>5332</v>
      </c>
      <c r="E1736" s="41">
        <v>5333</v>
      </c>
      <c r="F1736" s="41">
        <v>5326.5</v>
      </c>
      <c r="G1736" s="41">
        <v>5329</v>
      </c>
      <c r="H1736" s="41">
        <v>1672474375</v>
      </c>
      <c r="I1736" s="42">
        <v>6275</v>
      </c>
    </row>
    <row r="1737" spans="1:9" x14ac:dyDescent="0.25">
      <c r="A1737" t="s">
        <v>9</v>
      </c>
      <c r="B1737" s="39">
        <v>46043</v>
      </c>
      <c r="C1737" s="40">
        <v>0.70833333333333337</v>
      </c>
      <c r="D1737" s="41">
        <v>5331</v>
      </c>
      <c r="E1737" s="41">
        <v>5335.5</v>
      </c>
      <c r="F1737" s="41">
        <v>5330.5</v>
      </c>
      <c r="G1737" s="41">
        <v>5332</v>
      </c>
      <c r="H1737" s="41">
        <v>2084885125</v>
      </c>
      <c r="I1737" s="42">
        <v>7820</v>
      </c>
    </row>
    <row r="1738" spans="1:9" x14ac:dyDescent="0.25">
      <c r="A1738" t="s">
        <v>9</v>
      </c>
      <c r="B1738" s="39">
        <v>46043</v>
      </c>
      <c r="C1738" s="40">
        <v>0.6875</v>
      </c>
      <c r="D1738" s="41">
        <v>5329</v>
      </c>
      <c r="E1738" s="41">
        <v>5335</v>
      </c>
      <c r="F1738" s="41">
        <v>5327.5</v>
      </c>
      <c r="G1738" s="41">
        <v>5331.5</v>
      </c>
      <c r="H1738" s="41">
        <v>2096882375</v>
      </c>
      <c r="I1738" s="42">
        <v>7865</v>
      </c>
    </row>
    <row r="1739" spans="1:9" x14ac:dyDescent="0.25">
      <c r="A1739" t="s">
        <v>9</v>
      </c>
      <c r="B1739" s="39">
        <v>46043</v>
      </c>
      <c r="C1739" s="40">
        <v>0.66666666666666663</v>
      </c>
      <c r="D1739" s="41">
        <v>5330.5</v>
      </c>
      <c r="E1739" s="41">
        <v>5336</v>
      </c>
      <c r="F1739" s="41">
        <v>5327.5</v>
      </c>
      <c r="G1739" s="41">
        <v>5328.5</v>
      </c>
      <c r="H1739" s="41">
        <v>2682781250</v>
      </c>
      <c r="I1739" s="42">
        <v>10060</v>
      </c>
    </row>
    <row r="1740" spans="1:9" x14ac:dyDescent="0.25">
      <c r="A1740" t="s">
        <v>9</v>
      </c>
      <c r="B1740" s="39">
        <v>46043</v>
      </c>
      <c r="C1740" s="40">
        <v>0.64583333333333337</v>
      </c>
      <c r="D1740" s="41">
        <v>5335.5</v>
      </c>
      <c r="E1740" s="41">
        <v>5336.5</v>
      </c>
      <c r="F1740" s="41">
        <v>5330</v>
      </c>
      <c r="G1740" s="41">
        <v>5330.5</v>
      </c>
      <c r="H1740" s="41">
        <v>2663767500</v>
      </c>
      <c r="I1740" s="42">
        <v>9990</v>
      </c>
    </row>
    <row r="1741" spans="1:9" x14ac:dyDescent="0.25">
      <c r="A1741" t="s">
        <v>9</v>
      </c>
      <c r="B1741" s="39">
        <v>46043</v>
      </c>
      <c r="C1741" s="40">
        <v>0.625</v>
      </c>
      <c r="D1741" s="41">
        <v>5338</v>
      </c>
      <c r="E1741" s="41">
        <v>5341</v>
      </c>
      <c r="F1741" s="41">
        <v>5333.5</v>
      </c>
      <c r="G1741" s="41">
        <v>5334.5</v>
      </c>
      <c r="H1741" s="41">
        <v>2075506000</v>
      </c>
      <c r="I1741" s="42">
        <v>7775</v>
      </c>
    </row>
    <row r="1742" spans="1:9" x14ac:dyDescent="0.25">
      <c r="A1742" t="s">
        <v>9</v>
      </c>
      <c r="B1742" s="39">
        <v>46043</v>
      </c>
      <c r="C1742" s="40">
        <v>0.60416666666666663</v>
      </c>
      <c r="D1742" s="41">
        <v>5340</v>
      </c>
      <c r="E1742" s="41">
        <v>5345.5</v>
      </c>
      <c r="F1742" s="41">
        <v>5337</v>
      </c>
      <c r="G1742" s="41">
        <v>5337.5</v>
      </c>
      <c r="H1742" s="41">
        <v>3890835375</v>
      </c>
      <c r="I1742" s="42">
        <v>14570</v>
      </c>
    </row>
    <row r="1743" spans="1:9" x14ac:dyDescent="0.25">
      <c r="A1743" t="s">
        <v>9</v>
      </c>
      <c r="B1743" s="39">
        <v>46043</v>
      </c>
      <c r="C1743" s="40">
        <v>0.58333333333333337</v>
      </c>
      <c r="D1743" s="41">
        <v>5335</v>
      </c>
      <c r="E1743" s="41">
        <v>5340</v>
      </c>
      <c r="F1743" s="41">
        <v>5334</v>
      </c>
      <c r="G1743" s="41">
        <v>5339</v>
      </c>
      <c r="H1743" s="41">
        <v>2474841375</v>
      </c>
      <c r="I1743" s="42">
        <v>9275</v>
      </c>
    </row>
    <row r="1744" spans="1:9" x14ac:dyDescent="0.25">
      <c r="A1744" t="s">
        <v>9</v>
      </c>
      <c r="B1744" s="39">
        <v>46043</v>
      </c>
      <c r="C1744" s="40">
        <v>0.5625</v>
      </c>
      <c r="D1744" s="41">
        <v>5335.5</v>
      </c>
      <c r="E1744" s="41">
        <v>5337</v>
      </c>
      <c r="F1744" s="41">
        <v>5330</v>
      </c>
      <c r="G1744" s="41">
        <v>5336</v>
      </c>
      <c r="H1744" s="41">
        <v>1770803500</v>
      </c>
      <c r="I1744" s="42">
        <v>6640</v>
      </c>
    </row>
    <row r="1745" spans="1:9" x14ac:dyDescent="0.25">
      <c r="A1745" t="s">
        <v>9</v>
      </c>
      <c r="B1745" s="39">
        <v>46043</v>
      </c>
      <c r="C1745" s="40">
        <v>0.54166666666666663</v>
      </c>
      <c r="D1745" s="41">
        <v>5336</v>
      </c>
      <c r="E1745" s="41">
        <v>5341</v>
      </c>
      <c r="F1745" s="41">
        <v>5333.5</v>
      </c>
      <c r="G1745" s="41">
        <v>5335.5</v>
      </c>
      <c r="H1745" s="41">
        <v>2364774250</v>
      </c>
      <c r="I1745" s="42">
        <v>8860</v>
      </c>
    </row>
    <row r="1746" spans="1:9" x14ac:dyDescent="0.25">
      <c r="A1746" t="s">
        <v>9</v>
      </c>
      <c r="B1746" s="39">
        <v>46043</v>
      </c>
      <c r="C1746" s="40">
        <v>0.52083333333333337</v>
      </c>
      <c r="D1746" s="41">
        <v>5349</v>
      </c>
      <c r="E1746" s="41">
        <v>5351.5</v>
      </c>
      <c r="F1746" s="41">
        <v>5335.5</v>
      </c>
      <c r="G1746" s="41">
        <v>5336</v>
      </c>
      <c r="H1746" s="41">
        <v>3487434500</v>
      </c>
      <c r="I1746" s="42">
        <v>13050</v>
      </c>
    </row>
    <row r="1747" spans="1:9" x14ac:dyDescent="0.25">
      <c r="A1747" t="s">
        <v>9</v>
      </c>
      <c r="B1747" s="39">
        <v>46043</v>
      </c>
      <c r="C1747" s="40">
        <v>0.5</v>
      </c>
      <c r="D1747" s="41">
        <v>5341.5</v>
      </c>
      <c r="E1747" s="41">
        <v>5349.5</v>
      </c>
      <c r="F1747" s="41">
        <v>5339</v>
      </c>
      <c r="G1747" s="41">
        <v>5349.5</v>
      </c>
      <c r="H1747" s="41">
        <v>4451466125</v>
      </c>
      <c r="I1747" s="42">
        <v>16660</v>
      </c>
    </row>
    <row r="1748" spans="1:9" x14ac:dyDescent="0.25">
      <c r="A1748" t="s">
        <v>9</v>
      </c>
      <c r="B1748" s="39">
        <v>46043</v>
      </c>
      <c r="C1748" s="40">
        <v>0.47916666666666669</v>
      </c>
      <c r="D1748" s="41">
        <v>5363</v>
      </c>
      <c r="E1748" s="41">
        <v>5363.5</v>
      </c>
      <c r="F1748" s="41">
        <v>5335.5</v>
      </c>
      <c r="G1748" s="41">
        <v>5341.5</v>
      </c>
      <c r="H1748" s="41">
        <v>6968511875</v>
      </c>
      <c r="I1748" s="42">
        <v>26065</v>
      </c>
    </row>
    <row r="1749" spans="1:9" x14ac:dyDescent="0.25">
      <c r="A1749" t="s">
        <v>9</v>
      </c>
      <c r="B1749" s="39">
        <v>46043</v>
      </c>
      <c r="C1749" s="40">
        <v>0.45833333333333331</v>
      </c>
      <c r="D1749" s="41">
        <v>5361</v>
      </c>
      <c r="E1749" s="41">
        <v>5367.5</v>
      </c>
      <c r="F1749" s="41">
        <v>5354.5</v>
      </c>
      <c r="G1749" s="41">
        <v>5363</v>
      </c>
      <c r="H1749" s="41">
        <v>5746727750</v>
      </c>
      <c r="I1749" s="42">
        <v>21440</v>
      </c>
    </row>
    <row r="1750" spans="1:9" x14ac:dyDescent="0.25">
      <c r="A1750" t="s">
        <v>9</v>
      </c>
      <c r="B1750" s="39">
        <v>46043</v>
      </c>
      <c r="C1750" s="40">
        <v>0.4375</v>
      </c>
      <c r="D1750" s="41">
        <v>5362.5</v>
      </c>
      <c r="E1750" s="41">
        <v>5369</v>
      </c>
      <c r="F1750" s="41">
        <v>5360.5</v>
      </c>
      <c r="G1750" s="41">
        <v>5360.5</v>
      </c>
      <c r="H1750" s="41">
        <v>4033595500</v>
      </c>
      <c r="I1750" s="42">
        <v>15035</v>
      </c>
    </row>
    <row r="1751" spans="1:9" x14ac:dyDescent="0.25">
      <c r="A1751" t="s">
        <v>9</v>
      </c>
      <c r="B1751" s="39">
        <v>46043</v>
      </c>
      <c r="C1751" s="40">
        <v>0.41666666666666669</v>
      </c>
      <c r="D1751" s="41">
        <v>5363</v>
      </c>
      <c r="E1751" s="41">
        <v>5366.5</v>
      </c>
      <c r="F1751" s="41">
        <v>5357</v>
      </c>
      <c r="G1751" s="41">
        <v>5362.5</v>
      </c>
      <c r="H1751" s="41">
        <v>5221510875</v>
      </c>
      <c r="I1751" s="42">
        <v>19480</v>
      </c>
    </row>
    <row r="1752" spans="1:9" x14ac:dyDescent="0.25">
      <c r="A1752" t="s">
        <v>9</v>
      </c>
      <c r="B1752" s="39">
        <v>46043</v>
      </c>
      <c r="C1752" s="40">
        <v>0.39583333333333331</v>
      </c>
      <c r="D1752" s="41">
        <v>5373.5</v>
      </c>
      <c r="E1752" s="41">
        <v>5374.5</v>
      </c>
      <c r="F1752" s="41">
        <v>5362.5</v>
      </c>
      <c r="G1752" s="41">
        <v>5363</v>
      </c>
      <c r="H1752" s="41">
        <v>3697551125</v>
      </c>
      <c r="I1752" s="42">
        <v>13775</v>
      </c>
    </row>
    <row r="1753" spans="1:9" x14ac:dyDescent="0.25">
      <c r="A1753" t="s">
        <v>9</v>
      </c>
      <c r="B1753" s="39">
        <v>46043</v>
      </c>
      <c r="C1753" s="40">
        <v>0.375</v>
      </c>
      <c r="D1753" s="41">
        <v>5385</v>
      </c>
      <c r="E1753" s="41">
        <v>5385.5</v>
      </c>
      <c r="F1753" s="41">
        <v>5368</v>
      </c>
      <c r="G1753" s="41">
        <v>5374</v>
      </c>
      <c r="H1753" s="41">
        <v>3647950625</v>
      </c>
      <c r="I1753" s="42">
        <v>13575</v>
      </c>
    </row>
    <row r="1754" spans="1:9" x14ac:dyDescent="0.25">
      <c r="A1754" t="s">
        <v>9</v>
      </c>
      <c r="B1754" s="39">
        <v>46042</v>
      </c>
      <c r="C1754" s="40">
        <v>0.75</v>
      </c>
      <c r="D1754" s="41">
        <v>5389</v>
      </c>
      <c r="E1754" s="41">
        <v>5392.5</v>
      </c>
      <c r="F1754" s="41">
        <v>5388</v>
      </c>
      <c r="G1754" s="41">
        <v>5392.5</v>
      </c>
      <c r="H1754" s="41">
        <v>1024162000</v>
      </c>
      <c r="I1754" s="42">
        <v>3800</v>
      </c>
    </row>
    <row r="1755" spans="1:9" x14ac:dyDescent="0.25">
      <c r="A1755" t="s">
        <v>9</v>
      </c>
      <c r="B1755" s="39">
        <v>46042</v>
      </c>
      <c r="C1755" s="40">
        <v>0.72916666666666663</v>
      </c>
      <c r="D1755" s="41">
        <v>5391</v>
      </c>
      <c r="E1755" s="41">
        <v>5392.5</v>
      </c>
      <c r="F1755" s="41">
        <v>5388.5</v>
      </c>
      <c r="G1755" s="41">
        <v>5389</v>
      </c>
      <c r="H1755" s="41">
        <v>1177849750</v>
      </c>
      <c r="I1755" s="42">
        <v>4370</v>
      </c>
    </row>
    <row r="1756" spans="1:9" x14ac:dyDescent="0.25">
      <c r="A1756" t="s">
        <v>9</v>
      </c>
      <c r="B1756" s="39">
        <v>46042</v>
      </c>
      <c r="C1756" s="40">
        <v>0.70833333333333337</v>
      </c>
      <c r="D1756" s="41">
        <v>5394</v>
      </c>
      <c r="E1756" s="41">
        <v>5395.5</v>
      </c>
      <c r="F1756" s="41">
        <v>5390</v>
      </c>
      <c r="G1756" s="41">
        <v>5390.5</v>
      </c>
      <c r="H1756" s="41">
        <v>877788125</v>
      </c>
      <c r="I1756" s="42">
        <v>3255</v>
      </c>
    </row>
    <row r="1757" spans="1:9" x14ac:dyDescent="0.25">
      <c r="A1757" t="s">
        <v>9</v>
      </c>
      <c r="B1757" s="39">
        <v>46042</v>
      </c>
      <c r="C1757" s="40">
        <v>0.6875</v>
      </c>
      <c r="D1757" s="41">
        <v>5392</v>
      </c>
      <c r="E1757" s="41">
        <v>5395</v>
      </c>
      <c r="F1757" s="41">
        <v>5391</v>
      </c>
      <c r="G1757" s="41">
        <v>5394</v>
      </c>
      <c r="H1757" s="41">
        <v>1456063750</v>
      </c>
      <c r="I1757" s="42">
        <v>5400</v>
      </c>
    </row>
    <row r="1758" spans="1:9" x14ac:dyDescent="0.25">
      <c r="A1758" t="s">
        <v>9</v>
      </c>
      <c r="B1758" s="39">
        <v>46042</v>
      </c>
      <c r="C1758" s="40">
        <v>0.66666666666666663</v>
      </c>
      <c r="D1758" s="41">
        <v>5397.5</v>
      </c>
      <c r="E1758" s="41">
        <v>5397.5</v>
      </c>
      <c r="F1758" s="41">
        <v>5391</v>
      </c>
      <c r="G1758" s="41">
        <v>5391.5</v>
      </c>
      <c r="H1758" s="41">
        <v>1906646250</v>
      </c>
      <c r="I1758" s="42">
        <v>7070</v>
      </c>
    </row>
    <row r="1759" spans="1:9" x14ac:dyDescent="0.25">
      <c r="A1759" t="s">
        <v>9</v>
      </c>
      <c r="B1759" s="39">
        <v>46042</v>
      </c>
      <c r="C1759" s="40">
        <v>0.64583333333333337</v>
      </c>
      <c r="D1759" s="41">
        <v>5391.5</v>
      </c>
      <c r="E1759" s="41">
        <v>5401</v>
      </c>
      <c r="F1759" s="41">
        <v>5389</v>
      </c>
      <c r="G1759" s="41">
        <v>5397.5</v>
      </c>
      <c r="H1759" s="41">
        <v>5453171625</v>
      </c>
      <c r="I1759" s="42">
        <v>20215</v>
      </c>
    </row>
    <row r="1760" spans="1:9" x14ac:dyDescent="0.25">
      <c r="A1760" t="s">
        <v>9</v>
      </c>
      <c r="B1760" s="39">
        <v>46042</v>
      </c>
      <c r="C1760" s="40">
        <v>0.625</v>
      </c>
      <c r="D1760" s="41">
        <v>5387</v>
      </c>
      <c r="E1760" s="41">
        <v>5395.5</v>
      </c>
      <c r="F1760" s="41">
        <v>5385</v>
      </c>
      <c r="G1760" s="41">
        <v>5391</v>
      </c>
      <c r="H1760" s="41">
        <v>2878099625</v>
      </c>
      <c r="I1760" s="42">
        <v>10680</v>
      </c>
    </row>
    <row r="1761" spans="1:9" x14ac:dyDescent="0.25">
      <c r="A1761" t="s">
        <v>9</v>
      </c>
      <c r="B1761" s="39">
        <v>46042</v>
      </c>
      <c r="C1761" s="40">
        <v>0.60416666666666663</v>
      </c>
      <c r="D1761" s="41">
        <v>5382</v>
      </c>
      <c r="E1761" s="41">
        <v>5389</v>
      </c>
      <c r="F1761" s="41">
        <v>5382</v>
      </c>
      <c r="G1761" s="41">
        <v>5386.5</v>
      </c>
      <c r="H1761" s="41">
        <v>6302605125</v>
      </c>
      <c r="I1761" s="42">
        <v>23400</v>
      </c>
    </row>
    <row r="1762" spans="1:9" x14ac:dyDescent="0.25">
      <c r="A1762" t="s">
        <v>9</v>
      </c>
      <c r="B1762" s="39">
        <v>46042</v>
      </c>
      <c r="C1762" s="40">
        <v>0.58333333333333337</v>
      </c>
      <c r="D1762" s="41">
        <v>5378</v>
      </c>
      <c r="E1762" s="41">
        <v>5381.5</v>
      </c>
      <c r="F1762" s="41">
        <v>5375</v>
      </c>
      <c r="G1762" s="41">
        <v>5381</v>
      </c>
      <c r="H1762" s="41">
        <v>2357062125</v>
      </c>
      <c r="I1762" s="42">
        <v>8765</v>
      </c>
    </row>
    <row r="1763" spans="1:9" x14ac:dyDescent="0.25">
      <c r="A1763" t="s">
        <v>9</v>
      </c>
      <c r="B1763" s="39">
        <v>46042</v>
      </c>
      <c r="C1763" s="40">
        <v>0.5625</v>
      </c>
      <c r="D1763" s="41">
        <v>5376</v>
      </c>
      <c r="E1763" s="41">
        <v>5380.5</v>
      </c>
      <c r="F1763" s="41">
        <v>5374.5</v>
      </c>
      <c r="G1763" s="41">
        <v>5376.5</v>
      </c>
      <c r="H1763" s="41">
        <v>1402090500</v>
      </c>
      <c r="I1763" s="42">
        <v>5215</v>
      </c>
    </row>
    <row r="1764" spans="1:9" x14ac:dyDescent="0.25">
      <c r="A1764" t="s">
        <v>9</v>
      </c>
      <c r="B1764" s="39">
        <v>46042</v>
      </c>
      <c r="C1764" s="40">
        <v>0.54166666666666663</v>
      </c>
      <c r="D1764" s="41">
        <v>5380.5</v>
      </c>
      <c r="E1764" s="41">
        <v>5381.5</v>
      </c>
      <c r="F1764" s="41">
        <v>5374.5</v>
      </c>
      <c r="G1764" s="41">
        <v>5375.5</v>
      </c>
      <c r="H1764" s="41">
        <v>1769177125</v>
      </c>
      <c r="I1764" s="42">
        <v>6580</v>
      </c>
    </row>
    <row r="1765" spans="1:9" x14ac:dyDescent="0.25">
      <c r="A1765" t="s">
        <v>9</v>
      </c>
      <c r="B1765" s="39">
        <v>46042</v>
      </c>
      <c r="C1765" s="40">
        <v>0.52083333333333337</v>
      </c>
      <c r="D1765" s="41">
        <v>5377.5</v>
      </c>
      <c r="E1765" s="41">
        <v>5382.5</v>
      </c>
      <c r="F1765" s="41">
        <v>5374</v>
      </c>
      <c r="G1765" s="41">
        <v>5380.5</v>
      </c>
      <c r="H1765" s="41">
        <v>2491434500</v>
      </c>
      <c r="I1765" s="42">
        <v>9265</v>
      </c>
    </row>
    <row r="1766" spans="1:9" x14ac:dyDescent="0.25">
      <c r="A1766" t="s">
        <v>9</v>
      </c>
      <c r="B1766" s="39">
        <v>46042</v>
      </c>
      <c r="C1766" s="40">
        <v>0.5</v>
      </c>
      <c r="D1766" s="41">
        <v>5391</v>
      </c>
      <c r="E1766" s="41">
        <v>5394.5</v>
      </c>
      <c r="F1766" s="41">
        <v>5374.5</v>
      </c>
      <c r="G1766" s="41">
        <v>5377</v>
      </c>
      <c r="H1766" s="41">
        <v>3607845500</v>
      </c>
      <c r="I1766" s="42">
        <v>13400</v>
      </c>
    </row>
    <row r="1767" spans="1:9" x14ac:dyDescent="0.25">
      <c r="A1767" t="s">
        <v>9</v>
      </c>
      <c r="B1767" s="39">
        <v>46042</v>
      </c>
      <c r="C1767" s="40">
        <v>0.47916666666666669</v>
      </c>
      <c r="D1767" s="41">
        <v>5407.5</v>
      </c>
      <c r="E1767" s="41">
        <v>5407.5</v>
      </c>
      <c r="F1767" s="41">
        <v>5390</v>
      </c>
      <c r="G1767" s="41">
        <v>5392</v>
      </c>
      <c r="H1767" s="41">
        <v>6058347875</v>
      </c>
      <c r="I1767" s="42">
        <v>22455</v>
      </c>
    </row>
    <row r="1768" spans="1:9" x14ac:dyDescent="0.25">
      <c r="A1768" t="s">
        <v>9</v>
      </c>
      <c r="B1768" s="39">
        <v>46042</v>
      </c>
      <c r="C1768" s="40">
        <v>0.45833333333333331</v>
      </c>
      <c r="D1768" s="41">
        <v>5406</v>
      </c>
      <c r="E1768" s="41">
        <v>5408.5</v>
      </c>
      <c r="F1768" s="41">
        <v>5400.5</v>
      </c>
      <c r="G1768" s="41">
        <v>5407.5</v>
      </c>
      <c r="H1768" s="41">
        <v>3208830625</v>
      </c>
      <c r="I1768" s="42">
        <v>11875</v>
      </c>
    </row>
    <row r="1769" spans="1:9" x14ac:dyDescent="0.25">
      <c r="A1769" t="s">
        <v>9</v>
      </c>
      <c r="B1769" s="39">
        <v>46042</v>
      </c>
      <c r="C1769" s="40">
        <v>0.4375</v>
      </c>
      <c r="D1769" s="41">
        <v>5410</v>
      </c>
      <c r="E1769" s="41">
        <v>5423.5</v>
      </c>
      <c r="F1769" s="41">
        <v>5406</v>
      </c>
      <c r="G1769" s="41">
        <v>5406</v>
      </c>
      <c r="H1769" s="41">
        <v>4531957500</v>
      </c>
      <c r="I1769" s="42">
        <v>16740</v>
      </c>
    </row>
    <row r="1770" spans="1:9" x14ac:dyDescent="0.25">
      <c r="A1770" t="s">
        <v>9</v>
      </c>
      <c r="B1770" s="39">
        <v>46042</v>
      </c>
      <c r="C1770" s="40">
        <v>0.41666666666666669</v>
      </c>
      <c r="D1770" s="41">
        <v>5396.5</v>
      </c>
      <c r="E1770" s="41">
        <v>5410.5</v>
      </c>
      <c r="F1770" s="41">
        <v>5396.5</v>
      </c>
      <c r="G1770" s="41">
        <v>5409.5</v>
      </c>
      <c r="H1770" s="41">
        <v>4919506625</v>
      </c>
      <c r="I1770" s="42">
        <v>18205</v>
      </c>
    </row>
    <row r="1771" spans="1:9" x14ac:dyDescent="0.25">
      <c r="A1771" t="s">
        <v>9</v>
      </c>
      <c r="B1771" s="39">
        <v>46042</v>
      </c>
      <c r="C1771" s="40">
        <v>0.39583333333333331</v>
      </c>
      <c r="D1771" s="41">
        <v>5408</v>
      </c>
      <c r="E1771" s="41">
        <v>5412</v>
      </c>
      <c r="F1771" s="41">
        <v>5393.5</v>
      </c>
      <c r="G1771" s="41">
        <v>5396</v>
      </c>
      <c r="H1771" s="41">
        <v>4729237375</v>
      </c>
      <c r="I1771" s="42">
        <v>17510</v>
      </c>
    </row>
    <row r="1772" spans="1:9" x14ac:dyDescent="0.25">
      <c r="A1772" t="s">
        <v>9</v>
      </c>
      <c r="B1772" s="39">
        <v>46042</v>
      </c>
      <c r="C1772" s="40">
        <v>0.375</v>
      </c>
      <c r="D1772" s="41">
        <v>5393</v>
      </c>
      <c r="E1772" s="41">
        <v>5408.5</v>
      </c>
      <c r="F1772" s="41">
        <v>5387.5</v>
      </c>
      <c r="G1772" s="41">
        <v>5407.5</v>
      </c>
      <c r="H1772" s="41">
        <v>5510965375</v>
      </c>
      <c r="I1772" s="42">
        <v>20425</v>
      </c>
    </row>
    <row r="1773" spans="1:9" x14ac:dyDescent="0.25">
      <c r="A1773" t="s">
        <v>9</v>
      </c>
      <c r="B1773" s="39">
        <v>46041</v>
      </c>
      <c r="C1773" s="40">
        <v>0.75</v>
      </c>
      <c r="D1773" s="41">
        <v>5383</v>
      </c>
      <c r="E1773" s="41">
        <v>5388.5</v>
      </c>
      <c r="F1773" s="41">
        <v>5383</v>
      </c>
      <c r="G1773" s="41">
        <v>5388.5</v>
      </c>
      <c r="H1773" s="41">
        <v>503548000</v>
      </c>
      <c r="I1773" s="42">
        <v>1870</v>
      </c>
    </row>
    <row r="1774" spans="1:9" x14ac:dyDescent="0.25">
      <c r="A1774" t="s">
        <v>9</v>
      </c>
      <c r="B1774" s="39">
        <v>46041</v>
      </c>
      <c r="C1774" s="40">
        <v>0.72916666666666663</v>
      </c>
      <c r="D1774" s="41">
        <v>5382.5</v>
      </c>
      <c r="E1774" s="41">
        <v>5385</v>
      </c>
      <c r="F1774" s="41">
        <v>5381.5</v>
      </c>
      <c r="G1774" s="41">
        <v>5383.5</v>
      </c>
      <c r="H1774" s="41">
        <v>830265875</v>
      </c>
      <c r="I1774" s="42">
        <v>3085</v>
      </c>
    </row>
    <row r="1775" spans="1:9" x14ac:dyDescent="0.25">
      <c r="A1775" t="s">
        <v>9</v>
      </c>
      <c r="B1775" s="39">
        <v>46041</v>
      </c>
      <c r="C1775" s="40">
        <v>0.70833333333333337</v>
      </c>
      <c r="D1775" s="41">
        <v>5381</v>
      </c>
      <c r="E1775" s="41">
        <v>5383</v>
      </c>
      <c r="F1775" s="41">
        <v>5379.5</v>
      </c>
      <c r="G1775" s="41">
        <v>5382.5</v>
      </c>
      <c r="H1775" s="41">
        <v>291939375</v>
      </c>
      <c r="I1775" s="42">
        <v>1085</v>
      </c>
    </row>
    <row r="1776" spans="1:9" x14ac:dyDescent="0.25">
      <c r="A1776" t="s">
        <v>9</v>
      </c>
      <c r="B1776" s="39">
        <v>46041</v>
      </c>
      <c r="C1776" s="40">
        <v>0.6875</v>
      </c>
      <c r="D1776" s="41">
        <v>5380.5</v>
      </c>
      <c r="E1776" s="41">
        <v>5382</v>
      </c>
      <c r="F1776" s="41">
        <v>5378.5</v>
      </c>
      <c r="G1776" s="41">
        <v>5381</v>
      </c>
      <c r="H1776" s="41">
        <v>804281375</v>
      </c>
      <c r="I1776" s="42">
        <v>2990</v>
      </c>
    </row>
    <row r="1777" spans="1:9" x14ac:dyDescent="0.25">
      <c r="A1777" t="s">
        <v>9</v>
      </c>
      <c r="B1777" s="39">
        <v>46041</v>
      </c>
      <c r="C1777" s="40">
        <v>0.66666666666666663</v>
      </c>
      <c r="D1777" s="41">
        <v>5381.5</v>
      </c>
      <c r="E1777" s="41">
        <v>5384.5</v>
      </c>
      <c r="F1777" s="41">
        <v>5379.5</v>
      </c>
      <c r="G1777" s="41">
        <v>5380.5</v>
      </c>
      <c r="H1777" s="41">
        <v>705149875</v>
      </c>
      <c r="I1777" s="42">
        <v>2620</v>
      </c>
    </row>
    <row r="1778" spans="1:9" x14ac:dyDescent="0.25">
      <c r="A1778" t="s">
        <v>9</v>
      </c>
      <c r="B1778" s="39">
        <v>46041</v>
      </c>
      <c r="C1778" s="40">
        <v>0.64583333333333337</v>
      </c>
      <c r="D1778" s="41">
        <v>5377.5</v>
      </c>
      <c r="E1778" s="41">
        <v>5383.5</v>
      </c>
      <c r="F1778" s="41">
        <v>5377</v>
      </c>
      <c r="G1778" s="41">
        <v>5382</v>
      </c>
      <c r="H1778" s="41">
        <v>2166653000</v>
      </c>
      <c r="I1778" s="42">
        <v>8055</v>
      </c>
    </row>
    <row r="1779" spans="1:9" x14ac:dyDescent="0.25">
      <c r="A1779" t="s">
        <v>9</v>
      </c>
      <c r="B1779" s="39">
        <v>46041</v>
      </c>
      <c r="C1779" s="40">
        <v>0.625</v>
      </c>
      <c r="D1779" s="41">
        <v>5370</v>
      </c>
      <c r="E1779" s="41">
        <v>5377.5</v>
      </c>
      <c r="F1779" s="41">
        <v>5369</v>
      </c>
      <c r="G1779" s="41">
        <v>5377.5</v>
      </c>
      <c r="H1779" s="41">
        <v>889331625</v>
      </c>
      <c r="I1779" s="42">
        <v>3310</v>
      </c>
    </row>
    <row r="1780" spans="1:9" x14ac:dyDescent="0.25">
      <c r="A1780" t="s">
        <v>9</v>
      </c>
      <c r="B1780" s="39">
        <v>46041</v>
      </c>
      <c r="C1780" s="40">
        <v>0.60416666666666663</v>
      </c>
      <c r="D1780" s="41">
        <v>5374.5</v>
      </c>
      <c r="E1780" s="41">
        <v>5379.5</v>
      </c>
      <c r="F1780" s="41">
        <v>5369.5</v>
      </c>
      <c r="G1780" s="41">
        <v>5370</v>
      </c>
      <c r="H1780" s="41">
        <v>1663603250</v>
      </c>
      <c r="I1780" s="42">
        <v>6190</v>
      </c>
    </row>
    <row r="1781" spans="1:9" x14ac:dyDescent="0.25">
      <c r="A1781" t="s">
        <v>9</v>
      </c>
      <c r="B1781" s="39">
        <v>46041</v>
      </c>
      <c r="C1781" s="40">
        <v>0.58333333333333337</v>
      </c>
      <c r="D1781" s="41">
        <v>5372</v>
      </c>
      <c r="E1781" s="41">
        <v>5375</v>
      </c>
      <c r="F1781" s="41">
        <v>5370.5</v>
      </c>
      <c r="G1781" s="41">
        <v>5374.5</v>
      </c>
      <c r="H1781" s="41">
        <v>660772250</v>
      </c>
      <c r="I1781" s="42">
        <v>2460</v>
      </c>
    </row>
    <row r="1782" spans="1:9" x14ac:dyDescent="0.25">
      <c r="A1782" t="s">
        <v>9</v>
      </c>
      <c r="B1782" s="39">
        <v>46041</v>
      </c>
      <c r="C1782" s="40">
        <v>0.5625</v>
      </c>
      <c r="D1782" s="41">
        <v>5369.5</v>
      </c>
      <c r="E1782" s="41">
        <v>5373.5</v>
      </c>
      <c r="F1782" s="41">
        <v>5369.5</v>
      </c>
      <c r="G1782" s="41">
        <v>5372</v>
      </c>
      <c r="H1782" s="41">
        <v>1101164000</v>
      </c>
      <c r="I1782" s="42">
        <v>4100</v>
      </c>
    </row>
    <row r="1783" spans="1:9" x14ac:dyDescent="0.25">
      <c r="A1783" t="s">
        <v>9</v>
      </c>
      <c r="B1783" s="39">
        <v>46041</v>
      </c>
      <c r="C1783" s="40">
        <v>0.54166666666666663</v>
      </c>
      <c r="D1783" s="41">
        <v>5375.5</v>
      </c>
      <c r="E1783" s="41">
        <v>5377.5</v>
      </c>
      <c r="F1783" s="41">
        <v>5363</v>
      </c>
      <c r="G1783" s="41">
        <v>5370</v>
      </c>
      <c r="H1783" s="41">
        <v>4048811500</v>
      </c>
      <c r="I1783" s="42">
        <v>15080</v>
      </c>
    </row>
    <row r="1784" spans="1:9" x14ac:dyDescent="0.25">
      <c r="A1784" t="s">
        <v>9</v>
      </c>
      <c r="B1784" s="39">
        <v>46041</v>
      </c>
      <c r="C1784" s="40">
        <v>0.52083333333333337</v>
      </c>
      <c r="D1784" s="41">
        <v>5381.5</v>
      </c>
      <c r="E1784" s="41">
        <v>5384</v>
      </c>
      <c r="F1784" s="41">
        <v>5376</v>
      </c>
      <c r="G1784" s="41">
        <v>5376</v>
      </c>
      <c r="H1784" s="41">
        <v>2041797500</v>
      </c>
      <c r="I1784" s="42">
        <v>7590</v>
      </c>
    </row>
    <row r="1785" spans="1:9" x14ac:dyDescent="0.25">
      <c r="A1785" t="s">
        <v>9</v>
      </c>
      <c r="B1785" s="39">
        <v>46041</v>
      </c>
      <c r="C1785" s="40">
        <v>0.5</v>
      </c>
      <c r="D1785" s="41">
        <v>5383.5</v>
      </c>
      <c r="E1785" s="41">
        <v>5386</v>
      </c>
      <c r="F1785" s="41">
        <v>5379.5</v>
      </c>
      <c r="G1785" s="41">
        <v>5381</v>
      </c>
      <c r="H1785" s="41">
        <v>896313375</v>
      </c>
      <c r="I1785" s="42">
        <v>3330</v>
      </c>
    </row>
    <row r="1786" spans="1:9" x14ac:dyDescent="0.25">
      <c r="A1786" t="s">
        <v>9</v>
      </c>
      <c r="B1786" s="39">
        <v>46041</v>
      </c>
      <c r="C1786" s="40">
        <v>0.47916666666666669</v>
      </c>
      <c r="D1786" s="41">
        <v>5385</v>
      </c>
      <c r="E1786" s="41">
        <v>5386</v>
      </c>
      <c r="F1786" s="41">
        <v>5381.5</v>
      </c>
      <c r="G1786" s="41">
        <v>5384.5</v>
      </c>
      <c r="H1786" s="41">
        <v>1643180625</v>
      </c>
      <c r="I1786" s="42">
        <v>6105</v>
      </c>
    </row>
    <row r="1787" spans="1:9" x14ac:dyDescent="0.25">
      <c r="A1787" t="s">
        <v>9</v>
      </c>
      <c r="B1787" s="39">
        <v>46041</v>
      </c>
      <c r="C1787" s="40">
        <v>0.45833333333333331</v>
      </c>
      <c r="D1787" s="41">
        <v>5381</v>
      </c>
      <c r="E1787" s="41">
        <v>5386.5</v>
      </c>
      <c r="F1787" s="41">
        <v>5380.5</v>
      </c>
      <c r="G1787" s="41">
        <v>5385</v>
      </c>
      <c r="H1787" s="41">
        <v>1836031000</v>
      </c>
      <c r="I1787" s="42">
        <v>6820</v>
      </c>
    </row>
    <row r="1788" spans="1:9" x14ac:dyDescent="0.25">
      <c r="A1788" t="s">
        <v>9</v>
      </c>
      <c r="B1788" s="39">
        <v>46041</v>
      </c>
      <c r="C1788" s="40">
        <v>0.4375</v>
      </c>
      <c r="D1788" s="41">
        <v>5381.5</v>
      </c>
      <c r="E1788" s="41">
        <v>5385.5</v>
      </c>
      <c r="F1788" s="41">
        <v>5377.5</v>
      </c>
      <c r="G1788" s="41">
        <v>5380.5</v>
      </c>
      <c r="H1788" s="41">
        <v>1473383000</v>
      </c>
      <c r="I1788" s="42">
        <v>5475</v>
      </c>
    </row>
    <row r="1789" spans="1:9" x14ac:dyDescent="0.25">
      <c r="A1789" t="s">
        <v>9</v>
      </c>
      <c r="B1789" s="39">
        <v>46041</v>
      </c>
      <c r="C1789" s="40">
        <v>0.41666666666666669</v>
      </c>
      <c r="D1789" s="41">
        <v>5385.5</v>
      </c>
      <c r="E1789" s="41">
        <v>5391</v>
      </c>
      <c r="F1789" s="41">
        <v>5375.5</v>
      </c>
      <c r="G1789" s="41">
        <v>5382</v>
      </c>
      <c r="H1789" s="41">
        <v>1797773125</v>
      </c>
      <c r="I1789" s="42">
        <v>6680</v>
      </c>
    </row>
    <row r="1790" spans="1:9" x14ac:dyDescent="0.25">
      <c r="A1790" t="s">
        <v>9</v>
      </c>
      <c r="B1790" s="39">
        <v>46041</v>
      </c>
      <c r="C1790" s="40">
        <v>0.39583333333333331</v>
      </c>
      <c r="D1790" s="41">
        <v>5390.5</v>
      </c>
      <c r="E1790" s="41">
        <v>5396.5</v>
      </c>
      <c r="F1790" s="41">
        <v>5381</v>
      </c>
      <c r="G1790" s="41">
        <v>5386</v>
      </c>
      <c r="H1790" s="41">
        <v>1001880750</v>
      </c>
      <c r="I1790" s="42">
        <v>3720</v>
      </c>
    </row>
    <row r="1791" spans="1:9" x14ac:dyDescent="0.25">
      <c r="A1791" t="s">
        <v>9</v>
      </c>
      <c r="B1791" s="39">
        <v>46041</v>
      </c>
      <c r="C1791" s="40">
        <v>0.375</v>
      </c>
      <c r="D1791" s="41">
        <v>5396</v>
      </c>
      <c r="E1791" s="41">
        <v>5399.5</v>
      </c>
      <c r="F1791" s="41">
        <v>5387.5</v>
      </c>
      <c r="G1791" s="41">
        <v>5391</v>
      </c>
      <c r="H1791" s="41">
        <v>1597201875</v>
      </c>
      <c r="I1791" s="42">
        <v>5920</v>
      </c>
    </row>
    <row r="1792" spans="1:9" x14ac:dyDescent="0.25">
      <c r="A1792" t="s">
        <v>9</v>
      </c>
      <c r="B1792" s="39">
        <v>46038</v>
      </c>
      <c r="C1792" s="40">
        <v>0.75</v>
      </c>
      <c r="D1792" s="41">
        <v>5388.5</v>
      </c>
      <c r="E1792" s="41">
        <v>5390</v>
      </c>
      <c r="F1792" s="41">
        <v>5386</v>
      </c>
      <c r="G1792" s="41">
        <v>5386.5</v>
      </c>
      <c r="H1792" s="41">
        <v>921284000</v>
      </c>
      <c r="I1792" s="42">
        <v>3420</v>
      </c>
    </row>
    <row r="1793" spans="1:9" x14ac:dyDescent="0.25">
      <c r="A1793" t="s">
        <v>9</v>
      </c>
      <c r="B1793" s="39">
        <v>46038</v>
      </c>
      <c r="C1793" s="40">
        <v>0.72916666666666663</v>
      </c>
      <c r="D1793" s="41">
        <v>5390.5</v>
      </c>
      <c r="E1793" s="41">
        <v>5391</v>
      </c>
      <c r="F1793" s="41">
        <v>5387</v>
      </c>
      <c r="G1793" s="41">
        <v>5388</v>
      </c>
      <c r="H1793" s="41">
        <v>1235366625</v>
      </c>
      <c r="I1793" s="42">
        <v>4585</v>
      </c>
    </row>
    <row r="1794" spans="1:9" x14ac:dyDescent="0.25">
      <c r="A1794" t="s">
        <v>9</v>
      </c>
      <c r="B1794" s="39">
        <v>46038</v>
      </c>
      <c r="C1794" s="40">
        <v>0.70833333333333337</v>
      </c>
      <c r="D1794" s="41">
        <v>5390</v>
      </c>
      <c r="E1794" s="41">
        <v>5391.5</v>
      </c>
      <c r="F1794" s="41">
        <v>5388</v>
      </c>
      <c r="G1794" s="41">
        <v>5390.5</v>
      </c>
      <c r="H1794" s="41">
        <v>2196054500</v>
      </c>
      <c r="I1794" s="42">
        <v>8150</v>
      </c>
    </row>
    <row r="1795" spans="1:9" x14ac:dyDescent="0.25">
      <c r="A1795" t="s">
        <v>9</v>
      </c>
      <c r="B1795" s="39">
        <v>46038</v>
      </c>
      <c r="C1795" s="40">
        <v>0.6875</v>
      </c>
      <c r="D1795" s="41">
        <v>5388.5</v>
      </c>
      <c r="E1795" s="41">
        <v>5391</v>
      </c>
      <c r="F1795" s="41">
        <v>5388.5</v>
      </c>
      <c r="G1795" s="41">
        <v>5390.5</v>
      </c>
      <c r="H1795" s="41">
        <v>2139531750</v>
      </c>
      <c r="I1795" s="42">
        <v>7940</v>
      </c>
    </row>
    <row r="1796" spans="1:9" x14ac:dyDescent="0.25">
      <c r="A1796" t="s">
        <v>9</v>
      </c>
      <c r="B1796" s="39">
        <v>46038</v>
      </c>
      <c r="C1796" s="40">
        <v>0.66666666666666663</v>
      </c>
      <c r="D1796" s="41">
        <v>5386</v>
      </c>
      <c r="E1796" s="41">
        <v>5389</v>
      </c>
      <c r="F1796" s="41">
        <v>5384.5</v>
      </c>
      <c r="G1796" s="41">
        <v>5389</v>
      </c>
      <c r="H1796" s="41">
        <v>1591922375</v>
      </c>
      <c r="I1796" s="42">
        <v>5910</v>
      </c>
    </row>
    <row r="1797" spans="1:9" x14ac:dyDescent="0.25">
      <c r="A1797" t="s">
        <v>9</v>
      </c>
      <c r="B1797" s="39">
        <v>46038</v>
      </c>
      <c r="C1797" s="40">
        <v>0.64583333333333337</v>
      </c>
      <c r="D1797" s="41">
        <v>5387.5</v>
      </c>
      <c r="E1797" s="41">
        <v>5389</v>
      </c>
      <c r="F1797" s="41">
        <v>5384.5</v>
      </c>
      <c r="G1797" s="41">
        <v>5385.5</v>
      </c>
      <c r="H1797" s="41">
        <v>2187131000</v>
      </c>
      <c r="I1797" s="42">
        <v>8120</v>
      </c>
    </row>
    <row r="1798" spans="1:9" x14ac:dyDescent="0.25">
      <c r="A1798" t="s">
        <v>9</v>
      </c>
      <c r="B1798" s="39">
        <v>46038</v>
      </c>
      <c r="C1798" s="40">
        <v>0.625</v>
      </c>
      <c r="D1798" s="41">
        <v>5393.5</v>
      </c>
      <c r="E1798" s="41">
        <v>5394.5</v>
      </c>
      <c r="F1798" s="41">
        <v>5388</v>
      </c>
      <c r="G1798" s="41">
        <v>5388</v>
      </c>
      <c r="H1798" s="41">
        <v>682018500</v>
      </c>
      <c r="I1798" s="42">
        <v>2530</v>
      </c>
    </row>
    <row r="1799" spans="1:9" x14ac:dyDescent="0.25">
      <c r="A1799" t="s">
        <v>9</v>
      </c>
      <c r="B1799" s="39">
        <v>46038</v>
      </c>
      <c r="C1799" s="40">
        <v>0.60416666666666663</v>
      </c>
      <c r="D1799" s="41">
        <v>5391</v>
      </c>
      <c r="E1799" s="41">
        <v>5395</v>
      </c>
      <c r="F1799" s="41">
        <v>5389</v>
      </c>
      <c r="G1799" s="41">
        <v>5393.5</v>
      </c>
      <c r="H1799" s="41">
        <v>1217363250</v>
      </c>
      <c r="I1799" s="42">
        <v>4515</v>
      </c>
    </row>
    <row r="1800" spans="1:9" x14ac:dyDescent="0.25">
      <c r="A1800" t="s">
        <v>9</v>
      </c>
      <c r="B1800" s="39">
        <v>46038</v>
      </c>
      <c r="C1800" s="40">
        <v>0.58333333333333337</v>
      </c>
      <c r="D1800" s="41">
        <v>5390.5</v>
      </c>
      <c r="E1800" s="41">
        <v>5394</v>
      </c>
      <c r="F1800" s="41">
        <v>5388</v>
      </c>
      <c r="G1800" s="41">
        <v>5391</v>
      </c>
      <c r="H1800" s="41">
        <v>1967798125</v>
      </c>
      <c r="I1800" s="42">
        <v>7300</v>
      </c>
    </row>
    <row r="1801" spans="1:9" x14ac:dyDescent="0.25">
      <c r="A1801" t="s">
        <v>9</v>
      </c>
      <c r="B1801" s="39">
        <v>46038</v>
      </c>
      <c r="C1801" s="40">
        <v>0.5625</v>
      </c>
      <c r="D1801" s="41">
        <v>5393</v>
      </c>
      <c r="E1801" s="41">
        <v>5394.5</v>
      </c>
      <c r="F1801" s="41">
        <v>5386.5</v>
      </c>
      <c r="G1801" s="41">
        <v>5390.5</v>
      </c>
      <c r="H1801" s="41">
        <v>4039156750</v>
      </c>
      <c r="I1801" s="42">
        <v>14985</v>
      </c>
    </row>
    <row r="1802" spans="1:9" x14ac:dyDescent="0.25">
      <c r="A1802" t="s">
        <v>9</v>
      </c>
      <c r="B1802" s="39">
        <v>46038</v>
      </c>
      <c r="C1802" s="40">
        <v>0.54166666666666663</v>
      </c>
      <c r="D1802" s="41">
        <v>5400.5</v>
      </c>
      <c r="E1802" s="41">
        <v>5401.5</v>
      </c>
      <c r="F1802" s="41">
        <v>5391</v>
      </c>
      <c r="G1802" s="41">
        <v>5393</v>
      </c>
      <c r="H1802" s="41">
        <v>2602059875</v>
      </c>
      <c r="I1802" s="42">
        <v>9645</v>
      </c>
    </row>
    <row r="1803" spans="1:9" x14ac:dyDescent="0.25">
      <c r="A1803" t="s">
        <v>9</v>
      </c>
      <c r="B1803" s="39">
        <v>46038</v>
      </c>
      <c r="C1803" s="40">
        <v>0.52083333333333337</v>
      </c>
      <c r="D1803" s="41">
        <v>5404</v>
      </c>
      <c r="E1803" s="41">
        <v>5411</v>
      </c>
      <c r="F1803" s="41">
        <v>5399</v>
      </c>
      <c r="G1803" s="41">
        <v>5400</v>
      </c>
      <c r="H1803" s="41">
        <v>3114306250</v>
      </c>
      <c r="I1803" s="42">
        <v>11525</v>
      </c>
    </row>
    <row r="1804" spans="1:9" x14ac:dyDescent="0.25">
      <c r="A1804" t="s">
        <v>9</v>
      </c>
      <c r="B1804" s="39">
        <v>46038</v>
      </c>
      <c r="C1804" s="40">
        <v>0.5</v>
      </c>
      <c r="D1804" s="41">
        <v>5401.5</v>
      </c>
      <c r="E1804" s="41">
        <v>5404.5</v>
      </c>
      <c r="F1804" s="41">
        <v>5391.5</v>
      </c>
      <c r="G1804" s="41">
        <v>5404</v>
      </c>
      <c r="H1804" s="41">
        <v>4830508125</v>
      </c>
      <c r="I1804" s="42">
        <v>17895</v>
      </c>
    </row>
    <row r="1805" spans="1:9" x14ac:dyDescent="0.25">
      <c r="A1805" t="s">
        <v>9</v>
      </c>
      <c r="B1805" s="39">
        <v>46038</v>
      </c>
      <c r="C1805" s="40">
        <v>0.47916666666666669</v>
      </c>
      <c r="D1805" s="41">
        <v>5407</v>
      </c>
      <c r="E1805" s="41">
        <v>5412.5</v>
      </c>
      <c r="F1805" s="41">
        <v>5399</v>
      </c>
      <c r="G1805" s="41">
        <v>5401.5</v>
      </c>
      <c r="H1805" s="41">
        <v>3807322125</v>
      </c>
      <c r="I1805" s="42">
        <v>14090</v>
      </c>
    </row>
    <row r="1806" spans="1:9" x14ac:dyDescent="0.25">
      <c r="A1806" t="s">
        <v>9</v>
      </c>
      <c r="B1806" s="39">
        <v>46038</v>
      </c>
      <c r="C1806" s="40">
        <v>0.45833333333333331</v>
      </c>
      <c r="D1806" s="41">
        <v>5395.5</v>
      </c>
      <c r="E1806" s="41">
        <v>5407</v>
      </c>
      <c r="F1806" s="41">
        <v>5394.5</v>
      </c>
      <c r="G1806" s="41">
        <v>5406.5</v>
      </c>
      <c r="H1806" s="41">
        <v>3610744750</v>
      </c>
      <c r="I1806" s="42">
        <v>13370</v>
      </c>
    </row>
    <row r="1807" spans="1:9" x14ac:dyDescent="0.25">
      <c r="A1807" t="s">
        <v>9</v>
      </c>
      <c r="B1807" s="39">
        <v>46038</v>
      </c>
      <c r="C1807" s="40">
        <v>0.4375</v>
      </c>
      <c r="D1807" s="41">
        <v>5389</v>
      </c>
      <c r="E1807" s="41">
        <v>5395.5</v>
      </c>
      <c r="F1807" s="41">
        <v>5386.5</v>
      </c>
      <c r="G1807" s="41">
        <v>5395.5</v>
      </c>
      <c r="H1807" s="41">
        <v>1645512500</v>
      </c>
      <c r="I1807" s="42">
        <v>6105</v>
      </c>
    </row>
    <row r="1808" spans="1:9" x14ac:dyDescent="0.25">
      <c r="A1808" t="s">
        <v>9</v>
      </c>
      <c r="B1808" s="39">
        <v>46038</v>
      </c>
      <c r="C1808" s="40">
        <v>0.41666666666666669</v>
      </c>
      <c r="D1808" s="41">
        <v>5392.5</v>
      </c>
      <c r="E1808" s="41">
        <v>5394</v>
      </c>
      <c r="F1808" s="41">
        <v>5385</v>
      </c>
      <c r="G1808" s="41">
        <v>5389</v>
      </c>
      <c r="H1808" s="41">
        <v>2027980125</v>
      </c>
      <c r="I1808" s="42">
        <v>7525</v>
      </c>
    </row>
    <row r="1809" spans="1:9" x14ac:dyDescent="0.25">
      <c r="A1809" t="s">
        <v>9</v>
      </c>
      <c r="B1809" s="39">
        <v>46038</v>
      </c>
      <c r="C1809" s="40">
        <v>0.39583333333333331</v>
      </c>
      <c r="D1809" s="41">
        <v>5391.5</v>
      </c>
      <c r="E1809" s="41">
        <v>5397.5</v>
      </c>
      <c r="F1809" s="41">
        <v>5387</v>
      </c>
      <c r="G1809" s="41">
        <v>5391.5</v>
      </c>
      <c r="H1809" s="41">
        <v>2527983125</v>
      </c>
      <c r="I1809" s="42">
        <v>9375</v>
      </c>
    </row>
    <row r="1810" spans="1:9" x14ac:dyDescent="0.25">
      <c r="A1810" t="s">
        <v>9</v>
      </c>
      <c r="B1810" s="39">
        <v>46038</v>
      </c>
      <c r="C1810" s="40">
        <v>0.375</v>
      </c>
      <c r="D1810" s="41">
        <v>5385.5</v>
      </c>
      <c r="E1810" s="41">
        <v>5392.5</v>
      </c>
      <c r="F1810" s="41">
        <v>5382</v>
      </c>
      <c r="G1810" s="41">
        <v>5391.5</v>
      </c>
      <c r="H1810" s="41">
        <v>3603470000</v>
      </c>
      <c r="I1810" s="42">
        <v>13375</v>
      </c>
    </row>
    <row r="1811" spans="1:9" x14ac:dyDescent="0.25">
      <c r="A1811" t="s">
        <v>9</v>
      </c>
      <c r="B1811" s="39">
        <v>46037</v>
      </c>
      <c r="C1811" s="40">
        <v>0.75</v>
      </c>
      <c r="D1811" s="41">
        <v>5389</v>
      </c>
      <c r="E1811" s="41">
        <v>5390.5</v>
      </c>
      <c r="F1811" s="41">
        <v>5384.5</v>
      </c>
      <c r="G1811" s="41">
        <v>5388</v>
      </c>
      <c r="H1811" s="41">
        <v>1146274000</v>
      </c>
      <c r="I1811" s="42">
        <v>4255</v>
      </c>
    </row>
    <row r="1812" spans="1:9" x14ac:dyDescent="0.25">
      <c r="A1812" t="s">
        <v>9</v>
      </c>
      <c r="B1812" s="39">
        <v>46037</v>
      </c>
      <c r="C1812" s="40">
        <v>0.72916666666666663</v>
      </c>
      <c r="D1812" s="41">
        <v>5386.5</v>
      </c>
      <c r="E1812" s="41">
        <v>5391.5</v>
      </c>
      <c r="F1812" s="41">
        <v>5385.5</v>
      </c>
      <c r="G1812" s="41">
        <v>5389</v>
      </c>
      <c r="H1812" s="41">
        <v>1254182750</v>
      </c>
      <c r="I1812" s="42">
        <v>4655</v>
      </c>
    </row>
    <row r="1813" spans="1:9" x14ac:dyDescent="0.25">
      <c r="A1813" t="s">
        <v>9</v>
      </c>
      <c r="B1813" s="39">
        <v>46037</v>
      </c>
      <c r="C1813" s="40">
        <v>0.70833333333333337</v>
      </c>
      <c r="D1813" s="41">
        <v>5386.5</v>
      </c>
      <c r="E1813" s="41">
        <v>5389.5</v>
      </c>
      <c r="F1813" s="41">
        <v>5385.5</v>
      </c>
      <c r="G1813" s="41">
        <v>5387</v>
      </c>
      <c r="H1813" s="41">
        <v>1410215875</v>
      </c>
      <c r="I1813" s="42">
        <v>5235</v>
      </c>
    </row>
    <row r="1814" spans="1:9" x14ac:dyDescent="0.25">
      <c r="A1814" t="s">
        <v>9</v>
      </c>
      <c r="B1814" s="39">
        <v>46037</v>
      </c>
      <c r="C1814" s="40">
        <v>0.6875</v>
      </c>
      <c r="D1814" s="41">
        <v>5380.5</v>
      </c>
      <c r="E1814" s="41">
        <v>5388.5</v>
      </c>
      <c r="F1814" s="41">
        <v>5380.5</v>
      </c>
      <c r="G1814" s="41">
        <v>5386.5</v>
      </c>
      <c r="H1814" s="41">
        <v>3320010000</v>
      </c>
      <c r="I1814" s="42">
        <v>12330</v>
      </c>
    </row>
    <row r="1815" spans="1:9" x14ac:dyDescent="0.25">
      <c r="A1815" t="s">
        <v>9</v>
      </c>
      <c r="B1815" s="39">
        <v>46037</v>
      </c>
      <c r="C1815" s="40">
        <v>0.66666666666666663</v>
      </c>
      <c r="D1815" s="41">
        <v>5378</v>
      </c>
      <c r="E1815" s="41">
        <v>5381.5</v>
      </c>
      <c r="F1815" s="41">
        <v>5377.5</v>
      </c>
      <c r="G1815" s="41">
        <v>5380</v>
      </c>
      <c r="H1815" s="41">
        <v>1105590750</v>
      </c>
      <c r="I1815" s="42">
        <v>4110</v>
      </c>
    </row>
    <row r="1816" spans="1:9" x14ac:dyDescent="0.25">
      <c r="A1816" t="s">
        <v>9</v>
      </c>
      <c r="B1816" s="39">
        <v>46037</v>
      </c>
      <c r="C1816" s="40">
        <v>0.64583333333333337</v>
      </c>
      <c r="D1816" s="41">
        <v>5379</v>
      </c>
      <c r="E1816" s="41">
        <v>5382</v>
      </c>
      <c r="F1816" s="41">
        <v>5377</v>
      </c>
      <c r="G1816" s="41">
        <v>5378</v>
      </c>
      <c r="H1816" s="41">
        <v>2096607875</v>
      </c>
      <c r="I1816" s="42">
        <v>7795</v>
      </c>
    </row>
    <row r="1817" spans="1:9" x14ac:dyDescent="0.25">
      <c r="A1817" t="s">
        <v>9</v>
      </c>
      <c r="B1817" s="39">
        <v>46037</v>
      </c>
      <c r="C1817" s="40">
        <v>0.625</v>
      </c>
      <c r="D1817" s="41">
        <v>5383</v>
      </c>
      <c r="E1817" s="41">
        <v>5383.5</v>
      </c>
      <c r="F1817" s="41">
        <v>5373</v>
      </c>
      <c r="G1817" s="41">
        <v>5379.5</v>
      </c>
      <c r="H1817" s="41">
        <v>3363250000</v>
      </c>
      <c r="I1817" s="42">
        <v>12505</v>
      </c>
    </row>
    <row r="1818" spans="1:9" x14ac:dyDescent="0.25">
      <c r="A1818" t="s">
        <v>9</v>
      </c>
      <c r="B1818" s="39">
        <v>46037</v>
      </c>
      <c r="C1818" s="40">
        <v>0.60416666666666663</v>
      </c>
      <c r="D1818" s="41">
        <v>5382</v>
      </c>
      <c r="E1818" s="41">
        <v>5384.5</v>
      </c>
      <c r="F1818" s="41">
        <v>5380.5</v>
      </c>
      <c r="G1818" s="41">
        <v>5383</v>
      </c>
      <c r="H1818" s="41">
        <v>3523834125</v>
      </c>
      <c r="I1818" s="42">
        <v>13095</v>
      </c>
    </row>
    <row r="1819" spans="1:9" x14ac:dyDescent="0.25">
      <c r="A1819" t="s">
        <v>9</v>
      </c>
      <c r="B1819" s="39">
        <v>46037</v>
      </c>
      <c r="C1819" s="40">
        <v>0.58333333333333337</v>
      </c>
      <c r="D1819" s="41">
        <v>5381</v>
      </c>
      <c r="E1819" s="41">
        <v>5383.5</v>
      </c>
      <c r="F1819" s="41">
        <v>5375</v>
      </c>
      <c r="G1819" s="41">
        <v>5382.5</v>
      </c>
      <c r="H1819" s="41">
        <v>2480062250</v>
      </c>
      <c r="I1819" s="42">
        <v>9220</v>
      </c>
    </row>
    <row r="1820" spans="1:9" x14ac:dyDescent="0.25">
      <c r="A1820" t="s">
        <v>9</v>
      </c>
      <c r="B1820" s="39">
        <v>46037</v>
      </c>
      <c r="C1820" s="40">
        <v>0.5625</v>
      </c>
      <c r="D1820" s="41">
        <v>5388</v>
      </c>
      <c r="E1820" s="41">
        <v>5388.5</v>
      </c>
      <c r="F1820" s="41">
        <v>5380</v>
      </c>
      <c r="G1820" s="41">
        <v>5382</v>
      </c>
      <c r="H1820" s="41">
        <v>2563602625</v>
      </c>
      <c r="I1820" s="42">
        <v>9525</v>
      </c>
    </row>
    <row r="1821" spans="1:9" x14ac:dyDescent="0.25">
      <c r="A1821" t="s">
        <v>9</v>
      </c>
      <c r="B1821" s="39">
        <v>46037</v>
      </c>
      <c r="C1821" s="40">
        <v>0.54166666666666663</v>
      </c>
      <c r="D1821" s="41">
        <v>5389</v>
      </c>
      <c r="E1821" s="41">
        <v>5392.5</v>
      </c>
      <c r="F1821" s="41">
        <v>5383.5</v>
      </c>
      <c r="G1821" s="41">
        <v>5388.5</v>
      </c>
      <c r="H1821" s="41">
        <v>2494183250</v>
      </c>
      <c r="I1821" s="42">
        <v>9255</v>
      </c>
    </row>
    <row r="1822" spans="1:9" x14ac:dyDescent="0.25">
      <c r="A1822" t="s">
        <v>9</v>
      </c>
      <c r="B1822" s="39">
        <v>46037</v>
      </c>
      <c r="C1822" s="40">
        <v>0.52083333333333337</v>
      </c>
      <c r="D1822" s="41">
        <v>5399.5</v>
      </c>
      <c r="E1822" s="41">
        <v>5404</v>
      </c>
      <c r="F1822" s="41">
        <v>5388</v>
      </c>
      <c r="G1822" s="41">
        <v>5389</v>
      </c>
      <c r="H1822" s="41">
        <v>3126909000</v>
      </c>
      <c r="I1822" s="42">
        <v>11590</v>
      </c>
    </row>
    <row r="1823" spans="1:9" x14ac:dyDescent="0.25">
      <c r="A1823" t="s">
        <v>9</v>
      </c>
      <c r="B1823" s="39">
        <v>46037</v>
      </c>
      <c r="C1823" s="40">
        <v>0.5</v>
      </c>
      <c r="D1823" s="41">
        <v>5409</v>
      </c>
      <c r="E1823" s="41">
        <v>5409.5</v>
      </c>
      <c r="F1823" s="41">
        <v>5398</v>
      </c>
      <c r="G1823" s="41">
        <v>5400.5</v>
      </c>
      <c r="H1823" s="41">
        <v>7794635375</v>
      </c>
      <c r="I1823" s="42">
        <v>28855</v>
      </c>
    </row>
    <row r="1824" spans="1:9" x14ac:dyDescent="0.25">
      <c r="A1824" t="s">
        <v>9</v>
      </c>
      <c r="B1824" s="39">
        <v>46037</v>
      </c>
      <c r="C1824" s="40">
        <v>0.47916666666666669</v>
      </c>
      <c r="D1824" s="41">
        <v>5409.5</v>
      </c>
      <c r="E1824" s="41">
        <v>5418</v>
      </c>
      <c r="F1824" s="41">
        <v>5408</v>
      </c>
      <c r="G1824" s="41">
        <v>5409</v>
      </c>
      <c r="H1824" s="41">
        <v>5638324500</v>
      </c>
      <c r="I1824" s="42">
        <v>20830</v>
      </c>
    </row>
    <row r="1825" spans="1:9" x14ac:dyDescent="0.25">
      <c r="A1825" t="s">
        <v>9</v>
      </c>
      <c r="B1825" s="39">
        <v>46037</v>
      </c>
      <c r="C1825" s="40">
        <v>0.45833333333333331</v>
      </c>
      <c r="D1825" s="41">
        <v>5418</v>
      </c>
      <c r="E1825" s="41">
        <v>5419.5</v>
      </c>
      <c r="F1825" s="41">
        <v>5405.5</v>
      </c>
      <c r="G1825" s="41">
        <v>5409.5</v>
      </c>
      <c r="H1825" s="41">
        <v>2821877625</v>
      </c>
      <c r="I1825" s="42">
        <v>10425</v>
      </c>
    </row>
    <row r="1826" spans="1:9" x14ac:dyDescent="0.25">
      <c r="A1826" t="s">
        <v>9</v>
      </c>
      <c r="B1826" s="39">
        <v>46037</v>
      </c>
      <c r="C1826" s="40">
        <v>0.4375</v>
      </c>
      <c r="D1826" s="41">
        <v>5411</v>
      </c>
      <c r="E1826" s="41">
        <v>5423.5</v>
      </c>
      <c r="F1826" s="41">
        <v>5410</v>
      </c>
      <c r="G1826" s="41">
        <v>5418.5</v>
      </c>
      <c r="H1826" s="41">
        <v>5009951750</v>
      </c>
      <c r="I1826" s="42">
        <v>18500</v>
      </c>
    </row>
    <row r="1827" spans="1:9" x14ac:dyDescent="0.25">
      <c r="A1827" t="s">
        <v>9</v>
      </c>
      <c r="B1827" s="39">
        <v>46037</v>
      </c>
      <c r="C1827" s="40">
        <v>0.41666666666666669</v>
      </c>
      <c r="D1827" s="41">
        <v>5404.5</v>
      </c>
      <c r="E1827" s="41">
        <v>5413.5</v>
      </c>
      <c r="F1827" s="41">
        <v>5398</v>
      </c>
      <c r="G1827" s="41">
        <v>5410</v>
      </c>
      <c r="H1827" s="41">
        <v>3510562375</v>
      </c>
      <c r="I1827" s="42">
        <v>12990</v>
      </c>
    </row>
    <row r="1828" spans="1:9" x14ac:dyDescent="0.25">
      <c r="A1828" t="s">
        <v>9</v>
      </c>
      <c r="B1828" s="39">
        <v>46037</v>
      </c>
      <c r="C1828" s="40">
        <v>0.39583333333333331</v>
      </c>
      <c r="D1828" s="41">
        <v>5405.5</v>
      </c>
      <c r="E1828" s="41">
        <v>5408.5</v>
      </c>
      <c r="F1828" s="41">
        <v>5402.5</v>
      </c>
      <c r="G1828" s="41">
        <v>5403.5</v>
      </c>
      <c r="H1828" s="41">
        <v>2340679500</v>
      </c>
      <c r="I1828" s="42">
        <v>8660</v>
      </c>
    </row>
    <row r="1829" spans="1:9" x14ac:dyDescent="0.25">
      <c r="A1829" t="s">
        <v>9</v>
      </c>
      <c r="B1829" s="39">
        <v>46037</v>
      </c>
      <c r="C1829" s="40">
        <v>0.375</v>
      </c>
      <c r="D1829" s="41">
        <v>5410.5</v>
      </c>
      <c r="E1829" s="41">
        <v>5410.5</v>
      </c>
      <c r="F1829" s="41">
        <v>5401.5</v>
      </c>
      <c r="G1829" s="41">
        <v>5405.5</v>
      </c>
      <c r="H1829" s="41">
        <v>2977316750</v>
      </c>
      <c r="I1829" s="42">
        <v>11015</v>
      </c>
    </row>
    <row r="1830" spans="1:9" x14ac:dyDescent="0.25">
      <c r="A1830" t="s">
        <v>9</v>
      </c>
      <c r="B1830" s="39">
        <v>46036</v>
      </c>
      <c r="C1830" s="40">
        <v>0.75</v>
      </c>
      <c r="D1830" s="41">
        <v>5414.5</v>
      </c>
      <c r="E1830" s="41">
        <v>5418.5</v>
      </c>
      <c r="F1830" s="41">
        <v>5412.5</v>
      </c>
      <c r="G1830" s="41">
        <v>5418</v>
      </c>
      <c r="H1830" s="41">
        <v>971878500</v>
      </c>
      <c r="I1830" s="42">
        <v>3590</v>
      </c>
    </row>
    <row r="1831" spans="1:9" x14ac:dyDescent="0.25">
      <c r="A1831" t="s">
        <v>9</v>
      </c>
      <c r="B1831" s="39">
        <v>46036</v>
      </c>
      <c r="C1831" s="40">
        <v>0.72916666666666663</v>
      </c>
      <c r="D1831" s="41">
        <v>5418.5</v>
      </c>
      <c r="E1831" s="41">
        <v>5418.5</v>
      </c>
      <c r="F1831" s="41">
        <v>5412.5</v>
      </c>
      <c r="G1831" s="41">
        <v>5414.5</v>
      </c>
      <c r="H1831" s="41">
        <v>2305542750</v>
      </c>
      <c r="I1831" s="42">
        <v>8515</v>
      </c>
    </row>
    <row r="1832" spans="1:9" x14ac:dyDescent="0.25">
      <c r="A1832" t="s">
        <v>9</v>
      </c>
      <c r="B1832" s="39">
        <v>46036</v>
      </c>
      <c r="C1832" s="40">
        <v>0.70833333333333337</v>
      </c>
      <c r="D1832" s="41">
        <v>5422.5</v>
      </c>
      <c r="E1832" s="41">
        <v>5423.5</v>
      </c>
      <c r="F1832" s="41">
        <v>5415.5</v>
      </c>
      <c r="G1832" s="41">
        <v>5418.5</v>
      </c>
      <c r="H1832" s="41">
        <v>1661036125</v>
      </c>
      <c r="I1832" s="42">
        <v>6130</v>
      </c>
    </row>
    <row r="1833" spans="1:9" x14ac:dyDescent="0.25">
      <c r="A1833" t="s">
        <v>9</v>
      </c>
      <c r="B1833" s="39">
        <v>46036</v>
      </c>
      <c r="C1833" s="40">
        <v>0.6875</v>
      </c>
      <c r="D1833" s="41">
        <v>5417</v>
      </c>
      <c r="E1833" s="41">
        <v>5425</v>
      </c>
      <c r="F1833" s="41">
        <v>5417</v>
      </c>
      <c r="G1833" s="41">
        <v>5422</v>
      </c>
      <c r="H1833" s="41">
        <v>2690130625</v>
      </c>
      <c r="I1833" s="42">
        <v>9925</v>
      </c>
    </row>
    <row r="1834" spans="1:9" x14ac:dyDescent="0.25">
      <c r="A1834" t="s">
        <v>9</v>
      </c>
      <c r="B1834" s="39">
        <v>46036</v>
      </c>
      <c r="C1834" s="40">
        <v>0.66666666666666663</v>
      </c>
      <c r="D1834" s="41">
        <v>5416</v>
      </c>
      <c r="E1834" s="41">
        <v>5419.5</v>
      </c>
      <c r="F1834" s="41">
        <v>5409</v>
      </c>
      <c r="G1834" s="41">
        <v>5419</v>
      </c>
      <c r="H1834" s="41">
        <v>4460701500</v>
      </c>
      <c r="I1834" s="42">
        <v>16485</v>
      </c>
    </row>
    <row r="1835" spans="1:9" x14ac:dyDescent="0.25">
      <c r="A1835" t="s">
        <v>9</v>
      </c>
      <c r="B1835" s="39">
        <v>46036</v>
      </c>
      <c r="C1835" s="40">
        <v>0.64583333333333337</v>
      </c>
      <c r="D1835" s="41">
        <v>5409.5</v>
      </c>
      <c r="E1835" s="41">
        <v>5421.5</v>
      </c>
      <c r="F1835" s="41">
        <v>5409</v>
      </c>
      <c r="G1835" s="41">
        <v>5416</v>
      </c>
      <c r="H1835" s="41">
        <v>4564543875</v>
      </c>
      <c r="I1835" s="42">
        <v>16855</v>
      </c>
    </row>
    <row r="1836" spans="1:9" x14ac:dyDescent="0.25">
      <c r="A1836" t="s">
        <v>9</v>
      </c>
      <c r="B1836" s="39">
        <v>46036</v>
      </c>
      <c r="C1836" s="40">
        <v>0.625</v>
      </c>
      <c r="D1836" s="41">
        <v>5412</v>
      </c>
      <c r="E1836" s="41">
        <v>5413.5</v>
      </c>
      <c r="F1836" s="41">
        <v>5409</v>
      </c>
      <c r="G1836" s="41">
        <v>5410</v>
      </c>
      <c r="H1836" s="41">
        <v>1858783875</v>
      </c>
      <c r="I1836" s="42">
        <v>6870</v>
      </c>
    </row>
    <row r="1837" spans="1:9" x14ac:dyDescent="0.25">
      <c r="A1837" t="s">
        <v>9</v>
      </c>
      <c r="B1837" s="39">
        <v>46036</v>
      </c>
      <c r="C1837" s="40">
        <v>0.60416666666666663</v>
      </c>
      <c r="D1837" s="41">
        <v>5401</v>
      </c>
      <c r="E1837" s="41">
        <v>5412</v>
      </c>
      <c r="F1837" s="41">
        <v>5401</v>
      </c>
      <c r="G1837" s="41">
        <v>5412</v>
      </c>
      <c r="H1837" s="41">
        <v>2187653375</v>
      </c>
      <c r="I1837" s="42">
        <v>8090</v>
      </c>
    </row>
    <row r="1838" spans="1:9" x14ac:dyDescent="0.25">
      <c r="A1838" t="s">
        <v>9</v>
      </c>
      <c r="B1838" s="39">
        <v>46036</v>
      </c>
      <c r="C1838" s="40">
        <v>0.58333333333333337</v>
      </c>
      <c r="D1838" s="41">
        <v>5402</v>
      </c>
      <c r="E1838" s="41">
        <v>5405.5</v>
      </c>
      <c r="F1838" s="41">
        <v>5399.5</v>
      </c>
      <c r="G1838" s="41">
        <v>5401.5</v>
      </c>
      <c r="H1838" s="41">
        <v>1150751625</v>
      </c>
      <c r="I1838" s="42">
        <v>4260</v>
      </c>
    </row>
    <row r="1839" spans="1:9" x14ac:dyDescent="0.25">
      <c r="A1839" t="s">
        <v>9</v>
      </c>
      <c r="B1839" s="39">
        <v>46036</v>
      </c>
      <c r="C1839" s="40">
        <v>0.5625</v>
      </c>
      <c r="D1839" s="41">
        <v>5400.5</v>
      </c>
      <c r="E1839" s="41">
        <v>5404</v>
      </c>
      <c r="F1839" s="41">
        <v>5399.5</v>
      </c>
      <c r="G1839" s="41">
        <v>5401</v>
      </c>
      <c r="H1839" s="41">
        <v>834452500</v>
      </c>
      <c r="I1839" s="42">
        <v>3090</v>
      </c>
    </row>
    <row r="1840" spans="1:9" x14ac:dyDescent="0.25">
      <c r="A1840" t="s">
        <v>9</v>
      </c>
      <c r="B1840" s="39">
        <v>46036</v>
      </c>
      <c r="C1840" s="40">
        <v>0.54166666666666663</v>
      </c>
      <c r="D1840" s="41">
        <v>5414</v>
      </c>
      <c r="E1840" s="41">
        <v>5416.5</v>
      </c>
      <c r="F1840" s="41">
        <v>5400</v>
      </c>
      <c r="G1840" s="41">
        <v>5401</v>
      </c>
      <c r="H1840" s="41">
        <v>1747945500</v>
      </c>
      <c r="I1840" s="42">
        <v>6465</v>
      </c>
    </row>
    <row r="1841" spans="1:9" x14ac:dyDescent="0.25">
      <c r="A1841" t="s">
        <v>9</v>
      </c>
      <c r="B1841" s="39">
        <v>46036</v>
      </c>
      <c r="C1841" s="40">
        <v>0.52083333333333337</v>
      </c>
      <c r="D1841" s="41">
        <v>5404.5</v>
      </c>
      <c r="E1841" s="41">
        <v>5417</v>
      </c>
      <c r="F1841" s="41">
        <v>5404.5</v>
      </c>
      <c r="G1841" s="41">
        <v>5414</v>
      </c>
      <c r="H1841" s="41">
        <v>2115672875</v>
      </c>
      <c r="I1841" s="42">
        <v>7820</v>
      </c>
    </row>
    <row r="1842" spans="1:9" x14ac:dyDescent="0.25">
      <c r="A1842" t="s">
        <v>9</v>
      </c>
      <c r="B1842" s="39">
        <v>46036</v>
      </c>
      <c r="C1842" s="40">
        <v>0.5</v>
      </c>
      <c r="D1842" s="41">
        <v>5397</v>
      </c>
      <c r="E1842" s="41">
        <v>5406.5</v>
      </c>
      <c r="F1842" s="41">
        <v>5395.5</v>
      </c>
      <c r="G1842" s="41">
        <v>5404.5</v>
      </c>
      <c r="H1842" s="41">
        <v>2768437375</v>
      </c>
      <c r="I1842" s="42">
        <v>10250</v>
      </c>
    </row>
    <row r="1843" spans="1:9" x14ac:dyDescent="0.25">
      <c r="A1843" t="s">
        <v>9</v>
      </c>
      <c r="B1843" s="39">
        <v>46036</v>
      </c>
      <c r="C1843" s="40">
        <v>0.47916666666666669</v>
      </c>
      <c r="D1843" s="41">
        <v>5403</v>
      </c>
      <c r="E1843" s="41">
        <v>5403</v>
      </c>
      <c r="F1843" s="41">
        <v>5387</v>
      </c>
      <c r="G1843" s="41">
        <v>5395</v>
      </c>
      <c r="H1843" s="41">
        <v>3101690250</v>
      </c>
      <c r="I1843" s="42">
        <v>11500</v>
      </c>
    </row>
    <row r="1844" spans="1:9" x14ac:dyDescent="0.25">
      <c r="A1844" t="s">
        <v>9</v>
      </c>
      <c r="B1844" s="39">
        <v>46036</v>
      </c>
      <c r="C1844" s="40">
        <v>0.45833333333333331</v>
      </c>
      <c r="D1844" s="41">
        <v>5390.5</v>
      </c>
      <c r="E1844" s="41">
        <v>5445</v>
      </c>
      <c r="F1844" s="41">
        <v>5390.5</v>
      </c>
      <c r="G1844" s="41">
        <v>5404</v>
      </c>
      <c r="H1844" s="41">
        <v>11016234630</v>
      </c>
      <c r="I1844" s="42">
        <v>40675</v>
      </c>
    </row>
    <row r="1845" spans="1:9" x14ac:dyDescent="0.25">
      <c r="A1845" t="s">
        <v>9</v>
      </c>
      <c r="B1845" s="39">
        <v>46036</v>
      </c>
      <c r="C1845" s="40">
        <v>0.4375</v>
      </c>
      <c r="D1845" s="41">
        <v>5393</v>
      </c>
      <c r="E1845" s="41">
        <v>5395</v>
      </c>
      <c r="F1845" s="41">
        <v>5380.5</v>
      </c>
      <c r="G1845" s="41">
        <v>5390.5</v>
      </c>
      <c r="H1845" s="41">
        <v>2580597625</v>
      </c>
      <c r="I1845" s="42">
        <v>9580</v>
      </c>
    </row>
    <row r="1846" spans="1:9" x14ac:dyDescent="0.25">
      <c r="A1846" t="s">
        <v>9</v>
      </c>
      <c r="B1846" s="39">
        <v>46036</v>
      </c>
      <c r="C1846" s="40">
        <v>0.41666666666666669</v>
      </c>
      <c r="D1846" s="41">
        <v>5393.5</v>
      </c>
      <c r="E1846" s="41">
        <v>5394</v>
      </c>
      <c r="F1846" s="41">
        <v>5385</v>
      </c>
      <c r="G1846" s="41">
        <v>5393</v>
      </c>
      <c r="H1846" s="41">
        <v>3488147250</v>
      </c>
      <c r="I1846" s="42">
        <v>12945</v>
      </c>
    </row>
    <row r="1847" spans="1:9" x14ac:dyDescent="0.25">
      <c r="A1847" t="s">
        <v>9</v>
      </c>
      <c r="B1847" s="39">
        <v>46036</v>
      </c>
      <c r="C1847" s="40">
        <v>0.39583333333333331</v>
      </c>
      <c r="D1847" s="41">
        <v>5394</v>
      </c>
      <c r="E1847" s="41">
        <v>5403.5</v>
      </c>
      <c r="F1847" s="41">
        <v>5393</v>
      </c>
      <c r="G1847" s="41">
        <v>5393.5</v>
      </c>
      <c r="H1847" s="41">
        <v>2899735125</v>
      </c>
      <c r="I1847" s="42">
        <v>10745</v>
      </c>
    </row>
    <row r="1848" spans="1:9" x14ac:dyDescent="0.25">
      <c r="A1848" t="s">
        <v>9</v>
      </c>
      <c r="B1848" s="39">
        <v>46036</v>
      </c>
      <c r="C1848" s="40">
        <v>0.375</v>
      </c>
      <c r="D1848" s="41">
        <v>5394</v>
      </c>
      <c r="E1848" s="41">
        <v>5396.5</v>
      </c>
      <c r="F1848" s="41">
        <v>5386.5</v>
      </c>
      <c r="G1848" s="41">
        <v>5394</v>
      </c>
      <c r="H1848" s="41">
        <v>2197414250</v>
      </c>
      <c r="I1848" s="42">
        <v>8150</v>
      </c>
    </row>
    <row r="1849" spans="1:9" x14ac:dyDescent="0.25">
      <c r="A1849" t="s">
        <v>9</v>
      </c>
      <c r="B1849" s="39">
        <v>46035</v>
      </c>
      <c r="C1849" s="40">
        <v>0.75</v>
      </c>
      <c r="D1849" s="41">
        <v>5397.5</v>
      </c>
      <c r="E1849" s="41">
        <v>5398.5</v>
      </c>
      <c r="F1849" s="41">
        <v>5395</v>
      </c>
      <c r="G1849" s="41">
        <v>5396</v>
      </c>
      <c r="H1849" s="41">
        <v>881016125</v>
      </c>
      <c r="I1849" s="42">
        <v>3265</v>
      </c>
    </row>
    <row r="1850" spans="1:9" x14ac:dyDescent="0.25">
      <c r="A1850" t="s">
        <v>9</v>
      </c>
      <c r="B1850" s="39">
        <v>46035</v>
      </c>
      <c r="C1850" s="40">
        <v>0.72916666666666663</v>
      </c>
      <c r="D1850" s="41">
        <v>5398.5</v>
      </c>
      <c r="E1850" s="41">
        <v>5399.5</v>
      </c>
      <c r="F1850" s="41">
        <v>5396</v>
      </c>
      <c r="G1850" s="41">
        <v>5398</v>
      </c>
      <c r="H1850" s="41">
        <v>647717250</v>
      </c>
      <c r="I1850" s="42">
        <v>2400</v>
      </c>
    </row>
    <row r="1851" spans="1:9" x14ac:dyDescent="0.25">
      <c r="A1851" t="s">
        <v>9</v>
      </c>
      <c r="B1851" s="39">
        <v>46035</v>
      </c>
      <c r="C1851" s="40">
        <v>0.70833333333333337</v>
      </c>
      <c r="D1851" s="41">
        <v>5399</v>
      </c>
      <c r="E1851" s="41">
        <v>5402</v>
      </c>
      <c r="F1851" s="41">
        <v>5397.5</v>
      </c>
      <c r="G1851" s="41">
        <v>5399.5</v>
      </c>
      <c r="H1851" s="41">
        <v>2644570875</v>
      </c>
      <c r="I1851" s="42">
        <v>9795</v>
      </c>
    </row>
    <row r="1852" spans="1:9" x14ac:dyDescent="0.25">
      <c r="A1852" t="s">
        <v>9</v>
      </c>
      <c r="B1852" s="39">
        <v>46035</v>
      </c>
      <c r="C1852" s="40">
        <v>0.6875</v>
      </c>
      <c r="D1852" s="41">
        <v>5404</v>
      </c>
      <c r="E1852" s="41">
        <v>5405</v>
      </c>
      <c r="F1852" s="41">
        <v>5397.5</v>
      </c>
      <c r="G1852" s="41">
        <v>5399</v>
      </c>
      <c r="H1852" s="41">
        <v>1365260000</v>
      </c>
      <c r="I1852" s="42">
        <v>5055</v>
      </c>
    </row>
    <row r="1853" spans="1:9" x14ac:dyDescent="0.25">
      <c r="A1853" t="s">
        <v>9</v>
      </c>
      <c r="B1853" s="39">
        <v>46035</v>
      </c>
      <c r="C1853" s="40">
        <v>0.66666666666666663</v>
      </c>
      <c r="D1853" s="41">
        <v>5403</v>
      </c>
      <c r="E1853" s="41">
        <v>5405.5</v>
      </c>
      <c r="F1853" s="41">
        <v>5402</v>
      </c>
      <c r="G1853" s="41">
        <v>5403.5</v>
      </c>
      <c r="H1853" s="41">
        <v>1495530500</v>
      </c>
      <c r="I1853" s="42">
        <v>5535</v>
      </c>
    </row>
    <row r="1854" spans="1:9" x14ac:dyDescent="0.25">
      <c r="A1854" t="s">
        <v>9</v>
      </c>
      <c r="B1854" s="39">
        <v>46035</v>
      </c>
      <c r="C1854" s="40">
        <v>0.64583333333333337</v>
      </c>
      <c r="D1854" s="41">
        <v>5405.5</v>
      </c>
      <c r="E1854" s="41">
        <v>5406.5</v>
      </c>
      <c r="F1854" s="41">
        <v>5400.5</v>
      </c>
      <c r="G1854" s="41">
        <v>5403</v>
      </c>
      <c r="H1854" s="41">
        <v>2052963375</v>
      </c>
      <c r="I1854" s="42">
        <v>7600</v>
      </c>
    </row>
    <row r="1855" spans="1:9" x14ac:dyDescent="0.25">
      <c r="A1855" t="s">
        <v>9</v>
      </c>
      <c r="B1855" s="39">
        <v>46035</v>
      </c>
      <c r="C1855" s="40">
        <v>0.625</v>
      </c>
      <c r="D1855" s="41">
        <v>5409.5</v>
      </c>
      <c r="E1855" s="41">
        <v>5413</v>
      </c>
      <c r="F1855" s="41">
        <v>5404.5</v>
      </c>
      <c r="G1855" s="41">
        <v>5405.5</v>
      </c>
      <c r="H1855" s="41">
        <v>1111285500</v>
      </c>
      <c r="I1855" s="42">
        <v>4110</v>
      </c>
    </row>
    <row r="1856" spans="1:9" x14ac:dyDescent="0.25">
      <c r="A1856" t="s">
        <v>9</v>
      </c>
      <c r="B1856" s="39">
        <v>46035</v>
      </c>
      <c r="C1856" s="40">
        <v>0.60416666666666663</v>
      </c>
      <c r="D1856" s="41">
        <v>5407.5</v>
      </c>
      <c r="E1856" s="41">
        <v>5412.5</v>
      </c>
      <c r="F1856" s="41">
        <v>5405</v>
      </c>
      <c r="G1856" s="41">
        <v>5409.5</v>
      </c>
      <c r="H1856" s="41">
        <v>2799688125</v>
      </c>
      <c r="I1856" s="42">
        <v>10355</v>
      </c>
    </row>
    <row r="1857" spans="1:9" x14ac:dyDescent="0.25">
      <c r="A1857" t="s">
        <v>9</v>
      </c>
      <c r="B1857" s="39">
        <v>46035</v>
      </c>
      <c r="C1857" s="40">
        <v>0.58333333333333337</v>
      </c>
      <c r="D1857" s="41">
        <v>5409</v>
      </c>
      <c r="E1857" s="41">
        <v>5411</v>
      </c>
      <c r="F1857" s="41">
        <v>5405</v>
      </c>
      <c r="G1857" s="41">
        <v>5407.5</v>
      </c>
      <c r="H1857" s="41">
        <v>3885305000</v>
      </c>
      <c r="I1857" s="42">
        <v>14370</v>
      </c>
    </row>
    <row r="1858" spans="1:9" x14ac:dyDescent="0.25">
      <c r="A1858" t="s">
        <v>9</v>
      </c>
      <c r="B1858" s="39">
        <v>46035</v>
      </c>
      <c r="C1858" s="40">
        <v>0.5625</v>
      </c>
      <c r="D1858" s="41">
        <v>5414</v>
      </c>
      <c r="E1858" s="41">
        <v>5415</v>
      </c>
      <c r="F1858" s="41">
        <v>5408</v>
      </c>
      <c r="G1858" s="41">
        <v>5409</v>
      </c>
      <c r="H1858" s="41">
        <v>2981462000</v>
      </c>
      <c r="I1858" s="42">
        <v>11020</v>
      </c>
    </row>
    <row r="1859" spans="1:9" x14ac:dyDescent="0.25">
      <c r="A1859" t="s">
        <v>9</v>
      </c>
      <c r="B1859" s="39">
        <v>46035</v>
      </c>
      <c r="C1859" s="40">
        <v>0.54166666666666663</v>
      </c>
      <c r="D1859" s="41">
        <v>5404</v>
      </c>
      <c r="E1859" s="41">
        <v>5418.5</v>
      </c>
      <c r="F1859" s="41">
        <v>5402.5</v>
      </c>
      <c r="G1859" s="41">
        <v>5414</v>
      </c>
      <c r="H1859" s="41">
        <v>4103775125</v>
      </c>
      <c r="I1859" s="42">
        <v>15170</v>
      </c>
    </row>
    <row r="1860" spans="1:9" x14ac:dyDescent="0.25">
      <c r="A1860" t="s">
        <v>9</v>
      </c>
      <c r="B1860" s="39">
        <v>46035</v>
      </c>
      <c r="C1860" s="40">
        <v>0.52083333333333337</v>
      </c>
      <c r="D1860" s="41">
        <v>5413.5</v>
      </c>
      <c r="E1860" s="41">
        <v>5414.5</v>
      </c>
      <c r="F1860" s="41">
        <v>5401</v>
      </c>
      <c r="G1860" s="41">
        <v>5403.5</v>
      </c>
      <c r="H1860" s="41">
        <v>1802888750</v>
      </c>
      <c r="I1860" s="42">
        <v>6670</v>
      </c>
    </row>
    <row r="1861" spans="1:9" x14ac:dyDescent="0.25">
      <c r="A1861" t="s">
        <v>9</v>
      </c>
      <c r="B1861" s="39">
        <v>46035</v>
      </c>
      <c r="C1861" s="40">
        <v>0.5</v>
      </c>
      <c r="D1861" s="41">
        <v>5400</v>
      </c>
      <c r="E1861" s="41">
        <v>5414</v>
      </c>
      <c r="F1861" s="41">
        <v>5397</v>
      </c>
      <c r="G1861" s="41">
        <v>5413</v>
      </c>
      <c r="H1861" s="41">
        <v>4025484125</v>
      </c>
      <c r="I1861" s="42">
        <v>14900</v>
      </c>
    </row>
    <row r="1862" spans="1:9" x14ac:dyDescent="0.25">
      <c r="A1862" t="s">
        <v>9</v>
      </c>
      <c r="B1862" s="39">
        <v>46035</v>
      </c>
      <c r="C1862" s="40">
        <v>0.47916666666666669</v>
      </c>
      <c r="D1862" s="41">
        <v>5392</v>
      </c>
      <c r="E1862" s="41">
        <v>5404</v>
      </c>
      <c r="F1862" s="41">
        <v>5388.5</v>
      </c>
      <c r="G1862" s="41">
        <v>5400</v>
      </c>
      <c r="H1862" s="41">
        <v>2283351125</v>
      </c>
      <c r="I1862" s="42">
        <v>8460</v>
      </c>
    </row>
    <row r="1863" spans="1:9" x14ac:dyDescent="0.25">
      <c r="A1863" t="s">
        <v>9</v>
      </c>
      <c r="B1863" s="39">
        <v>46035</v>
      </c>
      <c r="C1863" s="40">
        <v>0.45833333333333331</v>
      </c>
      <c r="D1863" s="41">
        <v>5402</v>
      </c>
      <c r="E1863" s="41">
        <v>5402.5</v>
      </c>
      <c r="F1863" s="41">
        <v>5391.5</v>
      </c>
      <c r="G1863" s="41">
        <v>5392</v>
      </c>
      <c r="H1863" s="41">
        <v>3709617625</v>
      </c>
      <c r="I1863" s="42">
        <v>13750</v>
      </c>
    </row>
    <row r="1864" spans="1:9" x14ac:dyDescent="0.25">
      <c r="A1864" t="s">
        <v>9</v>
      </c>
      <c r="B1864" s="39">
        <v>46035</v>
      </c>
      <c r="C1864" s="40">
        <v>0.4375</v>
      </c>
      <c r="D1864" s="41">
        <v>5402</v>
      </c>
      <c r="E1864" s="41">
        <v>5406</v>
      </c>
      <c r="F1864" s="41">
        <v>5390</v>
      </c>
      <c r="G1864" s="41">
        <v>5401.5</v>
      </c>
      <c r="H1864" s="41">
        <v>3293681375</v>
      </c>
      <c r="I1864" s="42">
        <v>12205</v>
      </c>
    </row>
    <row r="1865" spans="1:9" x14ac:dyDescent="0.25">
      <c r="A1865" t="s">
        <v>9</v>
      </c>
      <c r="B1865" s="39">
        <v>46035</v>
      </c>
      <c r="C1865" s="40">
        <v>0.41666666666666669</v>
      </c>
      <c r="D1865" s="41">
        <v>5404.5</v>
      </c>
      <c r="E1865" s="41">
        <v>5410</v>
      </c>
      <c r="F1865" s="41">
        <v>5401</v>
      </c>
      <c r="G1865" s="41">
        <v>5402.5</v>
      </c>
      <c r="H1865" s="41">
        <v>2111833750</v>
      </c>
      <c r="I1865" s="42">
        <v>7815</v>
      </c>
    </row>
    <row r="1866" spans="1:9" x14ac:dyDescent="0.25">
      <c r="A1866" t="s">
        <v>9</v>
      </c>
      <c r="B1866" s="39">
        <v>46035</v>
      </c>
      <c r="C1866" s="40">
        <v>0.39583333333333331</v>
      </c>
      <c r="D1866" s="41">
        <v>5399</v>
      </c>
      <c r="E1866" s="41">
        <v>5410.5</v>
      </c>
      <c r="F1866" s="41">
        <v>5398.5</v>
      </c>
      <c r="G1866" s="41">
        <v>5404.5</v>
      </c>
      <c r="H1866" s="41">
        <v>1467636875</v>
      </c>
      <c r="I1866" s="42">
        <v>5430</v>
      </c>
    </row>
    <row r="1867" spans="1:9" x14ac:dyDescent="0.25">
      <c r="A1867" t="s">
        <v>9</v>
      </c>
      <c r="B1867" s="39">
        <v>46035</v>
      </c>
      <c r="C1867" s="40">
        <v>0.375</v>
      </c>
      <c r="D1867" s="41">
        <v>5399</v>
      </c>
      <c r="E1867" s="41">
        <v>5407.5</v>
      </c>
      <c r="F1867" s="41">
        <v>5395</v>
      </c>
      <c r="G1867" s="41">
        <v>5398.5</v>
      </c>
      <c r="H1867" s="41">
        <v>2924389500</v>
      </c>
      <c r="I1867" s="42">
        <v>10830</v>
      </c>
    </row>
    <row r="1868" spans="1:9" x14ac:dyDescent="0.25">
      <c r="A1868" t="s">
        <v>9</v>
      </c>
      <c r="B1868" s="39">
        <v>46034</v>
      </c>
      <c r="C1868" s="40">
        <v>0.75</v>
      </c>
      <c r="D1868" s="41">
        <v>5401.5</v>
      </c>
      <c r="E1868" s="41">
        <v>5404</v>
      </c>
      <c r="F1868" s="41">
        <v>5399</v>
      </c>
      <c r="G1868" s="41">
        <v>5401.5</v>
      </c>
      <c r="H1868" s="41">
        <v>911488625</v>
      </c>
      <c r="I1868" s="42">
        <v>3375</v>
      </c>
    </row>
    <row r="1869" spans="1:9" x14ac:dyDescent="0.25">
      <c r="A1869" t="s">
        <v>9</v>
      </c>
      <c r="B1869" s="39">
        <v>46034</v>
      </c>
      <c r="C1869" s="40">
        <v>0.72916666666666663</v>
      </c>
      <c r="D1869" s="41">
        <v>5399</v>
      </c>
      <c r="E1869" s="41">
        <v>5401</v>
      </c>
      <c r="F1869" s="41">
        <v>5398.5</v>
      </c>
      <c r="G1869" s="41">
        <v>5401</v>
      </c>
      <c r="H1869" s="41">
        <v>425211750</v>
      </c>
      <c r="I1869" s="42">
        <v>1575</v>
      </c>
    </row>
    <row r="1870" spans="1:9" x14ac:dyDescent="0.25">
      <c r="A1870" t="s">
        <v>9</v>
      </c>
      <c r="B1870" s="39">
        <v>46034</v>
      </c>
      <c r="C1870" s="40">
        <v>0.70833333333333337</v>
      </c>
      <c r="D1870" s="41">
        <v>5398.5</v>
      </c>
      <c r="E1870" s="41">
        <v>5401</v>
      </c>
      <c r="F1870" s="41">
        <v>5397</v>
      </c>
      <c r="G1870" s="41">
        <v>5399.5</v>
      </c>
      <c r="H1870" s="41">
        <v>786857250</v>
      </c>
      <c r="I1870" s="42">
        <v>2915</v>
      </c>
    </row>
    <row r="1871" spans="1:9" x14ac:dyDescent="0.25">
      <c r="A1871" t="s">
        <v>9</v>
      </c>
      <c r="B1871" s="39">
        <v>46034</v>
      </c>
      <c r="C1871" s="40">
        <v>0.6875</v>
      </c>
      <c r="D1871" s="41">
        <v>5395.5</v>
      </c>
      <c r="E1871" s="41">
        <v>5398.5</v>
      </c>
      <c r="F1871" s="41">
        <v>5395</v>
      </c>
      <c r="G1871" s="41">
        <v>5398.5</v>
      </c>
      <c r="H1871" s="41">
        <v>1254704875</v>
      </c>
      <c r="I1871" s="42">
        <v>4650</v>
      </c>
    </row>
    <row r="1872" spans="1:9" x14ac:dyDescent="0.25">
      <c r="A1872" t="s">
        <v>9</v>
      </c>
      <c r="B1872" s="39">
        <v>46034</v>
      </c>
      <c r="C1872" s="40">
        <v>0.66666666666666663</v>
      </c>
      <c r="D1872" s="41">
        <v>5398.5</v>
      </c>
      <c r="E1872" s="41">
        <v>5398.5</v>
      </c>
      <c r="F1872" s="41">
        <v>5395.5</v>
      </c>
      <c r="G1872" s="41">
        <v>5395.5</v>
      </c>
      <c r="H1872" s="41">
        <v>767665625</v>
      </c>
      <c r="I1872" s="42">
        <v>2845</v>
      </c>
    </row>
    <row r="1873" spans="1:9" x14ac:dyDescent="0.25">
      <c r="A1873" t="s">
        <v>9</v>
      </c>
      <c r="B1873" s="39">
        <v>46034</v>
      </c>
      <c r="C1873" s="40">
        <v>0.64583333333333337</v>
      </c>
      <c r="D1873" s="41">
        <v>5397.5</v>
      </c>
      <c r="E1873" s="41">
        <v>5399</v>
      </c>
      <c r="F1873" s="41">
        <v>5396</v>
      </c>
      <c r="G1873" s="41">
        <v>5399</v>
      </c>
      <c r="H1873" s="41">
        <v>2103662625</v>
      </c>
      <c r="I1873" s="42">
        <v>7795</v>
      </c>
    </row>
    <row r="1874" spans="1:9" x14ac:dyDescent="0.25">
      <c r="A1874" t="s">
        <v>9</v>
      </c>
      <c r="B1874" s="39">
        <v>46034</v>
      </c>
      <c r="C1874" s="40">
        <v>0.625</v>
      </c>
      <c r="D1874" s="41">
        <v>5397</v>
      </c>
      <c r="E1874" s="41">
        <v>5399</v>
      </c>
      <c r="F1874" s="41">
        <v>5395</v>
      </c>
      <c r="G1874" s="41">
        <v>5397</v>
      </c>
      <c r="H1874" s="41">
        <v>917501250</v>
      </c>
      <c r="I1874" s="42">
        <v>3400</v>
      </c>
    </row>
    <row r="1875" spans="1:9" x14ac:dyDescent="0.25">
      <c r="A1875" t="s">
        <v>9</v>
      </c>
      <c r="B1875" s="39">
        <v>46034</v>
      </c>
      <c r="C1875" s="40">
        <v>0.60416666666666663</v>
      </c>
      <c r="D1875" s="41">
        <v>5397</v>
      </c>
      <c r="E1875" s="41">
        <v>5397.5</v>
      </c>
      <c r="F1875" s="41">
        <v>5393.5</v>
      </c>
      <c r="G1875" s="41">
        <v>5396.5</v>
      </c>
      <c r="H1875" s="41">
        <v>1307051500</v>
      </c>
      <c r="I1875" s="42">
        <v>4845</v>
      </c>
    </row>
    <row r="1876" spans="1:9" x14ac:dyDescent="0.25">
      <c r="A1876" t="s">
        <v>9</v>
      </c>
      <c r="B1876" s="39">
        <v>46034</v>
      </c>
      <c r="C1876" s="40">
        <v>0.58333333333333337</v>
      </c>
      <c r="D1876" s="41">
        <v>5395</v>
      </c>
      <c r="E1876" s="41">
        <v>5400</v>
      </c>
      <c r="F1876" s="41">
        <v>5390.5</v>
      </c>
      <c r="G1876" s="41">
        <v>5397</v>
      </c>
      <c r="H1876" s="41">
        <v>1959753125</v>
      </c>
      <c r="I1876" s="42">
        <v>7265</v>
      </c>
    </row>
    <row r="1877" spans="1:9" x14ac:dyDescent="0.25">
      <c r="A1877" t="s">
        <v>9</v>
      </c>
      <c r="B1877" s="39">
        <v>46034</v>
      </c>
      <c r="C1877" s="40">
        <v>0.5625</v>
      </c>
      <c r="D1877" s="41">
        <v>5392.5</v>
      </c>
      <c r="E1877" s="41">
        <v>5396</v>
      </c>
      <c r="F1877" s="41">
        <v>5390.5</v>
      </c>
      <c r="G1877" s="41">
        <v>5395.5</v>
      </c>
      <c r="H1877" s="41">
        <v>2367175375</v>
      </c>
      <c r="I1877" s="42">
        <v>8780</v>
      </c>
    </row>
    <row r="1878" spans="1:9" x14ac:dyDescent="0.25">
      <c r="A1878" t="s">
        <v>9</v>
      </c>
      <c r="B1878" s="39">
        <v>46034</v>
      </c>
      <c r="C1878" s="40">
        <v>0.54166666666666663</v>
      </c>
      <c r="D1878" s="41">
        <v>5396.5</v>
      </c>
      <c r="E1878" s="41">
        <v>5398</v>
      </c>
      <c r="F1878" s="41">
        <v>5388</v>
      </c>
      <c r="G1878" s="41">
        <v>5392</v>
      </c>
      <c r="H1878" s="41">
        <v>2471344750</v>
      </c>
      <c r="I1878" s="42">
        <v>9165</v>
      </c>
    </row>
    <row r="1879" spans="1:9" x14ac:dyDescent="0.25">
      <c r="A1879" t="s">
        <v>9</v>
      </c>
      <c r="B1879" s="39">
        <v>46034</v>
      </c>
      <c r="C1879" s="40">
        <v>0.52083333333333337</v>
      </c>
      <c r="D1879" s="41">
        <v>5400.5</v>
      </c>
      <c r="E1879" s="41">
        <v>5401</v>
      </c>
      <c r="F1879" s="41">
        <v>5393.5</v>
      </c>
      <c r="G1879" s="41">
        <v>5396</v>
      </c>
      <c r="H1879" s="41">
        <v>2554801750</v>
      </c>
      <c r="I1879" s="42">
        <v>9465</v>
      </c>
    </row>
    <row r="1880" spans="1:9" x14ac:dyDescent="0.25">
      <c r="A1880" t="s">
        <v>9</v>
      </c>
      <c r="B1880" s="39">
        <v>46034</v>
      </c>
      <c r="C1880" s="40">
        <v>0.5</v>
      </c>
      <c r="D1880" s="41">
        <v>5401</v>
      </c>
      <c r="E1880" s="41">
        <v>5405.5</v>
      </c>
      <c r="F1880" s="41">
        <v>5396.5</v>
      </c>
      <c r="G1880" s="41">
        <v>5400.5</v>
      </c>
      <c r="H1880" s="41">
        <v>2482733000</v>
      </c>
      <c r="I1880" s="42">
        <v>9195</v>
      </c>
    </row>
    <row r="1881" spans="1:9" x14ac:dyDescent="0.25">
      <c r="A1881" t="s">
        <v>9</v>
      </c>
      <c r="B1881" s="39">
        <v>46034</v>
      </c>
      <c r="C1881" s="40">
        <v>0.47916666666666669</v>
      </c>
      <c r="D1881" s="41">
        <v>5399</v>
      </c>
      <c r="E1881" s="41">
        <v>5403.5</v>
      </c>
      <c r="F1881" s="41">
        <v>5393</v>
      </c>
      <c r="G1881" s="41">
        <v>5401</v>
      </c>
      <c r="H1881" s="41">
        <v>2500039250</v>
      </c>
      <c r="I1881" s="42">
        <v>9260</v>
      </c>
    </row>
    <row r="1882" spans="1:9" x14ac:dyDescent="0.25">
      <c r="A1882" t="s">
        <v>9</v>
      </c>
      <c r="B1882" s="39">
        <v>46034</v>
      </c>
      <c r="C1882" s="40">
        <v>0.45833333333333331</v>
      </c>
      <c r="D1882" s="41">
        <v>5406</v>
      </c>
      <c r="E1882" s="41">
        <v>5413</v>
      </c>
      <c r="F1882" s="41">
        <v>5396.5</v>
      </c>
      <c r="G1882" s="41">
        <v>5399</v>
      </c>
      <c r="H1882" s="41">
        <v>3210240125</v>
      </c>
      <c r="I1882" s="42">
        <v>11880</v>
      </c>
    </row>
    <row r="1883" spans="1:9" x14ac:dyDescent="0.25">
      <c r="A1883" t="s">
        <v>9</v>
      </c>
      <c r="B1883" s="39">
        <v>46034</v>
      </c>
      <c r="C1883" s="40">
        <v>0.4375</v>
      </c>
      <c r="D1883" s="41">
        <v>5395</v>
      </c>
      <c r="E1883" s="41">
        <v>5410.5</v>
      </c>
      <c r="F1883" s="41">
        <v>5393.5</v>
      </c>
      <c r="G1883" s="41">
        <v>5405.5</v>
      </c>
      <c r="H1883" s="41">
        <v>3938570625</v>
      </c>
      <c r="I1883" s="42">
        <v>14575</v>
      </c>
    </row>
    <row r="1884" spans="1:9" x14ac:dyDescent="0.25">
      <c r="A1884" t="s">
        <v>9</v>
      </c>
      <c r="B1884" s="39">
        <v>46034</v>
      </c>
      <c r="C1884" s="40">
        <v>0.41666666666666669</v>
      </c>
      <c r="D1884" s="41">
        <v>5407.5</v>
      </c>
      <c r="E1884" s="41">
        <v>5412</v>
      </c>
      <c r="F1884" s="41">
        <v>5388</v>
      </c>
      <c r="G1884" s="41">
        <v>5396</v>
      </c>
      <c r="H1884" s="41">
        <v>6661679875</v>
      </c>
      <c r="I1884" s="42">
        <v>24680</v>
      </c>
    </row>
    <row r="1885" spans="1:9" x14ac:dyDescent="0.25">
      <c r="A1885" t="s">
        <v>9</v>
      </c>
      <c r="B1885" s="39">
        <v>46034</v>
      </c>
      <c r="C1885" s="40">
        <v>0.39583333333333331</v>
      </c>
      <c r="D1885" s="41">
        <v>5385.5</v>
      </c>
      <c r="E1885" s="41">
        <v>5408.5</v>
      </c>
      <c r="F1885" s="41">
        <v>5381</v>
      </c>
      <c r="G1885" s="41">
        <v>5408</v>
      </c>
      <c r="H1885" s="41">
        <v>1970545500</v>
      </c>
      <c r="I1885" s="42">
        <v>7310</v>
      </c>
    </row>
    <row r="1886" spans="1:9" x14ac:dyDescent="0.25">
      <c r="A1886" t="s">
        <v>9</v>
      </c>
      <c r="B1886" s="39">
        <v>46034</v>
      </c>
      <c r="C1886" s="40">
        <v>0.375</v>
      </c>
      <c r="D1886" s="41">
        <v>5389</v>
      </c>
      <c r="E1886" s="41">
        <v>5389</v>
      </c>
      <c r="F1886" s="41">
        <v>5377.5</v>
      </c>
      <c r="G1886" s="41">
        <v>5386.5</v>
      </c>
      <c r="H1886" s="41">
        <v>2016059250</v>
      </c>
      <c r="I1886" s="42">
        <v>7490</v>
      </c>
    </row>
    <row r="1887" spans="1:9" x14ac:dyDescent="0.25">
      <c r="A1887" t="s">
        <v>9</v>
      </c>
      <c r="B1887" s="39">
        <v>46031</v>
      </c>
      <c r="C1887" s="40">
        <v>0.75</v>
      </c>
      <c r="D1887" s="41">
        <v>5395.5</v>
      </c>
      <c r="E1887" s="41">
        <v>5403</v>
      </c>
      <c r="F1887" s="41">
        <v>5393.5</v>
      </c>
      <c r="G1887" s="41">
        <v>5402</v>
      </c>
      <c r="H1887" s="41">
        <v>1306236125</v>
      </c>
      <c r="I1887" s="42">
        <v>4840</v>
      </c>
    </row>
    <row r="1888" spans="1:9" x14ac:dyDescent="0.25">
      <c r="A1888" t="s">
        <v>9</v>
      </c>
      <c r="B1888" s="39">
        <v>46031</v>
      </c>
      <c r="C1888" s="40">
        <v>0.72916666666666663</v>
      </c>
      <c r="D1888" s="41">
        <v>5393</v>
      </c>
      <c r="E1888" s="41">
        <v>5396</v>
      </c>
      <c r="F1888" s="41">
        <v>5391</v>
      </c>
      <c r="G1888" s="41">
        <v>5396</v>
      </c>
      <c r="H1888" s="41">
        <v>671516375</v>
      </c>
      <c r="I1888" s="42">
        <v>2490</v>
      </c>
    </row>
    <row r="1889" spans="1:9" x14ac:dyDescent="0.25">
      <c r="A1889" t="s">
        <v>9</v>
      </c>
      <c r="B1889" s="39">
        <v>46031</v>
      </c>
      <c r="C1889" s="40">
        <v>0.70833333333333337</v>
      </c>
      <c r="D1889" s="41">
        <v>5394.5</v>
      </c>
      <c r="E1889" s="41">
        <v>5394.5</v>
      </c>
      <c r="F1889" s="41">
        <v>5391.5</v>
      </c>
      <c r="G1889" s="41">
        <v>5392.5</v>
      </c>
      <c r="H1889" s="41">
        <v>668752000</v>
      </c>
      <c r="I1889" s="42">
        <v>2480</v>
      </c>
    </row>
    <row r="1890" spans="1:9" x14ac:dyDescent="0.25">
      <c r="A1890" t="s">
        <v>9</v>
      </c>
      <c r="B1890" s="39">
        <v>46031</v>
      </c>
      <c r="C1890" s="40">
        <v>0.6875</v>
      </c>
      <c r="D1890" s="41">
        <v>5397</v>
      </c>
      <c r="E1890" s="41">
        <v>5397.5</v>
      </c>
      <c r="F1890" s="41">
        <v>5393.5</v>
      </c>
      <c r="G1890" s="41">
        <v>5395</v>
      </c>
      <c r="H1890" s="41">
        <v>2598107250</v>
      </c>
      <c r="I1890" s="42">
        <v>9630</v>
      </c>
    </row>
    <row r="1891" spans="1:9" x14ac:dyDescent="0.25">
      <c r="A1891" t="s">
        <v>9</v>
      </c>
      <c r="B1891" s="39">
        <v>46031</v>
      </c>
      <c r="C1891" s="40">
        <v>0.66666666666666663</v>
      </c>
      <c r="D1891" s="41">
        <v>5394.5</v>
      </c>
      <c r="E1891" s="41">
        <v>5398.5</v>
      </c>
      <c r="F1891" s="41">
        <v>5394</v>
      </c>
      <c r="G1891" s="41">
        <v>5396</v>
      </c>
      <c r="H1891" s="41">
        <v>7232270250</v>
      </c>
      <c r="I1891" s="42">
        <v>26805</v>
      </c>
    </row>
    <row r="1892" spans="1:9" x14ac:dyDescent="0.25">
      <c r="A1892" t="s">
        <v>9</v>
      </c>
      <c r="B1892" s="39">
        <v>46031</v>
      </c>
      <c r="C1892" s="40">
        <v>0.64583333333333337</v>
      </c>
      <c r="D1892" s="41">
        <v>5394.5</v>
      </c>
      <c r="E1892" s="41">
        <v>5394.5</v>
      </c>
      <c r="F1892" s="41">
        <v>5392</v>
      </c>
      <c r="G1892" s="41">
        <v>5394</v>
      </c>
      <c r="H1892" s="41">
        <v>1655716250</v>
      </c>
      <c r="I1892" s="42">
        <v>6140</v>
      </c>
    </row>
    <row r="1893" spans="1:9" x14ac:dyDescent="0.25">
      <c r="A1893" t="s">
        <v>9</v>
      </c>
      <c r="B1893" s="39">
        <v>46031</v>
      </c>
      <c r="C1893" s="40">
        <v>0.625</v>
      </c>
      <c r="D1893" s="41">
        <v>5395</v>
      </c>
      <c r="E1893" s="41">
        <v>5397</v>
      </c>
      <c r="F1893" s="41">
        <v>5391</v>
      </c>
      <c r="G1893" s="41">
        <v>5394</v>
      </c>
      <c r="H1893" s="41">
        <v>2623900375</v>
      </c>
      <c r="I1893" s="42">
        <v>9730</v>
      </c>
    </row>
    <row r="1894" spans="1:9" x14ac:dyDescent="0.25">
      <c r="A1894" t="s">
        <v>9</v>
      </c>
      <c r="B1894" s="39">
        <v>46031</v>
      </c>
      <c r="C1894" s="40">
        <v>0.60416666666666663</v>
      </c>
      <c r="D1894" s="41">
        <v>5389.5</v>
      </c>
      <c r="E1894" s="41">
        <v>5396</v>
      </c>
      <c r="F1894" s="41">
        <v>5387</v>
      </c>
      <c r="G1894" s="41">
        <v>5395</v>
      </c>
      <c r="H1894" s="41">
        <v>3754933125</v>
      </c>
      <c r="I1894" s="42">
        <v>13930</v>
      </c>
    </row>
    <row r="1895" spans="1:9" x14ac:dyDescent="0.25">
      <c r="A1895" t="s">
        <v>9</v>
      </c>
      <c r="B1895" s="39">
        <v>46031</v>
      </c>
      <c r="C1895" s="40">
        <v>0.58333333333333337</v>
      </c>
      <c r="D1895" s="41">
        <v>5383.5</v>
      </c>
      <c r="E1895" s="41">
        <v>5390.5</v>
      </c>
      <c r="F1895" s="41">
        <v>5382.5</v>
      </c>
      <c r="G1895" s="41">
        <v>5389.5</v>
      </c>
      <c r="H1895" s="41">
        <v>1023406375</v>
      </c>
      <c r="I1895" s="42">
        <v>3800</v>
      </c>
    </row>
    <row r="1896" spans="1:9" x14ac:dyDescent="0.25">
      <c r="A1896" t="s">
        <v>9</v>
      </c>
      <c r="B1896" s="39">
        <v>46031</v>
      </c>
      <c r="C1896" s="40">
        <v>0.5625</v>
      </c>
      <c r="D1896" s="41">
        <v>5387</v>
      </c>
      <c r="E1896" s="41">
        <v>5390.5</v>
      </c>
      <c r="F1896" s="41">
        <v>5383</v>
      </c>
      <c r="G1896" s="41">
        <v>5384</v>
      </c>
      <c r="H1896" s="41">
        <v>1564312625</v>
      </c>
      <c r="I1896" s="42">
        <v>5810</v>
      </c>
    </row>
    <row r="1897" spans="1:9" x14ac:dyDescent="0.25">
      <c r="A1897" t="s">
        <v>9</v>
      </c>
      <c r="B1897" s="39">
        <v>46031</v>
      </c>
      <c r="C1897" s="40">
        <v>0.54166666666666663</v>
      </c>
      <c r="D1897" s="41">
        <v>5384.5</v>
      </c>
      <c r="E1897" s="41">
        <v>5389</v>
      </c>
      <c r="F1897" s="41">
        <v>5382.5</v>
      </c>
      <c r="G1897" s="41">
        <v>5387</v>
      </c>
      <c r="H1897" s="41">
        <v>3213379875</v>
      </c>
      <c r="I1897" s="42">
        <v>11935</v>
      </c>
    </row>
    <row r="1898" spans="1:9" x14ac:dyDescent="0.25">
      <c r="A1898" t="s">
        <v>9</v>
      </c>
      <c r="B1898" s="39">
        <v>46031</v>
      </c>
      <c r="C1898" s="40">
        <v>0.52083333333333337</v>
      </c>
      <c r="D1898" s="41">
        <v>5391.5</v>
      </c>
      <c r="E1898" s="41">
        <v>5392.5</v>
      </c>
      <c r="F1898" s="41">
        <v>5383.5</v>
      </c>
      <c r="G1898" s="41">
        <v>5383.5</v>
      </c>
      <c r="H1898" s="41">
        <v>2206547750</v>
      </c>
      <c r="I1898" s="42">
        <v>8195</v>
      </c>
    </row>
    <row r="1899" spans="1:9" x14ac:dyDescent="0.25">
      <c r="A1899" t="s">
        <v>9</v>
      </c>
      <c r="B1899" s="39">
        <v>46031</v>
      </c>
      <c r="C1899" s="40">
        <v>0.5</v>
      </c>
      <c r="D1899" s="41">
        <v>5393.5</v>
      </c>
      <c r="E1899" s="41">
        <v>5400</v>
      </c>
      <c r="F1899" s="41">
        <v>5387.5</v>
      </c>
      <c r="G1899" s="41">
        <v>5391.5</v>
      </c>
      <c r="H1899" s="41">
        <v>3537489500</v>
      </c>
      <c r="I1899" s="42">
        <v>13115</v>
      </c>
    </row>
    <row r="1900" spans="1:9" x14ac:dyDescent="0.25">
      <c r="A1900" t="s">
        <v>9</v>
      </c>
      <c r="B1900" s="39">
        <v>46031</v>
      </c>
      <c r="C1900" s="40">
        <v>0.47916666666666669</v>
      </c>
      <c r="D1900" s="41">
        <v>5397</v>
      </c>
      <c r="E1900" s="41">
        <v>5398</v>
      </c>
      <c r="F1900" s="41">
        <v>5389</v>
      </c>
      <c r="G1900" s="41">
        <v>5393.5</v>
      </c>
      <c r="H1900" s="41">
        <v>5031700500</v>
      </c>
      <c r="I1900" s="42">
        <v>18660</v>
      </c>
    </row>
    <row r="1901" spans="1:9" x14ac:dyDescent="0.25">
      <c r="A1901" t="s">
        <v>9</v>
      </c>
      <c r="B1901" s="39">
        <v>46031</v>
      </c>
      <c r="C1901" s="40">
        <v>0.45833333333333331</v>
      </c>
      <c r="D1901" s="41">
        <v>5396</v>
      </c>
      <c r="E1901" s="41">
        <v>5402</v>
      </c>
      <c r="F1901" s="41">
        <v>5393.5</v>
      </c>
      <c r="G1901" s="41">
        <v>5398</v>
      </c>
      <c r="H1901" s="41">
        <v>4431574125</v>
      </c>
      <c r="I1901" s="42">
        <v>16420</v>
      </c>
    </row>
    <row r="1902" spans="1:9" x14ac:dyDescent="0.25">
      <c r="A1902" t="s">
        <v>9</v>
      </c>
      <c r="B1902" s="39">
        <v>46031</v>
      </c>
      <c r="C1902" s="40">
        <v>0.4375</v>
      </c>
      <c r="D1902" s="41">
        <v>5396.5</v>
      </c>
      <c r="E1902" s="41">
        <v>5414.5</v>
      </c>
      <c r="F1902" s="41">
        <v>5384.5</v>
      </c>
      <c r="G1902" s="41">
        <v>5397</v>
      </c>
      <c r="H1902" s="41">
        <v>8354940125</v>
      </c>
      <c r="I1902" s="42">
        <v>30985</v>
      </c>
    </row>
    <row r="1903" spans="1:9" x14ac:dyDescent="0.25">
      <c r="A1903" t="s">
        <v>9</v>
      </c>
      <c r="B1903" s="39">
        <v>46031</v>
      </c>
      <c r="C1903" s="40">
        <v>0.41666666666666669</v>
      </c>
      <c r="D1903" s="41">
        <v>5416</v>
      </c>
      <c r="E1903" s="41">
        <v>5424</v>
      </c>
      <c r="F1903" s="41">
        <v>5392.5</v>
      </c>
      <c r="G1903" s="41">
        <v>5395.5</v>
      </c>
      <c r="H1903" s="41">
        <v>7946140375</v>
      </c>
      <c r="I1903" s="42">
        <v>29365</v>
      </c>
    </row>
    <row r="1904" spans="1:9" x14ac:dyDescent="0.25">
      <c r="A1904" t="s">
        <v>9</v>
      </c>
      <c r="B1904" s="39">
        <v>46031</v>
      </c>
      <c r="C1904" s="40">
        <v>0.39583333333333331</v>
      </c>
      <c r="D1904" s="41">
        <v>5417</v>
      </c>
      <c r="E1904" s="41">
        <v>5421.5</v>
      </c>
      <c r="F1904" s="41">
        <v>5411</v>
      </c>
      <c r="G1904" s="41">
        <v>5416</v>
      </c>
      <c r="H1904" s="41">
        <v>2622347625</v>
      </c>
      <c r="I1904" s="42">
        <v>9680</v>
      </c>
    </row>
    <row r="1905" spans="1:9" x14ac:dyDescent="0.25">
      <c r="A1905" t="s">
        <v>9</v>
      </c>
      <c r="B1905" s="39">
        <v>46031</v>
      </c>
      <c r="C1905" s="40">
        <v>0.375</v>
      </c>
      <c r="D1905" s="41">
        <v>5429</v>
      </c>
      <c r="E1905" s="41">
        <v>5429</v>
      </c>
      <c r="F1905" s="41">
        <v>5413</v>
      </c>
      <c r="G1905" s="41">
        <v>5417.5</v>
      </c>
      <c r="H1905" s="41">
        <v>1909378625</v>
      </c>
      <c r="I1905" s="42">
        <v>7045</v>
      </c>
    </row>
    <row r="1906" spans="1:9" x14ac:dyDescent="0.25">
      <c r="A1906" t="s">
        <v>9</v>
      </c>
      <c r="B1906" s="39">
        <v>46030</v>
      </c>
      <c r="C1906" s="40">
        <v>0.75</v>
      </c>
      <c r="D1906" s="41">
        <v>5418.5</v>
      </c>
      <c r="E1906" s="41">
        <v>5420</v>
      </c>
      <c r="F1906" s="41">
        <v>5417</v>
      </c>
      <c r="G1906" s="41">
        <v>5420</v>
      </c>
      <c r="H1906" s="41">
        <v>1010583250</v>
      </c>
      <c r="I1906" s="42">
        <v>3730</v>
      </c>
    </row>
    <row r="1907" spans="1:9" x14ac:dyDescent="0.25">
      <c r="A1907" t="s">
        <v>9</v>
      </c>
      <c r="B1907" s="39">
        <v>46030</v>
      </c>
      <c r="C1907" s="40">
        <v>0.72916666666666663</v>
      </c>
      <c r="D1907" s="41">
        <v>5420.5</v>
      </c>
      <c r="E1907" s="41">
        <v>5422</v>
      </c>
      <c r="F1907" s="41">
        <v>5417.5</v>
      </c>
      <c r="G1907" s="41">
        <v>5418</v>
      </c>
      <c r="H1907" s="41">
        <v>600294500</v>
      </c>
      <c r="I1907" s="42">
        <v>2215</v>
      </c>
    </row>
    <row r="1908" spans="1:9" x14ac:dyDescent="0.25">
      <c r="A1908" t="s">
        <v>9</v>
      </c>
      <c r="B1908" s="39">
        <v>46030</v>
      </c>
      <c r="C1908" s="40">
        <v>0.70833333333333337</v>
      </c>
      <c r="D1908" s="41">
        <v>5421</v>
      </c>
      <c r="E1908" s="41">
        <v>5422</v>
      </c>
      <c r="F1908" s="41">
        <v>5419.5</v>
      </c>
      <c r="G1908" s="41">
        <v>5421</v>
      </c>
      <c r="H1908" s="41">
        <v>3318971250</v>
      </c>
      <c r="I1908" s="42">
        <v>12245</v>
      </c>
    </row>
    <row r="1909" spans="1:9" x14ac:dyDescent="0.25">
      <c r="A1909" t="s">
        <v>9</v>
      </c>
      <c r="B1909" s="39">
        <v>46030</v>
      </c>
      <c r="C1909" s="40">
        <v>0.6875</v>
      </c>
      <c r="D1909" s="41">
        <v>5423</v>
      </c>
      <c r="E1909" s="41">
        <v>5423.5</v>
      </c>
      <c r="F1909" s="41">
        <v>5419.5</v>
      </c>
      <c r="G1909" s="41">
        <v>5420.5</v>
      </c>
      <c r="H1909" s="41">
        <v>792873500</v>
      </c>
      <c r="I1909" s="42">
        <v>2925</v>
      </c>
    </row>
    <row r="1910" spans="1:9" x14ac:dyDescent="0.25">
      <c r="A1910" t="s">
        <v>9</v>
      </c>
      <c r="B1910" s="39">
        <v>46030</v>
      </c>
      <c r="C1910" s="40">
        <v>0.66666666666666663</v>
      </c>
      <c r="D1910" s="41">
        <v>5425.5</v>
      </c>
      <c r="E1910" s="41">
        <v>5427</v>
      </c>
      <c r="F1910" s="41">
        <v>5421.5</v>
      </c>
      <c r="G1910" s="41">
        <v>5422.5</v>
      </c>
      <c r="H1910" s="41">
        <v>1433362250</v>
      </c>
      <c r="I1910" s="42">
        <v>5285</v>
      </c>
    </row>
    <row r="1911" spans="1:9" x14ac:dyDescent="0.25">
      <c r="A1911" t="s">
        <v>9</v>
      </c>
      <c r="B1911" s="39">
        <v>46030</v>
      </c>
      <c r="C1911" s="40">
        <v>0.64583333333333337</v>
      </c>
      <c r="D1911" s="41">
        <v>5422</v>
      </c>
      <c r="E1911" s="41">
        <v>5426</v>
      </c>
      <c r="F1911" s="41">
        <v>5419.5</v>
      </c>
      <c r="G1911" s="41">
        <v>5425.5</v>
      </c>
      <c r="H1911" s="41">
        <v>1640671875</v>
      </c>
      <c r="I1911" s="42">
        <v>6050</v>
      </c>
    </row>
    <row r="1912" spans="1:9" x14ac:dyDescent="0.25">
      <c r="A1912" t="s">
        <v>9</v>
      </c>
      <c r="B1912" s="39">
        <v>46030</v>
      </c>
      <c r="C1912" s="40">
        <v>0.625</v>
      </c>
      <c r="D1912" s="41">
        <v>5417</v>
      </c>
      <c r="E1912" s="41">
        <v>5423.5</v>
      </c>
      <c r="F1912" s="41">
        <v>5416.5</v>
      </c>
      <c r="G1912" s="41">
        <v>5422</v>
      </c>
      <c r="H1912" s="41">
        <v>2744992750</v>
      </c>
      <c r="I1912" s="42">
        <v>10130</v>
      </c>
    </row>
    <row r="1913" spans="1:9" x14ac:dyDescent="0.25">
      <c r="A1913" t="s">
        <v>9</v>
      </c>
      <c r="B1913" s="39">
        <v>46030</v>
      </c>
      <c r="C1913" s="40">
        <v>0.60416666666666663</v>
      </c>
      <c r="D1913" s="41">
        <v>5419.5</v>
      </c>
      <c r="E1913" s="41">
        <v>5420</v>
      </c>
      <c r="F1913" s="41">
        <v>5413.5</v>
      </c>
      <c r="G1913" s="41">
        <v>5417</v>
      </c>
      <c r="H1913" s="41">
        <v>5659579250</v>
      </c>
      <c r="I1913" s="42">
        <v>20895</v>
      </c>
    </row>
    <row r="1914" spans="1:9" x14ac:dyDescent="0.25">
      <c r="A1914" t="s">
        <v>9</v>
      </c>
      <c r="B1914" s="39">
        <v>46030</v>
      </c>
      <c r="C1914" s="40">
        <v>0.58333333333333337</v>
      </c>
      <c r="D1914" s="41">
        <v>5417</v>
      </c>
      <c r="E1914" s="41">
        <v>5420.5</v>
      </c>
      <c r="F1914" s="41">
        <v>5414.5</v>
      </c>
      <c r="G1914" s="41">
        <v>5419.5</v>
      </c>
      <c r="H1914" s="41">
        <v>2478536375</v>
      </c>
      <c r="I1914" s="42">
        <v>9150</v>
      </c>
    </row>
    <row r="1915" spans="1:9" x14ac:dyDescent="0.25">
      <c r="A1915" t="s">
        <v>9</v>
      </c>
      <c r="B1915" s="39">
        <v>46030</v>
      </c>
      <c r="C1915" s="40">
        <v>0.5625</v>
      </c>
      <c r="D1915" s="41">
        <v>5422.5</v>
      </c>
      <c r="E1915" s="41">
        <v>5423.5</v>
      </c>
      <c r="F1915" s="41">
        <v>5414.5</v>
      </c>
      <c r="G1915" s="41">
        <v>5417</v>
      </c>
      <c r="H1915" s="41">
        <v>4297342250</v>
      </c>
      <c r="I1915" s="42">
        <v>15865</v>
      </c>
    </row>
    <row r="1916" spans="1:9" x14ac:dyDescent="0.25">
      <c r="A1916" t="s">
        <v>9</v>
      </c>
      <c r="B1916" s="39">
        <v>46030</v>
      </c>
      <c r="C1916" s="40">
        <v>0.54166666666666663</v>
      </c>
      <c r="D1916" s="41">
        <v>5421</v>
      </c>
      <c r="E1916" s="41">
        <v>5427.5</v>
      </c>
      <c r="F1916" s="41">
        <v>5418.5</v>
      </c>
      <c r="G1916" s="41">
        <v>5422.5</v>
      </c>
      <c r="H1916" s="41">
        <v>1863779625</v>
      </c>
      <c r="I1916" s="42">
        <v>6875</v>
      </c>
    </row>
    <row r="1917" spans="1:9" x14ac:dyDescent="0.25">
      <c r="A1917" t="s">
        <v>9</v>
      </c>
      <c r="B1917" s="39">
        <v>46030</v>
      </c>
      <c r="C1917" s="40">
        <v>0.52083333333333337</v>
      </c>
      <c r="D1917" s="41">
        <v>5425</v>
      </c>
      <c r="E1917" s="41">
        <v>5428.5</v>
      </c>
      <c r="F1917" s="41">
        <v>5420</v>
      </c>
      <c r="G1917" s="41">
        <v>5420</v>
      </c>
      <c r="H1917" s="41">
        <v>1370990125</v>
      </c>
      <c r="I1917" s="42">
        <v>5055</v>
      </c>
    </row>
    <row r="1918" spans="1:9" x14ac:dyDescent="0.25">
      <c r="A1918" t="s">
        <v>9</v>
      </c>
      <c r="B1918" s="39">
        <v>46030</v>
      </c>
      <c r="C1918" s="40">
        <v>0.5</v>
      </c>
      <c r="D1918" s="41">
        <v>5418.5</v>
      </c>
      <c r="E1918" s="41">
        <v>5424.5</v>
      </c>
      <c r="F1918" s="41">
        <v>5412.5</v>
      </c>
      <c r="G1918" s="41">
        <v>5424.5</v>
      </c>
      <c r="H1918" s="41">
        <v>1739095125</v>
      </c>
      <c r="I1918" s="42">
        <v>6420</v>
      </c>
    </row>
    <row r="1919" spans="1:9" x14ac:dyDescent="0.25">
      <c r="A1919" t="s">
        <v>9</v>
      </c>
      <c r="B1919" s="39">
        <v>46030</v>
      </c>
      <c r="C1919" s="40">
        <v>0.47916666666666669</v>
      </c>
      <c r="D1919" s="41">
        <v>5422.5</v>
      </c>
      <c r="E1919" s="41">
        <v>5424</v>
      </c>
      <c r="F1919" s="41">
        <v>5414</v>
      </c>
      <c r="G1919" s="41">
        <v>5418.5</v>
      </c>
      <c r="H1919" s="41">
        <v>2280245250</v>
      </c>
      <c r="I1919" s="42">
        <v>8415</v>
      </c>
    </row>
    <row r="1920" spans="1:9" x14ac:dyDescent="0.25">
      <c r="A1920" t="s">
        <v>9</v>
      </c>
      <c r="B1920" s="39">
        <v>46030</v>
      </c>
      <c r="C1920" s="40">
        <v>0.45833333333333331</v>
      </c>
      <c r="D1920" s="41">
        <v>5419</v>
      </c>
      <c r="E1920" s="41">
        <v>5428</v>
      </c>
      <c r="F1920" s="41">
        <v>5417</v>
      </c>
      <c r="G1920" s="41">
        <v>5422</v>
      </c>
      <c r="H1920" s="41">
        <v>11076328500</v>
      </c>
      <c r="I1920" s="42">
        <v>40845</v>
      </c>
    </row>
    <row r="1921" spans="1:9" x14ac:dyDescent="0.25">
      <c r="A1921" t="s">
        <v>9</v>
      </c>
      <c r="B1921" s="39">
        <v>46030</v>
      </c>
      <c r="C1921" s="40">
        <v>0.4375</v>
      </c>
      <c r="D1921" s="41">
        <v>5415</v>
      </c>
      <c r="E1921" s="41">
        <v>5423</v>
      </c>
      <c r="F1921" s="41">
        <v>5413</v>
      </c>
      <c r="G1921" s="41">
        <v>5418</v>
      </c>
      <c r="H1921" s="41">
        <v>2686257250</v>
      </c>
      <c r="I1921" s="42">
        <v>9915</v>
      </c>
    </row>
    <row r="1922" spans="1:9" x14ac:dyDescent="0.25">
      <c r="A1922" t="s">
        <v>9</v>
      </c>
      <c r="B1922" s="39">
        <v>46030</v>
      </c>
      <c r="C1922" s="40">
        <v>0.41666666666666669</v>
      </c>
      <c r="D1922" s="41">
        <v>5412.5</v>
      </c>
      <c r="E1922" s="41">
        <v>5417</v>
      </c>
      <c r="F1922" s="41">
        <v>5406.5</v>
      </c>
      <c r="G1922" s="41">
        <v>5415</v>
      </c>
      <c r="H1922" s="41">
        <v>4898599000</v>
      </c>
      <c r="I1922" s="42">
        <v>18100</v>
      </c>
    </row>
    <row r="1923" spans="1:9" x14ac:dyDescent="0.25">
      <c r="A1923" t="s">
        <v>9</v>
      </c>
      <c r="B1923" s="39">
        <v>46030</v>
      </c>
      <c r="C1923" s="40">
        <v>0.39583333333333331</v>
      </c>
      <c r="D1923" s="41">
        <v>5418.5</v>
      </c>
      <c r="E1923" s="41">
        <v>5421</v>
      </c>
      <c r="F1923" s="41">
        <v>5410</v>
      </c>
      <c r="G1923" s="41">
        <v>5412.5</v>
      </c>
      <c r="H1923" s="41">
        <v>2024955750</v>
      </c>
      <c r="I1923" s="42">
        <v>7480</v>
      </c>
    </row>
    <row r="1924" spans="1:9" x14ac:dyDescent="0.25">
      <c r="A1924" t="s">
        <v>9</v>
      </c>
      <c r="B1924" s="39">
        <v>46030</v>
      </c>
      <c r="C1924" s="40">
        <v>0.375</v>
      </c>
      <c r="D1924" s="41">
        <v>5422.5</v>
      </c>
      <c r="E1924" s="41">
        <v>5427.5</v>
      </c>
      <c r="F1924" s="41">
        <v>5418</v>
      </c>
      <c r="G1924" s="41">
        <v>5418.5</v>
      </c>
      <c r="H1924" s="41">
        <v>1540244375</v>
      </c>
      <c r="I1924" s="42">
        <v>5680</v>
      </c>
    </row>
    <row r="1925" spans="1:9" x14ac:dyDescent="0.25">
      <c r="A1925" t="s">
        <v>9</v>
      </c>
      <c r="B1925" s="39">
        <v>46029</v>
      </c>
      <c r="C1925" s="40">
        <v>0.75</v>
      </c>
      <c r="D1925" s="41">
        <v>5420.5</v>
      </c>
      <c r="E1925" s="41">
        <v>5424</v>
      </c>
      <c r="F1925" s="41">
        <v>5418.5</v>
      </c>
      <c r="G1925" s="41">
        <v>5421</v>
      </c>
      <c r="H1925" s="41">
        <v>1133022125</v>
      </c>
      <c r="I1925" s="42">
        <v>4180</v>
      </c>
    </row>
    <row r="1926" spans="1:9" x14ac:dyDescent="0.25">
      <c r="A1926" t="s">
        <v>9</v>
      </c>
      <c r="B1926" s="39">
        <v>46029</v>
      </c>
      <c r="C1926" s="40">
        <v>0.72916666666666663</v>
      </c>
      <c r="D1926" s="41">
        <v>5421</v>
      </c>
      <c r="E1926" s="41">
        <v>5422.5</v>
      </c>
      <c r="F1926" s="41">
        <v>5419.5</v>
      </c>
      <c r="G1926" s="41">
        <v>5420.5</v>
      </c>
      <c r="H1926" s="41">
        <v>2782138000</v>
      </c>
      <c r="I1926" s="42">
        <v>10265</v>
      </c>
    </row>
    <row r="1927" spans="1:9" x14ac:dyDescent="0.25">
      <c r="A1927" t="s">
        <v>9</v>
      </c>
      <c r="B1927" s="39">
        <v>46029</v>
      </c>
      <c r="C1927" s="40">
        <v>0.70833333333333337</v>
      </c>
      <c r="D1927" s="41">
        <v>5418.5</v>
      </c>
      <c r="E1927" s="41">
        <v>5422</v>
      </c>
      <c r="F1927" s="41">
        <v>5418</v>
      </c>
      <c r="G1927" s="41">
        <v>5421.5</v>
      </c>
      <c r="H1927" s="41">
        <v>1014790125</v>
      </c>
      <c r="I1927" s="42">
        <v>3745</v>
      </c>
    </row>
    <row r="1928" spans="1:9" x14ac:dyDescent="0.25">
      <c r="A1928" t="s">
        <v>9</v>
      </c>
      <c r="B1928" s="39">
        <v>46029</v>
      </c>
      <c r="C1928" s="40">
        <v>0.6875</v>
      </c>
      <c r="D1928" s="41">
        <v>5420.5</v>
      </c>
      <c r="E1928" s="41">
        <v>5422.5</v>
      </c>
      <c r="F1928" s="41">
        <v>5417.5</v>
      </c>
      <c r="G1928" s="41">
        <v>5418.5</v>
      </c>
      <c r="H1928" s="41">
        <v>861770375</v>
      </c>
      <c r="I1928" s="42">
        <v>3180</v>
      </c>
    </row>
    <row r="1929" spans="1:9" x14ac:dyDescent="0.25">
      <c r="A1929" t="s">
        <v>9</v>
      </c>
      <c r="B1929" s="39">
        <v>46029</v>
      </c>
      <c r="C1929" s="40">
        <v>0.66666666666666663</v>
      </c>
      <c r="D1929" s="41">
        <v>5418</v>
      </c>
      <c r="E1929" s="41">
        <v>5424</v>
      </c>
      <c r="F1929" s="41">
        <v>5418</v>
      </c>
      <c r="G1929" s="41">
        <v>5421</v>
      </c>
      <c r="H1929" s="41">
        <v>4547874000</v>
      </c>
      <c r="I1929" s="42">
        <v>16780</v>
      </c>
    </row>
    <row r="1930" spans="1:9" x14ac:dyDescent="0.25">
      <c r="A1930" t="s">
        <v>9</v>
      </c>
      <c r="B1930" s="39">
        <v>46029</v>
      </c>
      <c r="C1930" s="40">
        <v>0.64583333333333337</v>
      </c>
      <c r="D1930" s="41">
        <v>5422.5</v>
      </c>
      <c r="E1930" s="41">
        <v>5423</v>
      </c>
      <c r="F1930" s="41">
        <v>5415</v>
      </c>
      <c r="G1930" s="41">
        <v>5418.5</v>
      </c>
      <c r="H1930" s="41">
        <v>1816354375</v>
      </c>
      <c r="I1930" s="42">
        <v>6705</v>
      </c>
    </row>
    <row r="1931" spans="1:9" x14ac:dyDescent="0.25">
      <c r="A1931" t="s">
        <v>9</v>
      </c>
      <c r="B1931" s="39">
        <v>46029</v>
      </c>
      <c r="C1931" s="40">
        <v>0.625</v>
      </c>
      <c r="D1931" s="41">
        <v>5428</v>
      </c>
      <c r="E1931" s="41">
        <v>5428.5</v>
      </c>
      <c r="F1931" s="41">
        <v>5420</v>
      </c>
      <c r="G1931" s="41">
        <v>5423</v>
      </c>
      <c r="H1931" s="41">
        <v>1983422250</v>
      </c>
      <c r="I1931" s="42">
        <v>7315</v>
      </c>
    </row>
    <row r="1932" spans="1:9" x14ac:dyDescent="0.25">
      <c r="A1932" t="s">
        <v>9</v>
      </c>
      <c r="B1932" s="39">
        <v>46029</v>
      </c>
      <c r="C1932" s="40">
        <v>0.60416666666666663</v>
      </c>
      <c r="D1932" s="41">
        <v>5424</v>
      </c>
      <c r="E1932" s="41">
        <v>5430.5</v>
      </c>
      <c r="F1932" s="41">
        <v>5423</v>
      </c>
      <c r="G1932" s="41">
        <v>5428</v>
      </c>
      <c r="H1932" s="41">
        <v>1973553750</v>
      </c>
      <c r="I1932" s="42">
        <v>7275</v>
      </c>
    </row>
    <row r="1933" spans="1:9" x14ac:dyDescent="0.25">
      <c r="A1933" t="s">
        <v>9</v>
      </c>
      <c r="B1933" s="39">
        <v>46029</v>
      </c>
      <c r="C1933" s="40">
        <v>0.58333333333333337</v>
      </c>
      <c r="D1933" s="41">
        <v>5423</v>
      </c>
      <c r="E1933" s="41">
        <v>5427</v>
      </c>
      <c r="F1933" s="41">
        <v>5420</v>
      </c>
      <c r="G1933" s="41">
        <v>5423.5</v>
      </c>
      <c r="H1933" s="41">
        <v>1498637625</v>
      </c>
      <c r="I1933" s="42">
        <v>5525</v>
      </c>
    </row>
    <row r="1934" spans="1:9" x14ac:dyDescent="0.25">
      <c r="A1934" t="s">
        <v>9</v>
      </c>
      <c r="B1934" s="39">
        <v>46029</v>
      </c>
      <c r="C1934" s="40">
        <v>0.5625</v>
      </c>
      <c r="D1934" s="41">
        <v>5423.5</v>
      </c>
      <c r="E1934" s="41">
        <v>5427</v>
      </c>
      <c r="F1934" s="41">
        <v>5421</v>
      </c>
      <c r="G1934" s="41">
        <v>5423</v>
      </c>
      <c r="H1934" s="41">
        <v>1422508750</v>
      </c>
      <c r="I1934" s="42">
        <v>5245</v>
      </c>
    </row>
    <row r="1935" spans="1:9" x14ac:dyDescent="0.25">
      <c r="A1935" t="s">
        <v>9</v>
      </c>
      <c r="B1935" s="39">
        <v>46029</v>
      </c>
      <c r="C1935" s="40">
        <v>0.54166666666666663</v>
      </c>
      <c r="D1935" s="41">
        <v>5425</v>
      </c>
      <c r="E1935" s="41">
        <v>5429.5</v>
      </c>
      <c r="F1935" s="41">
        <v>5422.5</v>
      </c>
      <c r="G1935" s="41">
        <v>5424</v>
      </c>
      <c r="H1935" s="41">
        <v>1576566375</v>
      </c>
      <c r="I1935" s="42">
        <v>5810</v>
      </c>
    </row>
    <row r="1936" spans="1:9" x14ac:dyDescent="0.25">
      <c r="A1936" t="s">
        <v>9</v>
      </c>
      <c r="B1936" s="39">
        <v>46029</v>
      </c>
      <c r="C1936" s="40">
        <v>0.52083333333333337</v>
      </c>
      <c r="D1936" s="41">
        <v>5429.5</v>
      </c>
      <c r="E1936" s="41">
        <v>5431.5</v>
      </c>
      <c r="F1936" s="41">
        <v>5424</v>
      </c>
      <c r="G1936" s="41">
        <v>5425.5</v>
      </c>
      <c r="H1936" s="41">
        <v>2055817500</v>
      </c>
      <c r="I1936" s="42">
        <v>7575</v>
      </c>
    </row>
    <row r="1937" spans="1:9" x14ac:dyDescent="0.25">
      <c r="A1937" t="s">
        <v>9</v>
      </c>
      <c r="B1937" s="39">
        <v>46029</v>
      </c>
      <c r="C1937" s="40">
        <v>0.5</v>
      </c>
      <c r="D1937" s="41">
        <v>5422.5</v>
      </c>
      <c r="E1937" s="41">
        <v>5433.5</v>
      </c>
      <c r="F1937" s="41">
        <v>5421</v>
      </c>
      <c r="G1937" s="41">
        <v>5429.5</v>
      </c>
      <c r="H1937" s="41">
        <v>3100616375</v>
      </c>
      <c r="I1937" s="42">
        <v>11425</v>
      </c>
    </row>
    <row r="1938" spans="1:9" x14ac:dyDescent="0.25">
      <c r="A1938" t="s">
        <v>9</v>
      </c>
      <c r="B1938" s="39">
        <v>46029</v>
      </c>
      <c r="C1938" s="40">
        <v>0.47916666666666669</v>
      </c>
      <c r="D1938" s="41">
        <v>5426</v>
      </c>
      <c r="E1938" s="41">
        <v>5432</v>
      </c>
      <c r="F1938" s="41">
        <v>5419.5</v>
      </c>
      <c r="G1938" s="41">
        <v>5422</v>
      </c>
      <c r="H1938" s="41">
        <v>3983968875</v>
      </c>
      <c r="I1938" s="42">
        <v>14685</v>
      </c>
    </row>
    <row r="1939" spans="1:9" x14ac:dyDescent="0.25">
      <c r="A1939" t="s">
        <v>9</v>
      </c>
      <c r="B1939" s="39">
        <v>46029</v>
      </c>
      <c r="C1939" s="40">
        <v>0.45833333333333331</v>
      </c>
      <c r="D1939" s="41">
        <v>5413.5</v>
      </c>
      <c r="E1939" s="41">
        <v>5428.5</v>
      </c>
      <c r="F1939" s="41">
        <v>5410</v>
      </c>
      <c r="G1939" s="41">
        <v>5426</v>
      </c>
      <c r="H1939" s="41">
        <v>3735613625</v>
      </c>
      <c r="I1939" s="42">
        <v>13780</v>
      </c>
    </row>
    <row r="1940" spans="1:9" x14ac:dyDescent="0.25">
      <c r="A1940" t="s">
        <v>9</v>
      </c>
      <c r="B1940" s="39">
        <v>46029</v>
      </c>
      <c r="C1940" s="40">
        <v>0.4375</v>
      </c>
      <c r="D1940" s="41">
        <v>5418</v>
      </c>
      <c r="E1940" s="41">
        <v>5420.5</v>
      </c>
      <c r="F1940" s="41">
        <v>5410.5</v>
      </c>
      <c r="G1940" s="41">
        <v>5414</v>
      </c>
      <c r="H1940" s="41">
        <v>4329001875</v>
      </c>
      <c r="I1940" s="42">
        <v>15990</v>
      </c>
    </row>
    <row r="1941" spans="1:9" x14ac:dyDescent="0.25">
      <c r="A1941" t="s">
        <v>9</v>
      </c>
      <c r="B1941" s="39">
        <v>46029</v>
      </c>
      <c r="C1941" s="40">
        <v>0.41666666666666669</v>
      </c>
      <c r="D1941" s="41">
        <v>5415.5</v>
      </c>
      <c r="E1941" s="41">
        <v>5424</v>
      </c>
      <c r="F1941" s="41">
        <v>5413</v>
      </c>
      <c r="G1941" s="41">
        <v>5417.5</v>
      </c>
      <c r="H1941" s="41">
        <v>3044474125</v>
      </c>
      <c r="I1941" s="42">
        <v>11240</v>
      </c>
    </row>
    <row r="1942" spans="1:9" x14ac:dyDescent="0.25">
      <c r="A1942" t="s">
        <v>9</v>
      </c>
      <c r="B1942" s="39">
        <v>46029</v>
      </c>
      <c r="C1942" s="40">
        <v>0.39583333333333331</v>
      </c>
      <c r="D1942" s="41">
        <v>5412</v>
      </c>
      <c r="E1942" s="41">
        <v>5421</v>
      </c>
      <c r="F1942" s="41">
        <v>5410</v>
      </c>
      <c r="G1942" s="41">
        <v>5414.5</v>
      </c>
      <c r="H1942" s="41">
        <v>4045711125</v>
      </c>
      <c r="I1942" s="42">
        <v>14940</v>
      </c>
    </row>
    <row r="1943" spans="1:9" x14ac:dyDescent="0.25">
      <c r="A1943" t="s">
        <v>9</v>
      </c>
      <c r="B1943" s="39">
        <v>46029</v>
      </c>
      <c r="C1943" s="40">
        <v>0.375</v>
      </c>
      <c r="D1943" s="41">
        <v>5404</v>
      </c>
      <c r="E1943" s="41">
        <v>5418</v>
      </c>
      <c r="F1943" s="41">
        <v>5401.5</v>
      </c>
      <c r="G1943" s="41">
        <v>5413</v>
      </c>
      <c r="H1943" s="41">
        <v>2136182250</v>
      </c>
      <c r="I1943" s="42">
        <v>7895</v>
      </c>
    </row>
    <row r="1944" spans="1:9" x14ac:dyDescent="0.25">
      <c r="A1944" t="s">
        <v>9</v>
      </c>
      <c r="B1944" s="39">
        <v>46028</v>
      </c>
      <c r="C1944" s="40">
        <v>0.75</v>
      </c>
      <c r="D1944" s="41">
        <v>5410</v>
      </c>
      <c r="E1944" s="41">
        <v>5414</v>
      </c>
      <c r="F1944" s="41">
        <v>5409</v>
      </c>
      <c r="G1944" s="41">
        <v>5409.5</v>
      </c>
      <c r="H1944" s="41">
        <v>1969438125</v>
      </c>
      <c r="I1944" s="42">
        <v>7280</v>
      </c>
    </row>
    <row r="1945" spans="1:9" x14ac:dyDescent="0.25">
      <c r="A1945" t="s">
        <v>9</v>
      </c>
      <c r="B1945" s="39">
        <v>46028</v>
      </c>
      <c r="C1945" s="40">
        <v>0.72916666666666663</v>
      </c>
      <c r="D1945" s="41">
        <v>5410</v>
      </c>
      <c r="E1945" s="41">
        <v>5411</v>
      </c>
      <c r="F1945" s="41">
        <v>5406</v>
      </c>
      <c r="G1945" s="41">
        <v>5410</v>
      </c>
      <c r="H1945" s="41">
        <v>1112730500</v>
      </c>
      <c r="I1945" s="42">
        <v>4115</v>
      </c>
    </row>
    <row r="1946" spans="1:9" x14ac:dyDescent="0.25">
      <c r="A1946" t="s">
        <v>9</v>
      </c>
      <c r="B1946" s="39">
        <v>46028</v>
      </c>
      <c r="C1946" s="40">
        <v>0.70833333333333337</v>
      </c>
      <c r="D1946" s="41">
        <v>5416</v>
      </c>
      <c r="E1946" s="41">
        <v>5416</v>
      </c>
      <c r="F1946" s="41">
        <v>5409.5</v>
      </c>
      <c r="G1946" s="41">
        <v>5409.5</v>
      </c>
      <c r="H1946" s="41">
        <v>4790585625</v>
      </c>
      <c r="I1946" s="42">
        <v>17700</v>
      </c>
    </row>
    <row r="1947" spans="1:9" x14ac:dyDescent="0.25">
      <c r="A1947" t="s">
        <v>9</v>
      </c>
      <c r="B1947" s="39">
        <v>46028</v>
      </c>
      <c r="C1947" s="40">
        <v>0.6875</v>
      </c>
      <c r="D1947" s="41">
        <v>5412</v>
      </c>
      <c r="E1947" s="41">
        <v>5418.5</v>
      </c>
      <c r="F1947" s="41">
        <v>5411.5</v>
      </c>
      <c r="G1947" s="41">
        <v>5416</v>
      </c>
      <c r="H1947" s="41">
        <v>2654206125</v>
      </c>
      <c r="I1947" s="42">
        <v>9805</v>
      </c>
    </row>
    <row r="1948" spans="1:9" x14ac:dyDescent="0.25">
      <c r="A1948" t="s">
        <v>9</v>
      </c>
      <c r="B1948" s="39">
        <v>46028</v>
      </c>
      <c r="C1948" s="40">
        <v>0.66666666666666663</v>
      </c>
      <c r="D1948" s="41">
        <v>5407</v>
      </c>
      <c r="E1948" s="41">
        <v>5414</v>
      </c>
      <c r="F1948" s="41">
        <v>5407</v>
      </c>
      <c r="G1948" s="41">
        <v>5412</v>
      </c>
      <c r="H1948" s="41">
        <v>1878764000</v>
      </c>
      <c r="I1948" s="42">
        <v>6945</v>
      </c>
    </row>
    <row r="1949" spans="1:9" x14ac:dyDescent="0.25">
      <c r="A1949" t="s">
        <v>9</v>
      </c>
      <c r="B1949" s="39">
        <v>46028</v>
      </c>
      <c r="C1949" s="40">
        <v>0.64583333333333337</v>
      </c>
      <c r="D1949" s="41">
        <v>5414.5</v>
      </c>
      <c r="E1949" s="41">
        <v>5415.5</v>
      </c>
      <c r="F1949" s="41">
        <v>5405</v>
      </c>
      <c r="G1949" s="41">
        <v>5408</v>
      </c>
      <c r="H1949" s="41">
        <v>3233107500</v>
      </c>
      <c r="I1949" s="42">
        <v>11955</v>
      </c>
    </row>
    <row r="1950" spans="1:9" x14ac:dyDescent="0.25">
      <c r="A1950" t="s">
        <v>9</v>
      </c>
      <c r="B1950" s="39">
        <v>46028</v>
      </c>
      <c r="C1950" s="40">
        <v>0.625</v>
      </c>
      <c r="D1950" s="41">
        <v>5406</v>
      </c>
      <c r="E1950" s="41">
        <v>5415</v>
      </c>
      <c r="F1950" s="41">
        <v>5402.5</v>
      </c>
      <c r="G1950" s="41">
        <v>5414.5</v>
      </c>
      <c r="H1950" s="41">
        <v>3257191750</v>
      </c>
      <c r="I1950" s="42">
        <v>12045</v>
      </c>
    </row>
    <row r="1951" spans="1:9" x14ac:dyDescent="0.25">
      <c r="A1951" t="s">
        <v>9</v>
      </c>
      <c r="B1951" s="39">
        <v>46028</v>
      </c>
      <c r="C1951" s="40">
        <v>0.60416666666666663</v>
      </c>
      <c r="D1951" s="41">
        <v>5407.5</v>
      </c>
      <c r="E1951" s="41">
        <v>5407.5</v>
      </c>
      <c r="F1951" s="41">
        <v>5399.5</v>
      </c>
      <c r="G1951" s="41">
        <v>5406</v>
      </c>
      <c r="H1951" s="41">
        <v>2375224375</v>
      </c>
      <c r="I1951" s="42">
        <v>8790</v>
      </c>
    </row>
    <row r="1952" spans="1:9" x14ac:dyDescent="0.25">
      <c r="A1952" t="s">
        <v>9</v>
      </c>
      <c r="B1952" s="39">
        <v>46028</v>
      </c>
      <c r="C1952" s="40">
        <v>0.58333333333333337</v>
      </c>
      <c r="D1952" s="41">
        <v>5405.5</v>
      </c>
      <c r="E1952" s="41">
        <v>5409</v>
      </c>
      <c r="F1952" s="41">
        <v>5404</v>
      </c>
      <c r="G1952" s="41">
        <v>5408</v>
      </c>
      <c r="H1952" s="41">
        <v>3521479625</v>
      </c>
      <c r="I1952" s="42">
        <v>13025</v>
      </c>
    </row>
    <row r="1953" spans="1:9" x14ac:dyDescent="0.25">
      <c r="A1953" t="s">
        <v>9</v>
      </c>
      <c r="B1953" s="39">
        <v>46028</v>
      </c>
      <c r="C1953" s="40">
        <v>0.5625</v>
      </c>
      <c r="D1953" s="41">
        <v>5401.5</v>
      </c>
      <c r="E1953" s="41">
        <v>5407.5</v>
      </c>
      <c r="F1953" s="41">
        <v>5401</v>
      </c>
      <c r="G1953" s="41">
        <v>5405.5</v>
      </c>
      <c r="H1953" s="41">
        <v>2274065875</v>
      </c>
      <c r="I1953" s="42">
        <v>8415</v>
      </c>
    </row>
    <row r="1954" spans="1:9" x14ac:dyDescent="0.25">
      <c r="A1954" t="s">
        <v>9</v>
      </c>
      <c r="B1954" s="39">
        <v>46028</v>
      </c>
      <c r="C1954" s="40">
        <v>0.54166666666666663</v>
      </c>
      <c r="D1954" s="41">
        <v>5406</v>
      </c>
      <c r="E1954" s="41">
        <v>5408</v>
      </c>
      <c r="F1954" s="41">
        <v>5400.5</v>
      </c>
      <c r="G1954" s="41">
        <v>5401</v>
      </c>
      <c r="H1954" s="41">
        <v>3008985375</v>
      </c>
      <c r="I1954" s="42">
        <v>11135</v>
      </c>
    </row>
    <row r="1955" spans="1:9" x14ac:dyDescent="0.25">
      <c r="A1955" t="s">
        <v>9</v>
      </c>
      <c r="B1955" s="39">
        <v>46028</v>
      </c>
      <c r="C1955" s="40">
        <v>0.52083333333333337</v>
      </c>
      <c r="D1955" s="41">
        <v>5414</v>
      </c>
      <c r="E1955" s="41">
        <v>5417.5</v>
      </c>
      <c r="F1955" s="41">
        <v>5405</v>
      </c>
      <c r="G1955" s="41">
        <v>5405.5</v>
      </c>
      <c r="H1955" s="41">
        <v>3030487625</v>
      </c>
      <c r="I1955" s="42">
        <v>11200</v>
      </c>
    </row>
    <row r="1956" spans="1:9" x14ac:dyDescent="0.25">
      <c r="A1956" t="s">
        <v>9</v>
      </c>
      <c r="B1956" s="39">
        <v>46028</v>
      </c>
      <c r="C1956" s="40">
        <v>0.5</v>
      </c>
      <c r="D1956" s="41">
        <v>5403.5</v>
      </c>
      <c r="E1956" s="41">
        <v>5414.5</v>
      </c>
      <c r="F1956" s="41">
        <v>5400.5</v>
      </c>
      <c r="G1956" s="41">
        <v>5413.5</v>
      </c>
      <c r="H1956" s="41">
        <v>3132220125</v>
      </c>
      <c r="I1956" s="42">
        <v>11590</v>
      </c>
    </row>
    <row r="1957" spans="1:9" x14ac:dyDescent="0.25">
      <c r="A1957" t="s">
        <v>9</v>
      </c>
      <c r="B1957" s="39">
        <v>46028</v>
      </c>
      <c r="C1957" s="40">
        <v>0.47916666666666669</v>
      </c>
      <c r="D1957" s="41">
        <v>5411.5</v>
      </c>
      <c r="E1957" s="41">
        <v>5416</v>
      </c>
      <c r="F1957" s="41">
        <v>5397</v>
      </c>
      <c r="G1957" s="41">
        <v>5403</v>
      </c>
      <c r="H1957" s="41">
        <v>5212052250</v>
      </c>
      <c r="I1957" s="42">
        <v>19280</v>
      </c>
    </row>
    <row r="1958" spans="1:9" x14ac:dyDescent="0.25">
      <c r="A1958" t="s">
        <v>9</v>
      </c>
      <c r="B1958" s="39">
        <v>46028</v>
      </c>
      <c r="C1958" s="40">
        <v>0.45833333333333331</v>
      </c>
      <c r="D1958" s="41">
        <v>5428</v>
      </c>
      <c r="E1958" s="41">
        <v>5429</v>
      </c>
      <c r="F1958" s="41">
        <v>5406</v>
      </c>
      <c r="G1958" s="41">
        <v>5412</v>
      </c>
      <c r="H1958" s="41">
        <v>6023395000</v>
      </c>
      <c r="I1958" s="42">
        <v>22250</v>
      </c>
    </row>
    <row r="1959" spans="1:9" x14ac:dyDescent="0.25">
      <c r="A1959" t="s">
        <v>9</v>
      </c>
      <c r="B1959" s="39">
        <v>46028</v>
      </c>
      <c r="C1959" s="40">
        <v>0.4375</v>
      </c>
      <c r="D1959" s="41">
        <v>5428</v>
      </c>
      <c r="E1959" s="41">
        <v>5431</v>
      </c>
      <c r="F1959" s="41">
        <v>5422</v>
      </c>
      <c r="G1959" s="41">
        <v>5428</v>
      </c>
      <c r="H1959" s="41">
        <v>3027715625</v>
      </c>
      <c r="I1959" s="42">
        <v>11160</v>
      </c>
    </row>
    <row r="1960" spans="1:9" x14ac:dyDescent="0.25">
      <c r="A1960" t="s">
        <v>9</v>
      </c>
      <c r="B1960" s="39">
        <v>46028</v>
      </c>
      <c r="C1960" s="40">
        <v>0.41666666666666669</v>
      </c>
      <c r="D1960" s="41">
        <v>5434.5</v>
      </c>
      <c r="E1960" s="41">
        <v>5440</v>
      </c>
      <c r="F1960" s="41">
        <v>5420</v>
      </c>
      <c r="G1960" s="41">
        <v>5427.5</v>
      </c>
      <c r="H1960" s="41">
        <v>4567841000</v>
      </c>
      <c r="I1960" s="42">
        <v>16825</v>
      </c>
    </row>
    <row r="1961" spans="1:9" x14ac:dyDescent="0.25">
      <c r="A1961" t="s">
        <v>9</v>
      </c>
      <c r="B1961" s="39">
        <v>46028</v>
      </c>
      <c r="C1961" s="40">
        <v>0.39583333333333331</v>
      </c>
      <c r="D1961" s="41">
        <v>5446.5</v>
      </c>
      <c r="E1961" s="41">
        <v>5452</v>
      </c>
      <c r="F1961" s="41">
        <v>5431</v>
      </c>
      <c r="G1961" s="41">
        <v>5434.5</v>
      </c>
      <c r="H1961" s="41">
        <v>5427226500</v>
      </c>
      <c r="I1961" s="42">
        <v>19960</v>
      </c>
    </row>
    <row r="1962" spans="1:9" x14ac:dyDescent="0.25">
      <c r="A1962" t="s">
        <v>9</v>
      </c>
      <c r="B1962" s="39">
        <v>46028</v>
      </c>
      <c r="C1962" s="40">
        <v>0.375</v>
      </c>
      <c r="D1962" s="41">
        <v>5450</v>
      </c>
      <c r="E1962" s="41">
        <v>5451.5</v>
      </c>
      <c r="F1962" s="41">
        <v>5439.5</v>
      </c>
      <c r="G1962" s="41">
        <v>5446</v>
      </c>
      <c r="H1962" s="41">
        <v>2346998375</v>
      </c>
      <c r="I1962" s="42">
        <v>8620</v>
      </c>
    </row>
    <row r="1963" spans="1:9" x14ac:dyDescent="0.25">
      <c r="A1963" t="s">
        <v>9</v>
      </c>
      <c r="B1963" s="39">
        <v>46027</v>
      </c>
      <c r="C1963" s="40">
        <v>0.75</v>
      </c>
      <c r="D1963" s="41">
        <v>5444.5</v>
      </c>
      <c r="E1963" s="41">
        <v>5449.5</v>
      </c>
      <c r="F1963" s="41">
        <v>5443.5</v>
      </c>
      <c r="G1963" s="41">
        <v>5448</v>
      </c>
      <c r="H1963" s="41">
        <v>3952187000</v>
      </c>
      <c r="I1963" s="42">
        <v>14515</v>
      </c>
    </row>
    <row r="1964" spans="1:9" x14ac:dyDescent="0.25">
      <c r="A1964" t="s">
        <v>9</v>
      </c>
      <c r="B1964" s="39">
        <v>46027</v>
      </c>
      <c r="C1964" s="40">
        <v>0.72916666666666663</v>
      </c>
      <c r="D1964" s="41">
        <v>5442.5</v>
      </c>
      <c r="E1964" s="41">
        <v>5445</v>
      </c>
      <c r="F1964" s="41">
        <v>5440.5</v>
      </c>
      <c r="G1964" s="41">
        <v>5444.5</v>
      </c>
      <c r="H1964" s="41">
        <v>590587000</v>
      </c>
      <c r="I1964" s="42">
        <v>2170</v>
      </c>
    </row>
    <row r="1965" spans="1:9" x14ac:dyDescent="0.25">
      <c r="A1965" t="s">
        <v>9</v>
      </c>
      <c r="B1965" s="39">
        <v>46027</v>
      </c>
      <c r="C1965" s="40">
        <v>0.70833333333333337</v>
      </c>
      <c r="D1965" s="41">
        <v>5441.5</v>
      </c>
      <c r="E1965" s="41">
        <v>5444</v>
      </c>
      <c r="F1965" s="41">
        <v>5440.5</v>
      </c>
      <c r="G1965" s="41">
        <v>5442.5</v>
      </c>
      <c r="H1965" s="41">
        <v>786410375</v>
      </c>
      <c r="I1965" s="42">
        <v>2890</v>
      </c>
    </row>
    <row r="1966" spans="1:9" x14ac:dyDescent="0.25">
      <c r="A1966" t="s">
        <v>9</v>
      </c>
      <c r="B1966" s="39">
        <v>46027</v>
      </c>
      <c r="C1966" s="40">
        <v>0.6875</v>
      </c>
      <c r="D1966" s="41">
        <v>5438.5</v>
      </c>
      <c r="E1966" s="41">
        <v>5442.5</v>
      </c>
      <c r="F1966" s="41">
        <v>5437.5</v>
      </c>
      <c r="G1966" s="41">
        <v>5441</v>
      </c>
      <c r="H1966" s="41">
        <v>1757188750</v>
      </c>
      <c r="I1966" s="42">
        <v>6460</v>
      </c>
    </row>
    <row r="1967" spans="1:9" x14ac:dyDescent="0.25">
      <c r="A1967" t="s">
        <v>9</v>
      </c>
      <c r="B1967" s="39">
        <v>46027</v>
      </c>
      <c r="C1967" s="40">
        <v>0.66666666666666663</v>
      </c>
      <c r="D1967" s="41">
        <v>5436</v>
      </c>
      <c r="E1967" s="41">
        <v>5439</v>
      </c>
      <c r="F1967" s="41">
        <v>5434.5</v>
      </c>
      <c r="G1967" s="41">
        <v>5438.5</v>
      </c>
      <c r="H1967" s="41">
        <v>1318636750</v>
      </c>
      <c r="I1967" s="42">
        <v>4850</v>
      </c>
    </row>
    <row r="1968" spans="1:9" x14ac:dyDescent="0.25">
      <c r="A1968" t="s">
        <v>9</v>
      </c>
      <c r="B1968" s="39">
        <v>46027</v>
      </c>
      <c r="C1968" s="40">
        <v>0.64583333333333337</v>
      </c>
      <c r="D1968" s="41">
        <v>5433.5</v>
      </c>
      <c r="E1968" s="41">
        <v>5438.5</v>
      </c>
      <c r="F1968" s="41">
        <v>5433</v>
      </c>
      <c r="G1968" s="41">
        <v>5436.5</v>
      </c>
      <c r="H1968" s="41">
        <v>2185212375</v>
      </c>
      <c r="I1968" s="42">
        <v>8040</v>
      </c>
    </row>
    <row r="1969" spans="1:9" x14ac:dyDescent="0.25">
      <c r="A1969" t="s">
        <v>9</v>
      </c>
      <c r="B1969" s="39">
        <v>46027</v>
      </c>
      <c r="C1969" s="40">
        <v>0.625</v>
      </c>
      <c r="D1969" s="41">
        <v>5433.5</v>
      </c>
      <c r="E1969" s="41">
        <v>5437</v>
      </c>
      <c r="F1969" s="41">
        <v>5432.5</v>
      </c>
      <c r="G1969" s="41">
        <v>5433.5</v>
      </c>
      <c r="H1969" s="41">
        <v>2150944750</v>
      </c>
      <c r="I1969" s="42">
        <v>7915</v>
      </c>
    </row>
    <row r="1970" spans="1:9" x14ac:dyDescent="0.25">
      <c r="A1970" t="s">
        <v>9</v>
      </c>
      <c r="B1970" s="39">
        <v>46027</v>
      </c>
      <c r="C1970" s="40">
        <v>0.60416666666666663</v>
      </c>
      <c r="D1970" s="41">
        <v>5444.5</v>
      </c>
      <c r="E1970" s="41">
        <v>5447</v>
      </c>
      <c r="F1970" s="41">
        <v>5432</v>
      </c>
      <c r="G1970" s="41">
        <v>5433.5</v>
      </c>
      <c r="H1970" s="41">
        <v>2470624125</v>
      </c>
      <c r="I1970" s="42">
        <v>9085</v>
      </c>
    </row>
    <row r="1971" spans="1:9" x14ac:dyDescent="0.25">
      <c r="A1971" t="s">
        <v>9</v>
      </c>
      <c r="B1971" s="39">
        <v>46027</v>
      </c>
      <c r="C1971" s="40">
        <v>0.58333333333333337</v>
      </c>
      <c r="D1971" s="41">
        <v>5446.5</v>
      </c>
      <c r="E1971" s="41">
        <v>5448</v>
      </c>
      <c r="F1971" s="41">
        <v>5440</v>
      </c>
      <c r="G1971" s="41">
        <v>5445</v>
      </c>
      <c r="H1971" s="41">
        <v>3965321750</v>
      </c>
      <c r="I1971" s="42">
        <v>14570</v>
      </c>
    </row>
    <row r="1972" spans="1:9" x14ac:dyDescent="0.25">
      <c r="A1972" t="s">
        <v>9</v>
      </c>
      <c r="B1972" s="39">
        <v>46027</v>
      </c>
      <c r="C1972" s="40">
        <v>0.5625</v>
      </c>
      <c r="D1972" s="41">
        <v>5450.5</v>
      </c>
      <c r="E1972" s="41">
        <v>5451</v>
      </c>
      <c r="F1972" s="41">
        <v>5444.5</v>
      </c>
      <c r="G1972" s="41">
        <v>5446</v>
      </c>
      <c r="H1972" s="41">
        <v>4674300625</v>
      </c>
      <c r="I1972" s="42">
        <v>17160</v>
      </c>
    </row>
    <row r="1973" spans="1:9" x14ac:dyDescent="0.25">
      <c r="A1973" t="s">
        <v>9</v>
      </c>
      <c r="B1973" s="39">
        <v>46027</v>
      </c>
      <c r="C1973" s="40">
        <v>0.54166666666666663</v>
      </c>
      <c r="D1973" s="41">
        <v>5451</v>
      </c>
      <c r="E1973" s="41">
        <v>5455.5</v>
      </c>
      <c r="F1973" s="41">
        <v>5445.5</v>
      </c>
      <c r="G1973" s="41">
        <v>5450.5</v>
      </c>
      <c r="H1973" s="41">
        <v>2833127000</v>
      </c>
      <c r="I1973" s="42">
        <v>10395</v>
      </c>
    </row>
    <row r="1974" spans="1:9" x14ac:dyDescent="0.25">
      <c r="A1974" t="s">
        <v>9</v>
      </c>
      <c r="B1974" s="39">
        <v>46027</v>
      </c>
      <c r="C1974" s="40">
        <v>0.52083333333333337</v>
      </c>
      <c r="D1974" s="41">
        <v>5455</v>
      </c>
      <c r="E1974" s="41">
        <v>5461</v>
      </c>
      <c r="F1974" s="41">
        <v>5449</v>
      </c>
      <c r="G1974" s="41">
        <v>5450</v>
      </c>
      <c r="H1974" s="41">
        <v>1932272000</v>
      </c>
      <c r="I1974" s="42">
        <v>7085</v>
      </c>
    </row>
    <row r="1975" spans="1:9" x14ac:dyDescent="0.25">
      <c r="A1975" t="s">
        <v>9</v>
      </c>
      <c r="B1975" s="39">
        <v>46027</v>
      </c>
      <c r="C1975" s="40">
        <v>0.5</v>
      </c>
      <c r="D1975" s="41">
        <v>5471.5</v>
      </c>
      <c r="E1975" s="41">
        <v>5476.5</v>
      </c>
      <c r="F1975" s="41">
        <v>5452</v>
      </c>
      <c r="G1975" s="41">
        <v>5454.5</v>
      </c>
      <c r="H1975" s="41">
        <v>3271221375</v>
      </c>
      <c r="I1975" s="42">
        <v>11970</v>
      </c>
    </row>
    <row r="1976" spans="1:9" x14ac:dyDescent="0.25">
      <c r="A1976" t="s">
        <v>9</v>
      </c>
      <c r="B1976" s="39">
        <v>46027</v>
      </c>
      <c r="C1976" s="40">
        <v>0.47916666666666669</v>
      </c>
      <c r="D1976" s="41">
        <v>5467.5</v>
      </c>
      <c r="E1976" s="41">
        <v>5475</v>
      </c>
      <c r="F1976" s="41">
        <v>5463</v>
      </c>
      <c r="G1976" s="41">
        <v>5471.5</v>
      </c>
      <c r="H1976" s="41">
        <v>3397798500</v>
      </c>
      <c r="I1976" s="42">
        <v>12425</v>
      </c>
    </row>
    <row r="1977" spans="1:9" x14ac:dyDescent="0.25">
      <c r="A1977" t="s">
        <v>9</v>
      </c>
      <c r="B1977" s="39">
        <v>46027</v>
      </c>
      <c r="C1977" s="40">
        <v>0.45833333333333331</v>
      </c>
      <c r="D1977" s="41">
        <v>5479</v>
      </c>
      <c r="E1977" s="41">
        <v>5482.5</v>
      </c>
      <c r="F1977" s="41">
        <v>5462.5</v>
      </c>
      <c r="G1977" s="41">
        <v>5467</v>
      </c>
      <c r="H1977" s="41">
        <v>6089077500</v>
      </c>
      <c r="I1977" s="42">
        <v>22260</v>
      </c>
    </row>
    <row r="1978" spans="1:9" x14ac:dyDescent="0.25">
      <c r="A1978" t="s">
        <v>9</v>
      </c>
      <c r="B1978" s="39">
        <v>46027</v>
      </c>
      <c r="C1978" s="40">
        <v>0.4375</v>
      </c>
      <c r="D1978" s="41">
        <v>5486</v>
      </c>
      <c r="E1978" s="41">
        <v>5489</v>
      </c>
      <c r="F1978" s="41">
        <v>5477.5</v>
      </c>
      <c r="G1978" s="41">
        <v>5479.5</v>
      </c>
      <c r="H1978" s="41">
        <v>3146243625</v>
      </c>
      <c r="I1978">
        <v>11475</v>
      </c>
    </row>
    <row r="1979" spans="1:9" x14ac:dyDescent="0.25">
      <c r="A1979" t="s">
        <v>9</v>
      </c>
      <c r="B1979" s="39">
        <v>46027</v>
      </c>
      <c r="C1979" s="40">
        <v>0.41666666666666669</v>
      </c>
      <c r="D1979" s="41">
        <v>5476</v>
      </c>
      <c r="E1979" s="41">
        <v>5489.5</v>
      </c>
      <c r="F1979" s="41">
        <v>5475</v>
      </c>
      <c r="G1979" s="41">
        <v>5486</v>
      </c>
      <c r="H1979" s="41">
        <v>3988221500</v>
      </c>
      <c r="I1979" s="42">
        <v>14550</v>
      </c>
    </row>
    <row r="1980" spans="1:9" x14ac:dyDescent="0.25">
      <c r="A1980" t="s">
        <v>9</v>
      </c>
      <c r="B1980" s="39">
        <v>46027</v>
      </c>
      <c r="C1980" s="40">
        <v>0.39583333333333331</v>
      </c>
      <c r="D1980" s="41">
        <v>5465.5</v>
      </c>
      <c r="E1980" s="41">
        <v>5480</v>
      </c>
      <c r="F1980" s="41">
        <v>5459.5</v>
      </c>
      <c r="G1980" s="41">
        <v>5475</v>
      </c>
      <c r="H1980" s="41">
        <v>2901678625</v>
      </c>
      <c r="I1980" s="42">
        <v>10605</v>
      </c>
    </row>
    <row r="1981" spans="1:9" x14ac:dyDescent="0.25">
      <c r="A1981" t="s">
        <v>9</v>
      </c>
      <c r="B1981" s="39">
        <v>46027</v>
      </c>
      <c r="C1981" s="40">
        <v>0.375</v>
      </c>
      <c r="D1981" s="41">
        <v>5460</v>
      </c>
      <c r="E1981" s="41">
        <v>5473</v>
      </c>
      <c r="F1981" s="41">
        <v>5456.5</v>
      </c>
      <c r="G1981" s="41">
        <v>5465.5</v>
      </c>
      <c r="H1981" s="41">
        <v>2304034500</v>
      </c>
      <c r="I1981" s="42">
        <v>8430</v>
      </c>
    </row>
    <row r="1982" spans="1:9" x14ac:dyDescent="0.25">
      <c r="A1982" t="s">
        <v>9</v>
      </c>
      <c r="B1982" s="39">
        <v>46024</v>
      </c>
      <c r="C1982" s="40">
        <v>0.75</v>
      </c>
      <c r="D1982" s="41">
        <v>5463</v>
      </c>
      <c r="E1982" s="41">
        <v>5464</v>
      </c>
      <c r="F1982" s="41">
        <v>5452</v>
      </c>
      <c r="G1982" s="41">
        <v>5455.5</v>
      </c>
      <c r="H1982" s="41">
        <v>955339750</v>
      </c>
      <c r="I1982" s="42">
        <v>3500</v>
      </c>
    </row>
    <row r="1983" spans="1:9" x14ac:dyDescent="0.25">
      <c r="A1983" t="s">
        <v>9</v>
      </c>
      <c r="B1983" s="39">
        <v>46024</v>
      </c>
      <c r="C1983" s="40">
        <v>0.72916666666666663</v>
      </c>
      <c r="D1983" s="41">
        <v>5465.5</v>
      </c>
      <c r="E1983" s="41">
        <v>5465.5</v>
      </c>
      <c r="F1983" s="41">
        <v>5462.5</v>
      </c>
      <c r="G1983" s="41">
        <v>5462.5</v>
      </c>
      <c r="H1983" s="41">
        <v>461706250</v>
      </c>
      <c r="I1983" s="42">
        <v>1690</v>
      </c>
    </row>
    <row r="1984" spans="1:9" x14ac:dyDescent="0.25">
      <c r="A1984" t="s">
        <v>9</v>
      </c>
      <c r="B1984" s="39">
        <v>46024</v>
      </c>
      <c r="C1984" s="40">
        <v>0.70833333333333337</v>
      </c>
      <c r="D1984" s="41">
        <v>5461</v>
      </c>
      <c r="E1984" s="41">
        <v>5466</v>
      </c>
      <c r="F1984" s="41">
        <v>5460.5</v>
      </c>
      <c r="G1984" s="41">
        <v>5465.5</v>
      </c>
      <c r="H1984" s="41">
        <v>3837321250</v>
      </c>
      <c r="I1984" s="42">
        <v>14050</v>
      </c>
    </row>
    <row r="1985" spans="1:9" x14ac:dyDescent="0.25">
      <c r="A1985" t="s">
        <v>9</v>
      </c>
      <c r="B1985" s="39">
        <v>46024</v>
      </c>
      <c r="C1985" s="40">
        <v>0.6875</v>
      </c>
      <c r="D1985" s="41">
        <v>5459</v>
      </c>
      <c r="E1985" s="41">
        <v>5461</v>
      </c>
      <c r="F1985" s="41">
        <v>5455.5</v>
      </c>
      <c r="G1985" s="41">
        <v>5460.5</v>
      </c>
      <c r="H1985" s="41">
        <v>6163917000</v>
      </c>
      <c r="I1985" s="42">
        <v>22590</v>
      </c>
    </row>
    <row r="1986" spans="1:9" x14ac:dyDescent="0.25">
      <c r="A1986" t="s">
        <v>9</v>
      </c>
      <c r="B1986" s="39">
        <v>46024</v>
      </c>
      <c r="C1986" s="40">
        <v>0.66666666666666663</v>
      </c>
      <c r="D1986" s="41">
        <v>5463</v>
      </c>
      <c r="E1986" s="41">
        <v>5465.5</v>
      </c>
      <c r="F1986" s="41">
        <v>5458</v>
      </c>
      <c r="G1986" s="41">
        <v>5459</v>
      </c>
      <c r="H1986" s="41">
        <v>2931525250</v>
      </c>
      <c r="I1986" s="42">
        <v>10735</v>
      </c>
    </row>
    <row r="1987" spans="1:9" x14ac:dyDescent="0.25">
      <c r="A1987" t="s">
        <v>9</v>
      </c>
      <c r="B1987" s="39">
        <v>46024</v>
      </c>
      <c r="C1987" s="40">
        <v>0.64583333333333337</v>
      </c>
      <c r="D1987" s="41">
        <v>5457.5</v>
      </c>
      <c r="E1987" s="41">
        <v>5463.5</v>
      </c>
      <c r="F1987" s="41">
        <v>5456</v>
      </c>
      <c r="G1987" s="41">
        <v>5463</v>
      </c>
      <c r="H1987" s="41">
        <v>2040572875</v>
      </c>
      <c r="I1987" s="42">
        <v>7475</v>
      </c>
    </row>
    <row r="1988" spans="1:9" x14ac:dyDescent="0.25">
      <c r="A1988" t="s">
        <v>9</v>
      </c>
      <c r="B1988" s="39">
        <v>46024</v>
      </c>
      <c r="C1988" s="40">
        <v>0.625</v>
      </c>
      <c r="D1988" s="41">
        <v>5459.5</v>
      </c>
      <c r="E1988" s="41">
        <v>5462</v>
      </c>
      <c r="F1988" s="41">
        <v>5454.5</v>
      </c>
      <c r="G1988" s="41">
        <v>5458</v>
      </c>
      <c r="H1988" s="41">
        <v>1799604500</v>
      </c>
      <c r="I1988" s="42">
        <v>6595</v>
      </c>
    </row>
    <row r="1989" spans="1:9" x14ac:dyDescent="0.25">
      <c r="A1989" t="s">
        <v>9</v>
      </c>
      <c r="B1989" s="39">
        <v>46024</v>
      </c>
      <c r="C1989" s="40">
        <v>0.60416666666666663</v>
      </c>
      <c r="D1989" s="41">
        <v>5456.5</v>
      </c>
      <c r="E1989" s="41">
        <v>5462.5</v>
      </c>
      <c r="F1989" s="41">
        <v>5456.5</v>
      </c>
      <c r="G1989" s="41">
        <v>5460</v>
      </c>
      <c r="H1989" s="41">
        <v>2124968625</v>
      </c>
      <c r="I1989" s="42">
        <v>7785</v>
      </c>
    </row>
    <row r="1990" spans="1:9" x14ac:dyDescent="0.25">
      <c r="A1990" t="s">
        <v>9</v>
      </c>
      <c r="B1990" s="39">
        <v>46024</v>
      </c>
      <c r="C1990" s="40">
        <v>0.58333333333333337</v>
      </c>
      <c r="D1990" s="41">
        <v>5461</v>
      </c>
      <c r="E1990" s="41">
        <v>5463</v>
      </c>
      <c r="F1990" s="41">
        <v>5454</v>
      </c>
      <c r="G1990" s="41">
        <v>5457</v>
      </c>
      <c r="H1990" s="41">
        <v>2826723625</v>
      </c>
      <c r="I1990" s="42">
        <v>10360</v>
      </c>
    </row>
    <row r="1991" spans="1:9" x14ac:dyDescent="0.25">
      <c r="A1991" t="s">
        <v>9</v>
      </c>
      <c r="B1991" s="39">
        <v>46024</v>
      </c>
      <c r="C1991" s="40">
        <v>0.5625</v>
      </c>
      <c r="D1991" s="41">
        <v>5470</v>
      </c>
      <c r="E1991" s="41">
        <v>5470.5</v>
      </c>
      <c r="F1991" s="41">
        <v>5459.5</v>
      </c>
      <c r="G1991" s="41">
        <v>5461</v>
      </c>
      <c r="H1991" s="41">
        <v>2545848000</v>
      </c>
      <c r="I1991" s="42">
        <v>9315</v>
      </c>
    </row>
    <row r="1992" spans="1:9" x14ac:dyDescent="0.25">
      <c r="A1992" t="s">
        <v>9</v>
      </c>
      <c r="B1992" s="39">
        <v>46024</v>
      </c>
      <c r="C1992" s="40">
        <v>0.54166666666666663</v>
      </c>
      <c r="D1992" s="41">
        <v>5475.5</v>
      </c>
      <c r="E1992" s="41">
        <v>5479.5</v>
      </c>
      <c r="F1992" s="41">
        <v>5468.5</v>
      </c>
      <c r="G1992" s="41">
        <v>5470.5</v>
      </c>
      <c r="H1992" s="41">
        <v>3950163375</v>
      </c>
      <c r="I1992" s="42">
        <v>14430</v>
      </c>
    </row>
    <row r="1993" spans="1:9" x14ac:dyDescent="0.25">
      <c r="A1993" t="s">
        <v>9</v>
      </c>
      <c r="B1993" s="39">
        <v>46024</v>
      </c>
      <c r="C1993" s="40">
        <v>0.52083333333333337</v>
      </c>
      <c r="D1993" s="41">
        <v>5487</v>
      </c>
      <c r="E1993" s="41">
        <v>5488</v>
      </c>
      <c r="F1993" s="41">
        <v>5474</v>
      </c>
      <c r="G1993" s="41">
        <v>5475</v>
      </c>
      <c r="H1993" s="41">
        <v>2180283875</v>
      </c>
      <c r="I1993" s="42">
        <v>7955</v>
      </c>
    </row>
    <row r="1994" spans="1:9" x14ac:dyDescent="0.25">
      <c r="A1994" t="s">
        <v>9</v>
      </c>
      <c r="B1994" s="39">
        <v>46024</v>
      </c>
      <c r="C1994" s="40">
        <v>0.5</v>
      </c>
      <c r="D1994" s="41">
        <v>5474.5</v>
      </c>
      <c r="E1994" s="41">
        <v>5491</v>
      </c>
      <c r="F1994" s="41">
        <v>5474</v>
      </c>
      <c r="G1994" s="41">
        <v>5486</v>
      </c>
      <c r="H1994" s="41">
        <v>2550091000</v>
      </c>
      <c r="I1994" s="42">
        <v>9305</v>
      </c>
    </row>
    <row r="1995" spans="1:9" x14ac:dyDescent="0.25">
      <c r="A1995" t="s">
        <v>9</v>
      </c>
      <c r="B1995" s="39">
        <v>46024</v>
      </c>
      <c r="C1995" s="40">
        <v>0.47916666666666669</v>
      </c>
      <c r="D1995" s="41">
        <v>5462.5</v>
      </c>
      <c r="E1995" s="41">
        <v>5479.5</v>
      </c>
      <c r="F1995" s="41">
        <v>5462.5</v>
      </c>
      <c r="G1995" s="41">
        <v>5474.5</v>
      </c>
      <c r="H1995" s="41">
        <v>3632010500</v>
      </c>
      <c r="I1995" s="42">
        <v>13270</v>
      </c>
    </row>
    <row r="1996" spans="1:9" x14ac:dyDescent="0.25">
      <c r="A1996" t="s">
        <v>9</v>
      </c>
      <c r="B1996" s="39">
        <v>46024</v>
      </c>
      <c r="C1996" s="40">
        <v>0.45833333333333331</v>
      </c>
      <c r="D1996" s="41">
        <v>5470</v>
      </c>
      <c r="E1996" s="41">
        <v>5474.5</v>
      </c>
      <c r="F1996" s="41">
        <v>5457.5</v>
      </c>
      <c r="G1996" s="41">
        <v>5462</v>
      </c>
      <c r="H1996" s="41">
        <v>4048382250</v>
      </c>
      <c r="I1996" s="42">
        <v>14810</v>
      </c>
    </row>
    <row r="1997" spans="1:9" x14ac:dyDescent="0.25">
      <c r="A1997" t="s">
        <v>9</v>
      </c>
      <c r="B1997" s="39">
        <v>46024</v>
      </c>
      <c r="C1997" s="40">
        <v>0.4375</v>
      </c>
      <c r="D1997" s="41">
        <v>5475</v>
      </c>
      <c r="E1997" s="41">
        <v>5478.5</v>
      </c>
      <c r="F1997" s="41">
        <v>5459.5</v>
      </c>
      <c r="G1997" s="41">
        <v>5470.5</v>
      </c>
      <c r="H1997" s="41">
        <v>3895415375</v>
      </c>
      <c r="I1997" s="42">
        <v>14250</v>
      </c>
    </row>
    <row r="1998" spans="1:9" x14ac:dyDescent="0.25">
      <c r="A1998" t="s">
        <v>9</v>
      </c>
      <c r="B1998" s="39">
        <v>46024</v>
      </c>
      <c r="C1998" s="40">
        <v>0.41666666666666669</v>
      </c>
      <c r="D1998" s="41">
        <v>5472</v>
      </c>
      <c r="E1998" s="41">
        <v>5481.5</v>
      </c>
      <c r="F1998" s="41">
        <v>5470.5</v>
      </c>
      <c r="G1998" s="41">
        <v>5475.5</v>
      </c>
      <c r="H1998" s="41">
        <v>4077309125</v>
      </c>
      <c r="I1998" s="42">
        <v>14890</v>
      </c>
    </row>
    <row r="1999" spans="1:9" x14ac:dyDescent="0.25">
      <c r="A1999" t="s">
        <v>9</v>
      </c>
      <c r="B1999" s="39">
        <v>46024</v>
      </c>
      <c r="C1999" s="40">
        <v>0.39583333333333331</v>
      </c>
      <c r="D1999" s="41">
        <v>5485.5</v>
      </c>
      <c r="E1999" s="41">
        <v>5490.5</v>
      </c>
      <c r="F1999" s="41">
        <v>5468</v>
      </c>
      <c r="G1999" s="41">
        <v>5472</v>
      </c>
      <c r="H1999" s="41">
        <v>5311538750</v>
      </c>
      <c r="I1999" s="42">
        <v>19390</v>
      </c>
    </row>
    <row r="2000" spans="1:9" x14ac:dyDescent="0.25">
      <c r="A2000" t="s">
        <v>9</v>
      </c>
      <c r="B2000" s="39">
        <v>46024</v>
      </c>
      <c r="C2000" s="40">
        <v>0.375</v>
      </c>
      <c r="D2000" s="41">
        <v>5508.5</v>
      </c>
      <c r="E2000" s="41">
        <v>5513.5</v>
      </c>
      <c r="F2000" s="41">
        <v>5481.5</v>
      </c>
      <c r="G2000" s="41">
        <v>5485</v>
      </c>
      <c r="H2000" s="41">
        <v>5529476125</v>
      </c>
      <c r="I2000" s="42">
        <v>20130</v>
      </c>
    </row>
    <row r="2001" spans="1:9" x14ac:dyDescent="0.25">
      <c r="A2001" t="s">
        <v>9</v>
      </c>
      <c r="B2001" s="39">
        <v>45819</v>
      </c>
      <c r="C2001" s="40">
        <v>0.66666666666666663</v>
      </c>
      <c r="D2001" s="41">
        <v>5770.5349999999999</v>
      </c>
      <c r="E2001" s="41">
        <v>5777.8</v>
      </c>
      <c r="F2001" s="41">
        <v>5769.4970000000003</v>
      </c>
      <c r="G2001" s="41">
        <v>5775.2060000000001</v>
      </c>
      <c r="H2001" s="41">
        <v>2316731103.9200001</v>
      </c>
      <c r="I2001" s="42">
        <v>8025</v>
      </c>
    </row>
    <row r="2002" spans="1:9" x14ac:dyDescent="0.25">
      <c r="A2002" t="s">
        <v>9</v>
      </c>
      <c r="B2002" s="39">
        <v>45819</v>
      </c>
      <c r="C2002" s="40">
        <v>0.64583333333333337</v>
      </c>
      <c r="D2002" s="41">
        <v>5776.7619999999997</v>
      </c>
      <c r="E2002" s="41">
        <v>5777.2809999999999</v>
      </c>
      <c r="F2002" s="41">
        <v>5768.9780000000001</v>
      </c>
      <c r="G2002" s="41">
        <v>5771.0540000000001</v>
      </c>
      <c r="H2002" s="41">
        <v>2783582847.0500002</v>
      </c>
      <c r="I2002" s="42">
        <v>9645</v>
      </c>
    </row>
    <row r="2003" spans="1:9" x14ac:dyDescent="0.25">
      <c r="A2003" t="s">
        <v>9</v>
      </c>
      <c r="B2003" s="39">
        <v>45819</v>
      </c>
      <c r="C2003" s="40">
        <v>0.625</v>
      </c>
      <c r="D2003" s="41">
        <v>5761.7129999999997</v>
      </c>
      <c r="E2003" s="41">
        <v>5777.8</v>
      </c>
      <c r="F2003" s="41">
        <v>5761.1940000000004</v>
      </c>
      <c r="G2003" s="41">
        <v>5775.2060000000001</v>
      </c>
      <c r="H2003" s="41">
        <v>3022908273.6300001</v>
      </c>
      <c r="I2003" s="42">
        <v>10475</v>
      </c>
    </row>
    <row r="2004" spans="1:9" x14ac:dyDescent="0.25">
      <c r="A2004" t="s">
        <v>9</v>
      </c>
      <c r="B2004" s="39">
        <v>45819</v>
      </c>
      <c r="C2004" s="40">
        <v>0.60416666666666663</v>
      </c>
      <c r="D2004" s="41">
        <v>5759.1189999999997</v>
      </c>
      <c r="E2004" s="41">
        <v>5764.8270000000002</v>
      </c>
      <c r="F2004" s="41">
        <v>5759.1189999999997</v>
      </c>
      <c r="G2004" s="41">
        <v>5762.232</v>
      </c>
      <c r="H2004" s="41">
        <v>1741579983.51</v>
      </c>
      <c r="I2004" s="42">
        <v>6045</v>
      </c>
    </row>
    <row r="2005" spans="1:9" x14ac:dyDescent="0.25">
      <c r="A2005" t="s">
        <v>9</v>
      </c>
      <c r="B2005" s="39">
        <v>45819</v>
      </c>
      <c r="C2005" s="40">
        <v>0.58333333333333337</v>
      </c>
      <c r="D2005" s="41">
        <v>5762.232</v>
      </c>
      <c r="E2005" s="41">
        <v>5763.7889999999998</v>
      </c>
      <c r="F2005" s="41">
        <v>5758.0810000000001</v>
      </c>
      <c r="G2005" s="41">
        <v>5758.6</v>
      </c>
      <c r="H2005" s="41">
        <v>1444398972.9300001</v>
      </c>
      <c r="I2005" s="42">
        <v>5015</v>
      </c>
    </row>
    <row r="2006" spans="1:9" x14ac:dyDescent="0.25">
      <c r="A2006" t="s">
        <v>9</v>
      </c>
      <c r="B2006" s="39">
        <v>45819</v>
      </c>
      <c r="C2006" s="40">
        <v>0.5625</v>
      </c>
      <c r="D2006" s="41">
        <v>5761.1940000000004</v>
      </c>
      <c r="E2006" s="41">
        <v>5765.3459999999995</v>
      </c>
      <c r="F2006" s="41">
        <v>5757.5619999999999</v>
      </c>
      <c r="G2006" s="41">
        <v>5762.232</v>
      </c>
      <c r="H2006" s="41">
        <v>2597509160.3699999</v>
      </c>
      <c r="I2006" s="42">
        <v>9015</v>
      </c>
    </row>
    <row r="2007" spans="1:9" x14ac:dyDescent="0.25">
      <c r="A2007" t="s">
        <v>9</v>
      </c>
      <c r="B2007" s="39">
        <v>45819</v>
      </c>
      <c r="C2007" s="40">
        <v>0.54166666666666663</v>
      </c>
      <c r="D2007" s="41">
        <v>5759.6379999999999</v>
      </c>
      <c r="E2007" s="41">
        <v>5765.8649999999998</v>
      </c>
      <c r="F2007" s="41">
        <v>5752.3729999999996</v>
      </c>
      <c r="G2007" s="41">
        <v>5761.1940000000004</v>
      </c>
      <c r="H2007" s="41">
        <v>4323342121.1000004</v>
      </c>
      <c r="I2007" s="42">
        <v>15015</v>
      </c>
    </row>
    <row r="2008" spans="1:9" x14ac:dyDescent="0.25">
      <c r="A2008" t="s">
        <v>9</v>
      </c>
      <c r="B2008" s="39">
        <v>45819</v>
      </c>
      <c r="C2008" s="40">
        <v>0.52083333333333337</v>
      </c>
      <c r="D2008" s="41">
        <v>5765.3459999999995</v>
      </c>
      <c r="E2008" s="41">
        <v>5767.9409999999998</v>
      </c>
      <c r="F2008" s="41">
        <v>5756.5240000000003</v>
      </c>
      <c r="G2008" s="41">
        <v>5760.1570000000002</v>
      </c>
      <c r="H2008" s="41">
        <v>2656951901.04</v>
      </c>
      <c r="I2008" s="42">
        <v>9225</v>
      </c>
    </row>
    <row r="2009" spans="1:9" x14ac:dyDescent="0.25">
      <c r="A2009" t="s">
        <v>9</v>
      </c>
      <c r="B2009" s="39">
        <v>45819</v>
      </c>
      <c r="C2009" s="40">
        <v>0.5</v>
      </c>
      <c r="D2009" s="41">
        <v>5775.2060000000001</v>
      </c>
      <c r="E2009" s="41">
        <v>5776.7619999999997</v>
      </c>
      <c r="F2009" s="41">
        <v>5764.308</v>
      </c>
      <c r="G2009" s="41">
        <v>5766.384</v>
      </c>
      <c r="H2009" s="41">
        <v>4876541725.6899996</v>
      </c>
      <c r="I2009" s="42">
        <v>16900</v>
      </c>
    </row>
    <row r="2010" spans="1:9" x14ac:dyDescent="0.25">
      <c r="A2010" t="s">
        <v>9</v>
      </c>
      <c r="B2010" s="39">
        <v>45819</v>
      </c>
      <c r="C2010" s="40">
        <v>0.47916666666666669</v>
      </c>
      <c r="D2010" s="41">
        <v>5772.6109999999999</v>
      </c>
      <c r="E2010" s="41">
        <v>5777.8</v>
      </c>
      <c r="F2010" s="41">
        <v>5768.46</v>
      </c>
      <c r="G2010" s="41">
        <v>5775.2060000000001</v>
      </c>
      <c r="H2010" s="41">
        <v>5256589854.4300003</v>
      </c>
      <c r="I2010" s="42">
        <v>18210</v>
      </c>
    </row>
    <row r="2011" spans="1:9" x14ac:dyDescent="0.25">
      <c r="A2011" t="s">
        <v>9</v>
      </c>
      <c r="B2011" s="39">
        <v>45819</v>
      </c>
      <c r="C2011" s="40">
        <v>0.45833333333333331</v>
      </c>
      <c r="D2011" s="41">
        <v>5770.0159999999996</v>
      </c>
      <c r="E2011" s="41">
        <v>5775.2060000000001</v>
      </c>
      <c r="F2011" s="41">
        <v>5762.232</v>
      </c>
      <c r="G2011" s="41">
        <v>5772.0919999999996</v>
      </c>
      <c r="H2011" s="41">
        <v>7120168917.46</v>
      </c>
      <c r="I2011" s="42">
        <v>24690</v>
      </c>
    </row>
    <row r="2012" spans="1:9" x14ac:dyDescent="0.25">
      <c r="A2012" t="s">
        <v>9</v>
      </c>
      <c r="B2012" s="39">
        <v>45819</v>
      </c>
      <c r="C2012" s="40">
        <v>0.4375</v>
      </c>
      <c r="D2012" s="41">
        <v>5788.6980000000003</v>
      </c>
      <c r="E2012" s="41">
        <v>5795.9629999999997</v>
      </c>
      <c r="F2012" s="41">
        <v>5770.5349999999999</v>
      </c>
      <c r="G2012" s="41">
        <v>5770.5349999999999</v>
      </c>
      <c r="H2012" s="41">
        <v>5604617869.25</v>
      </c>
      <c r="I2012" s="42">
        <v>19380</v>
      </c>
    </row>
    <row r="2013" spans="1:9" x14ac:dyDescent="0.25">
      <c r="A2013" t="s">
        <v>9</v>
      </c>
      <c r="B2013" s="39">
        <v>45819</v>
      </c>
      <c r="C2013" s="40">
        <v>0.41666666666666669</v>
      </c>
      <c r="D2013" s="41">
        <v>5785.5839999999998</v>
      </c>
      <c r="E2013" s="41">
        <v>5795.9629999999997</v>
      </c>
      <c r="F2013" s="41">
        <v>5776.7619999999997</v>
      </c>
      <c r="G2013" s="41">
        <v>5788.6980000000003</v>
      </c>
      <c r="H2013" s="41">
        <v>6680192067.2700005</v>
      </c>
      <c r="I2013" s="42">
        <v>23090</v>
      </c>
    </row>
    <row r="2014" spans="1:9" x14ac:dyDescent="0.25">
      <c r="A2014" t="s">
        <v>9</v>
      </c>
      <c r="B2014" s="39">
        <v>45819</v>
      </c>
      <c r="C2014" s="40">
        <v>0.39583333333333331</v>
      </c>
      <c r="D2014" s="41">
        <v>5795.4440000000004</v>
      </c>
      <c r="E2014" s="41">
        <v>5795.4440000000004</v>
      </c>
      <c r="F2014" s="41">
        <v>5773.13</v>
      </c>
      <c r="G2014" s="41">
        <v>5785.0649999999996</v>
      </c>
      <c r="H2014" s="41">
        <v>8703994946.5100002</v>
      </c>
      <c r="I2014" s="42">
        <v>30115</v>
      </c>
    </row>
    <row r="2015" spans="1:9" x14ac:dyDescent="0.25">
      <c r="A2015" t="s">
        <v>9</v>
      </c>
      <c r="B2015" s="39">
        <v>45819</v>
      </c>
      <c r="C2015" s="40">
        <v>0.375</v>
      </c>
      <c r="D2015" s="41">
        <v>5801.6710000000003</v>
      </c>
      <c r="E2015" s="41">
        <v>5814.6450000000004</v>
      </c>
      <c r="F2015" s="41">
        <v>5792.33</v>
      </c>
      <c r="G2015" s="41">
        <v>5798.558</v>
      </c>
      <c r="H2015" s="41">
        <v>3086673207.5100002</v>
      </c>
      <c r="I2015" s="42">
        <v>10640</v>
      </c>
    </row>
    <row r="2016" spans="1:9" x14ac:dyDescent="0.25">
      <c r="A2016" t="s">
        <v>9</v>
      </c>
      <c r="B2016" s="39">
        <v>45818</v>
      </c>
      <c r="C2016" s="40">
        <v>0.75</v>
      </c>
      <c r="D2016" s="41">
        <v>5808.9359999999997</v>
      </c>
      <c r="E2016" s="41">
        <v>5811.0119999999997</v>
      </c>
      <c r="F2016" s="41">
        <v>5804.2659999999996</v>
      </c>
      <c r="G2016" s="41">
        <v>5804.2659999999996</v>
      </c>
      <c r="H2016" s="41">
        <v>1112296364.1300001</v>
      </c>
      <c r="I2016" s="42">
        <v>3830</v>
      </c>
    </row>
    <row r="2017" spans="1:9" x14ac:dyDescent="0.25">
      <c r="A2017" t="s">
        <v>9</v>
      </c>
      <c r="B2017" s="39">
        <v>45818</v>
      </c>
      <c r="C2017" s="40">
        <v>0.72916666666666663</v>
      </c>
      <c r="D2017" s="41">
        <v>5805.8230000000003</v>
      </c>
      <c r="E2017" s="41">
        <v>5811.0119999999997</v>
      </c>
      <c r="F2017" s="41">
        <v>5804.7849999999999</v>
      </c>
      <c r="G2017" s="41">
        <v>5808.9359999999997</v>
      </c>
      <c r="H2017" s="41">
        <v>1012140602.88</v>
      </c>
      <c r="I2017" s="42">
        <v>3485</v>
      </c>
    </row>
    <row r="2018" spans="1:9" x14ac:dyDescent="0.25">
      <c r="A2018" t="s">
        <v>9</v>
      </c>
      <c r="B2018" s="39">
        <v>45818</v>
      </c>
      <c r="C2018" s="40">
        <v>0.70833333333333337</v>
      </c>
      <c r="D2018" s="41">
        <v>5803.7470000000003</v>
      </c>
      <c r="E2018" s="41">
        <v>5807.38</v>
      </c>
      <c r="F2018" s="41">
        <v>5800.6329999999998</v>
      </c>
      <c r="G2018" s="41">
        <v>5805.3040000000001</v>
      </c>
      <c r="H2018" s="41">
        <v>3654496085.4000001</v>
      </c>
      <c r="I2018" s="42">
        <v>12590</v>
      </c>
    </row>
    <row r="2019" spans="1:9" x14ac:dyDescent="0.25">
      <c r="A2019" t="s">
        <v>9</v>
      </c>
      <c r="B2019" s="39">
        <v>45818</v>
      </c>
      <c r="C2019" s="40">
        <v>0.6875</v>
      </c>
      <c r="D2019" s="41">
        <v>5807.38</v>
      </c>
      <c r="E2019" s="41">
        <v>5809.4549999999999</v>
      </c>
      <c r="F2019" s="41">
        <v>5802.19</v>
      </c>
      <c r="G2019" s="41">
        <v>5803.7470000000003</v>
      </c>
      <c r="H2019" s="41">
        <v>1417882014.05</v>
      </c>
      <c r="I2019" s="42">
        <v>4885</v>
      </c>
    </row>
    <row r="2020" spans="1:9" x14ac:dyDescent="0.25">
      <c r="A2020" t="s">
        <v>9</v>
      </c>
      <c r="B2020" s="39">
        <v>45818</v>
      </c>
      <c r="C2020" s="40">
        <v>0.66666666666666663</v>
      </c>
      <c r="D2020" s="41">
        <v>5809.4549999999999</v>
      </c>
      <c r="E2020" s="41">
        <v>5812.05</v>
      </c>
      <c r="F2020" s="41">
        <v>5805.3040000000001</v>
      </c>
      <c r="G2020" s="41">
        <v>5807.8980000000001</v>
      </c>
      <c r="H2020" s="41">
        <v>2246742995.4200001</v>
      </c>
      <c r="I2020" s="42">
        <v>7735</v>
      </c>
    </row>
    <row r="2021" spans="1:9" x14ac:dyDescent="0.25">
      <c r="A2021" t="s">
        <v>9</v>
      </c>
      <c r="B2021" s="39">
        <v>45818</v>
      </c>
      <c r="C2021" s="40">
        <v>0.64583333333333337</v>
      </c>
      <c r="D2021" s="41">
        <v>5801.6710000000003</v>
      </c>
      <c r="E2021" s="41">
        <v>5812.5690000000004</v>
      </c>
      <c r="F2021" s="41">
        <v>5801.152</v>
      </c>
      <c r="G2021" s="41">
        <v>5809.4549999999999</v>
      </c>
      <c r="H2021" s="41">
        <v>2380943877</v>
      </c>
      <c r="I2021" s="42">
        <v>8200</v>
      </c>
    </row>
    <row r="2022" spans="1:9" x14ac:dyDescent="0.25">
      <c r="A2022" t="s">
        <v>9</v>
      </c>
      <c r="B2022" s="39">
        <v>45818</v>
      </c>
      <c r="C2022" s="40">
        <v>0.625</v>
      </c>
      <c r="D2022" s="41">
        <v>5803.7470000000003</v>
      </c>
      <c r="E2022" s="41">
        <v>5804.7849999999999</v>
      </c>
      <c r="F2022" s="41">
        <v>5800.1139999999996</v>
      </c>
      <c r="G2022" s="41">
        <v>5801.6710000000003</v>
      </c>
      <c r="H2022" s="41">
        <v>3632671967.6399999</v>
      </c>
      <c r="I2022" s="42">
        <v>12520</v>
      </c>
    </row>
    <row r="2023" spans="1:9" x14ac:dyDescent="0.25">
      <c r="A2023" t="s">
        <v>9</v>
      </c>
      <c r="B2023" s="39">
        <v>45818</v>
      </c>
      <c r="C2023" s="40">
        <v>0.60416666666666663</v>
      </c>
      <c r="D2023" s="41">
        <v>5800.6329999999998</v>
      </c>
      <c r="E2023" s="41">
        <v>5804.7849999999999</v>
      </c>
      <c r="F2023" s="41">
        <v>5796.482</v>
      </c>
      <c r="G2023" s="41">
        <v>5802.19</v>
      </c>
      <c r="H2023" s="41">
        <v>3204834907.0100002</v>
      </c>
      <c r="I2023" s="42">
        <v>11050</v>
      </c>
    </row>
    <row r="2024" spans="1:9" x14ac:dyDescent="0.25">
      <c r="A2024" t="s">
        <v>9</v>
      </c>
      <c r="B2024" s="39">
        <v>45818</v>
      </c>
      <c r="C2024" s="40">
        <v>0.58333333333333337</v>
      </c>
      <c r="D2024" s="41">
        <v>5793.8869999999997</v>
      </c>
      <c r="E2024" s="41">
        <v>5805.3040000000001</v>
      </c>
      <c r="F2024" s="41">
        <v>5792.8490000000002</v>
      </c>
      <c r="G2024" s="41">
        <v>5800.6329999999998</v>
      </c>
      <c r="H2024" s="41">
        <v>1391609991.5599999</v>
      </c>
      <c r="I2024" s="42">
        <v>4800</v>
      </c>
    </row>
    <row r="2025" spans="1:9" x14ac:dyDescent="0.25">
      <c r="A2025" t="s">
        <v>9</v>
      </c>
      <c r="B2025" s="39">
        <v>45818</v>
      </c>
      <c r="C2025" s="40">
        <v>0.5625</v>
      </c>
      <c r="D2025" s="41">
        <v>5804.7849999999999</v>
      </c>
      <c r="E2025" s="41">
        <v>5809.9740000000002</v>
      </c>
      <c r="F2025" s="41">
        <v>5793.3680000000004</v>
      </c>
      <c r="G2025" s="41">
        <v>5793.8869999999997</v>
      </c>
      <c r="H2025" s="41">
        <v>3622849992.46</v>
      </c>
      <c r="I2025" s="42">
        <v>12490</v>
      </c>
    </row>
    <row r="2026" spans="1:9" x14ac:dyDescent="0.25">
      <c r="A2026" t="s">
        <v>9</v>
      </c>
      <c r="B2026" s="39">
        <v>45818</v>
      </c>
      <c r="C2026" s="40">
        <v>0.54166666666666663</v>
      </c>
      <c r="D2026" s="41">
        <v>5800.1139999999996</v>
      </c>
      <c r="E2026" s="41">
        <v>5805.3040000000001</v>
      </c>
      <c r="F2026" s="41">
        <v>5797.0010000000002</v>
      </c>
      <c r="G2026" s="41">
        <v>5805.3040000000001</v>
      </c>
      <c r="H2026" s="41">
        <v>2804429813.9099998</v>
      </c>
      <c r="I2026" s="42">
        <v>9670</v>
      </c>
    </row>
    <row r="2027" spans="1:9" x14ac:dyDescent="0.25">
      <c r="A2027" t="s">
        <v>9</v>
      </c>
      <c r="B2027" s="39">
        <v>45818</v>
      </c>
      <c r="C2027" s="40">
        <v>0.52083333333333337</v>
      </c>
      <c r="D2027" s="41">
        <v>5792.8490000000002</v>
      </c>
      <c r="E2027" s="41">
        <v>5800.1139999999996</v>
      </c>
      <c r="F2027" s="41">
        <v>5791.2929999999997</v>
      </c>
      <c r="G2027" s="41">
        <v>5800.1139999999996</v>
      </c>
      <c r="H2027" s="41">
        <v>1253497652.27</v>
      </c>
      <c r="I2027" s="42">
        <v>4325</v>
      </c>
    </row>
    <row r="2028" spans="1:9" x14ac:dyDescent="0.25">
      <c r="A2028" t="s">
        <v>9</v>
      </c>
      <c r="B2028" s="39">
        <v>45818</v>
      </c>
      <c r="C2028" s="40">
        <v>0.5</v>
      </c>
      <c r="D2028" s="41">
        <v>5795.9629999999997</v>
      </c>
      <c r="E2028" s="41">
        <v>5799.5959999999995</v>
      </c>
      <c r="F2028" s="41">
        <v>5786.1030000000001</v>
      </c>
      <c r="G2028" s="41">
        <v>5792.8490000000002</v>
      </c>
      <c r="H2028" s="41">
        <v>5931625334.1000004</v>
      </c>
      <c r="I2028" s="42">
        <v>20485</v>
      </c>
    </row>
    <row r="2029" spans="1:9" x14ac:dyDescent="0.25">
      <c r="A2029" t="s">
        <v>9</v>
      </c>
      <c r="B2029" s="39">
        <v>45818</v>
      </c>
      <c r="C2029" s="40">
        <v>0.47916666666666669</v>
      </c>
      <c r="D2029" s="41">
        <v>5778.3190000000004</v>
      </c>
      <c r="E2029" s="41">
        <v>5799.0770000000002</v>
      </c>
      <c r="F2029" s="41">
        <v>5777.8</v>
      </c>
      <c r="G2029" s="41">
        <v>5795.9629999999997</v>
      </c>
      <c r="H2029" s="41">
        <v>5560782817.8400002</v>
      </c>
      <c r="I2029" s="42">
        <v>19210</v>
      </c>
    </row>
    <row r="2030" spans="1:9" x14ac:dyDescent="0.25">
      <c r="A2030" t="s">
        <v>9</v>
      </c>
      <c r="B2030" s="39">
        <v>45818</v>
      </c>
      <c r="C2030" s="40">
        <v>0.45833333333333331</v>
      </c>
      <c r="D2030" s="41">
        <v>5788.1790000000001</v>
      </c>
      <c r="E2030" s="41">
        <v>5788.1790000000001</v>
      </c>
      <c r="F2030" s="41">
        <v>5772.6109999999999</v>
      </c>
      <c r="G2030" s="41">
        <v>5777.8</v>
      </c>
      <c r="H2030" s="41">
        <v>7436063431.4899998</v>
      </c>
      <c r="I2030" s="42">
        <v>25735</v>
      </c>
    </row>
    <row r="2031" spans="1:9" x14ac:dyDescent="0.25">
      <c r="A2031" t="s">
        <v>9</v>
      </c>
      <c r="B2031" s="39">
        <v>45818</v>
      </c>
      <c r="C2031" s="40">
        <v>0.4375</v>
      </c>
      <c r="D2031" s="41">
        <v>5780.9139999999998</v>
      </c>
      <c r="E2031" s="41">
        <v>5795.4440000000004</v>
      </c>
      <c r="F2031" s="41">
        <v>5777.8</v>
      </c>
      <c r="G2031" s="41">
        <v>5787.1409999999996</v>
      </c>
      <c r="H2031" s="41">
        <v>5836813674.9300003</v>
      </c>
      <c r="I2031" s="42">
        <v>20170</v>
      </c>
    </row>
    <row r="2032" spans="1:9" x14ac:dyDescent="0.25">
      <c r="A2032" t="s">
        <v>9</v>
      </c>
      <c r="B2032" s="39">
        <v>45818</v>
      </c>
      <c r="C2032" s="40">
        <v>0.41666666666666669</v>
      </c>
      <c r="D2032" s="41">
        <v>5787.66</v>
      </c>
      <c r="E2032" s="41">
        <v>5789.2169999999996</v>
      </c>
      <c r="F2032" s="41">
        <v>5779.8760000000002</v>
      </c>
      <c r="G2032" s="41">
        <v>5781.433</v>
      </c>
      <c r="H2032" s="41">
        <v>3679259180.3699999</v>
      </c>
      <c r="I2032" s="42">
        <v>12720</v>
      </c>
    </row>
    <row r="2033" spans="1:9" x14ac:dyDescent="0.25">
      <c r="A2033" t="s">
        <v>9</v>
      </c>
      <c r="B2033" s="39">
        <v>45818</v>
      </c>
      <c r="C2033" s="40">
        <v>0.39583333333333331</v>
      </c>
      <c r="D2033" s="41">
        <v>5788.1790000000001</v>
      </c>
      <c r="E2033" s="41">
        <v>5794.9250000000002</v>
      </c>
      <c r="F2033" s="41">
        <v>5778.3190000000004</v>
      </c>
      <c r="G2033" s="41">
        <v>5787.66</v>
      </c>
      <c r="H2033" s="41">
        <v>3746226839.1700001</v>
      </c>
      <c r="I2033" s="42">
        <v>12950</v>
      </c>
    </row>
    <row r="2034" spans="1:9" x14ac:dyDescent="0.25">
      <c r="A2034" t="s">
        <v>9</v>
      </c>
      <c r="B2034" s="39">
        <v>45818</v>
      </c>
      <c r="C2034" s="40">
        <v>0.375</v>
      </c>
      <c r="D2034" s="41">
        <v>5792.8490000000002</v>
      </c>
      <c r="E2034" s="41">
        <v>5807.38</v>
      </c>
      <c r="F2034" s="41">
        <v>5781.433</v>
      </c>
      <c r="G2034" s="41">
        <v>5788.1790000000001</v>
      </c>
      <c r="H2034" s="41">
        <v>4333324835.79</v>
      </c>
      <c r="I2034" s="42">
        <v>14960</v>
      </c>
    </row>
    <row r="2035" spans="1:9" x14ac:dyDescent="0.25">
      <c r="A2035" t="s">
        <v>9</v>
      </c>
      <c r="B2035" s="39">
        <v>45817</v>
      </c>
      <c r="C2035" s="40">
        <v>0.75</v>
      </c>
      <c r="D2035" s="41">
        <v>5796.482</v>
      </c>
      <c r="E2035" s="41">
        <v>5798.558</v>
      </c>
      <c r="F2035" s="41">
        <v>5794.4059999999999</v>
      </c>
      <c r="G2035" s="41">
        <v>5796.482</v>
      </c>
      <c r="H2035" s="41">
        <v>343434419.63999999</v>
      </c>
      <c r="I2035" s="42">
        <v>1185</v>
      </c>
    </row>
    <row r="2036" spans="1:9" x14ac:dyDescent="0.25">
      <c r="A2036" t="s">
        <v>9</v>
      </c>
      <c r="B2036" s="39">
        <v>45817</v>
      </c>
      <c r="C2036" s="40">
        <v>0.72916666666666663</v>
      </c>
      <c r="D2036" s="41">
        <v>5796.482</v>
      </c>
      <c r="E2036" s="41">
        <v>5798.0389999999998</v>
      </c>
      <c r="F2036" s="41">
        <v>5794.4059999999999</v>
      </c>
      <c r="G2036" s="41">
        <v>5795.4440000000004</v>
      </c>
      <c r="H2036" s="41">
        <v>527430428.20999998</v>
      </c>
      <c r="I2036" s="42">
        <v>1820</v>
      </c>
    </row>
    <row r="2037" spans="1:9" x14ac:dyDescent="0.25">
      <c r="A2037" t="s">
        <v>9</v>
      </c>
      <c r="B2037" s="39">
        <v>45817</v>
      </c>
      <c r="C2037" s="40">
        <v>0.70833333333333337</v>
      </c>
      <c r="D2037" s="41">
        <v>5799.0770000000002</v>
      </c>
      <c r="E2037" s="41">
        <v>5800.1139999999996</v>
      </c>
      <c r="F2037" s="41">
        <v>5794.9250000000002</v>
      </c>
      <c r="G2037" s="41">
        <v>5797.52</v>
      </c>
      <c r="H2037" s="41">
        <v>1330291697.1900001</v>
      </c>
      <c r="I2037" s="42">
        <v>4590</v>
      </c>
    </row>
    <row r="2038" spans="1:9" x14ac:dyDescent="0.25">
      <c r="A2038" t="s">
        <v>9</v>
      </c>
      <c r="B2038" s="39">
        <v>45817</v>
      </c>
      <c r="C2038" s="40">
        <v>0.6875</v>
      </c>
      <c r="D2038" s="41">
        <v>5800.6329999999998</v>
      </c>
      <c r="E2038" s="41">
        <v>5800.6329999999998</v>
      </c>
      <c r="F2038" s="41">
        <v>5793.3680000000004</v>
      </c>
      <c r="G2038" s="41">
        <v>5799.0770000000002</v>
      </c>
      <c r="H2038" s="41">
        <v>1784178417.51</v>
      </c>
      <c r="I2038" s="42">
        <v>6155</v>
      </c>
    </row>
    <row r="2039" spans="1:9" x14ac:dyDescent="0.25">
      <c r="A2039" t="s">
        <v>9</v>
      </c>
      <c r="B2039" s="39">
        <v>45817</v>
      </c>
      <c r="C2039" s="40">
        <v>0.66666666666666663</v>
      </c>
      <c r="D2039" s="41">
        <v>5794.9250000000002</v>
      </c>
      <c r="E2039" s="41">
        <v>5804.7849999999999</v>
      </c>
      <c r="F2039" s="41">
        <v>5794.4059999999999</v>
      </c>
      <c r="G2039" s="41">
        <v>5800.1139999999996</v>
      </c>
      <c r="H2039" s="41">
        <v>2674881685.8800001</v>
      </c>
      <c r="I2039" s="42">
        <v>9225</v>
      </c>
    </row>
    <row r="2040" spans="1:9" x14ac:dyDescent="0.25">
      <c r="A2040" t="s">
        <v>9</v>
      </c>
      <c r="B2040" s="39">
        <v>45817</v>
      </c>
      <c r="C2040" s="40">
        <v>0.64583333333333337</v>
      </c>
      <c r="D2040" s="41">
        <v>5800.6329999999998</v>
      </c>
      <c r="E2040" s="41">
        <v>5801.152</v>
      </c>
      <c r="F2040" s="41">
        <v>5791.8119999999999</v>
      </c>
      <c r="G2040" s="41">
        <v>5794.9250000000002</v>
      </c>
      <c r="H2040" s="41">
        <v>3496248755.3600001</v>
      </c>
      <c r="I2040" s="42">
        <v>12065</v>
      </c>
    </row>
    <row r="2041" spans="1:9" x14ac:dyDescent="0.25">
      <c r="A2041" t="s">
        <v>9</v>
      </c>
      <c r="B2041" s="39">
        <v>45817</v>
      </c>
      <c r="C2041" s="40">
        <v>0.625</v>
      </c>
      <c r="D2041" s="41">
        <v>5812.05</v>
      </c>
      <c r="E2041" s="41">
        <v>5812.5690000000004</v>
      </c>
      <c r="F2041" s="41">
        <v>5798.558</v>
      </c>
      <c r="G2041" s="41">
        <v>5801.152</v>
      </c>
      <c r="H2041" s="41">
        <v>4153223549.3400002</v>
      </c>
      <c r="I2041" s="42">
        <v>14305</v>
      </c>
    </row>
    <row r="2042" spans="1:9" x14ac:dyDescent="0.25">
      <c r="A2042" t="s">
        <v>9</v>
      </c>
      <c r="B2042" s="39">
        <v>45817</v>
      </c>
      <c r="C2042" s="40">
        <v>0.60416666666666663</v>
      </c>
      <c r="D2042" s="41">
        <v>5808.4170000000004</v>
      </c>
      <c r="E2042" s="41">
        <v>5813.607</v>
      </c>
      <c r="F2042" s="41">
        <v>5808.4170000000004</v>
      </c>
      <c r="G2042" s="41">
        <v>5812.05</v>
      </c>
      <c r="H2042" s="41">
        <v>1612512646.9300001</v>
      </c>
      <c r="I2042" s="42">
        <v>5550</v>
      </c>
    </row>
    <row r="2043" spans="1:9" x14ac:dyDescent="0.25">
      <c r="A2043" t="s">
        <v>9</v>
      </c>
      <c r="B2043" s="39">
        <v>45817</v>
      </c>
      <c r="C2043" s="40">
        <v>0.58333333333333337</v>
      </c>
      <c r="D2043" s="41">
        <v>5814.1260000000002</v>
      </c>
      <c r="E2043" s="41">
        <v>5815.6819999999998</v>
      </c>
      <c r="F2043" s="41">
        <v>5807.38</v>
      </c>
      <c r="G2043" s="41">
        <v>5808.4170000000004</v>
      </c>
      <c r="H2043" s="41">
        <v>1402274195.0599999</v>
      </c>
      <c r="I2043" s="42">
        <v>4825</v>
      </c>
    </row>
    <row r="2044" spans="1:9" x14ac:dyDescent="0.25">
      <c r="A2044" t="s">
        <v>9</v>
      </c>
      <c r="B2044" s="39">
        <v>45817</v>
      </c>
      <c r="C2044" s="40">
        <v>0.5625</v>
      </c>
      <c r="D2044" s="41">
        <v>5813.0879999999997</v>
      </c>
      <c r="E2044" s="41">
        <v>5818.277</v>
      </c>
      <c r="F2044" s="41">
        <v>5808.9359999999997</v>
      </c>
      <c r="G2044" s="41">
        <v>5813.0879999999997</v>
      </c>
      <c r="H2044" s="41">
        <v>1674173956.03</v>
      </c>
      <c r="I2044" s="42">
        <v>5760</v>
      </c>
    </row>
    <row r="2045" spans="1:9" x14ac:dyDescent="0.25">
      <c r="A2045" t="s">
        <v>9</v>
      </c>
      <c r="B2045" s="39">
        <v>45817</v>
      </c>
      <c r="C2045" s="40">
        <v>0.54166666666666663</v>
      </c>
      <c r="D2045" s="41">
        <v>5813.607</v>
      </c>
      <c r="E2045" s="41">
        <v>5819.8339999999998</v>
      </c>
      <c r="F2045" s="41">
        <v>5811.0119999999997</v>
      </c>
      <c r="G2045" s="41">
        <v>5813.607</v>
      </c>
      <c r="H2045" s="41">
        <v>3248910094.6700001</v>
      </c>
      <c r="I2045" s="42">
        <v>11175</v>
      </c>
    </row>
    <row r="2046" spans="1:9" x14ac:dyDescent="0.25">
      <c r="A2046" t="s">
        <v>9</v>
      </c>
      <c r="B2046" s="39">
        <v>45817</v>
      </c>
      <c r="C2046" s="40">
        <v>0.52083333333333337</v>
      </c>
      <c r="D2046" s="41">
        <v>5809.4549999999999</v>
      </c>
      <c r="E2046" s="41">
        <v>5816.72</v>
      </c>
      <c r="F2046" s="41">
        <v>5808.4170000000004</v>
      </c>
      <c r="G2046" s="41">
        <v>5813.0879999999997</v>
      </c>
      <c r="H2046" s="41">
        <v>2624210470.1999998</v>
      </c>
      <c r="I2046" s="42">
        <v>9030</v>
      </c>
    </row>
    <row r="2047" spans="1:9" x14ac:dyDescent="0.25">
      <c r="A2047" t="s">
        <v>9</v>
      </c>
      <c r="B2047" s="39">
        <v>45817</v>
      </c>
      <c r="C2047" s="40">
        <v>0.5</v>
      </c>
      <c r="D2047" s="41">
        <v>5823.9849999999997</v>
      </c>
      <c r="E2047" s="41">
        <v>5824.5039999999999</v>
      </c>
      <c r="F2047" s="41">
        <v>5805.8230000000003</v>
      </c>
      <c r="G2047" s="41">
        <v>5810.4930000000004</v>
      </c>
      <c r="H2047" s="41">
        <v>3080823794.4000001</v>
      </c>
      <c r="I2047" s="42">
        <v>10595</v>
      </c>
    </row>
    <row r="2048" spans="1:9" x14ac:dyDescent="0.25">
      <c r="A2048" t="s">
        <v>9</v>
      </c>
      <c r="B2048" s="39">
        <v>45817</v>
      </c>
      <c r="C2048" s="40">
        <v>0.47916666666666669</v>
      </c>
      <c r="D2048" s="41">
        <v>5825.0230000000001</v>
      </c>
      <c r="E2048" s="41">
        <v>5830.732</v>
      </c>
      <c r="F2048" s="41">
        <v>5815.1639999999998</v>
      </c>
      <c r="G2048" s="41">
        <v>5823.9849999999997</v>
      </c>
      <c r="H2048" s="41">
        <v>3310867974.0100002</v>
      </c>
      <c r="I2048" s="42">
        <v>11375</v>
      </c>
    </row>
    <row r="2049" spans="1:9" x14ac:dyDescent="0.25">
      <c r="A2049" t="s">
        <v>9</v>
      </c>
      <c r="B2049" s="39">
        <v>45817</v>
      </c>
      <c r="C2049" s="40">
        <v>0.45833333333333331</v>
      </c>
      <c r="D2049" s="41">
        <v>5823.4660000000003</v>
      </c>
      <c r="E2049" s="41">
        <v>5830.732</v>
      </c>
      <c r="F2049" s="41">
        <v>5815.6819999999998</v>
      </c>
      <c r="G2049" s="41">
        <v>5825.0230000000001</v>
      </c>
      <c r="H2049" s="41">
        <v>5619956102.5299997</v>
      </c>
      <c r="I2049" s="42">
        <v>19295</v>
      </c>
    </row>
    <row r="2050" spans="1:9" x14ac:dyDescent="0.25">
      <c r="A2050" t="s">
        <v>9</v>
      </c>
      <c r="B2050" s="39">
        <v>45817</v>
      </c>
      <c r="C2050" s="40">
        <v>0.4375</v>
      </c>
      <c r="D2050" s="41">
        <v>5835.9210000000003</v>
      </c>
      <c r="E2050" s="41">
        <v>5835.9210000000003</v>
      </c>
      <c r="F2050" s="41">
        <v>5809.9740000000002</v>
      </c>
      <c r="G2050" s="41">
        <v>5823.9849999999997</v>
      </c>
      <c r="H2050" s="41">
        <v>7481621340.5600004</v>
      </c>
      <c r="I2050" s="42">
        <v>25700</v>
      </c>
    </row>
    <row r="2051" spans="1:9" x14ac:dyDescent="0.25">
      <c r="A2051" t="s">
        <v>9</v>
      </c>
      <c r="B2051" s="39">
        <v>45817</v>
      </c>
      <c r="C2051" s="40">
        <v>0.41666666666666669</v>
      </c>
      <c r="D2051" s="41">
        <v>5808.9359999999997</v>
      </c>
      <c r="E2051" s="41">
        <v>5837.4780000000001</v>
      </c>
      <c r="F2051" s="41">
        <v>5802.19</v>
      </c>
      <c r="G2051" s="41">
        <v>5835.402</v>
      </c>
      <c r="H2051" s="41">
        <v>5217221778.54</v>
      </c>
      <c r="I2051" s="42">
        <v>17935</v>
      </c>
    </row>
    <row r="2052" spans="1:9" x14ac:dyDescent="0.25">
      <c r="A2052" t="s">
        <v>9</v>
      </c>
      <c r="B2052" s="39">
        <v>45817</v>
      </c>
      <c r="C2052" s="40">
        <v>0.39583333333333331</v>
      </c>
      <c r="D2052" s="41">
        <v>5804.2659999999996</v>
      </c>
      <c r="E2052" s="41">
        <v>5818.277</v>
      </c>
      <c r="F2052" s="41">
        <v>5800.1139999999996</v>
      </c>
      <c r="G2052" s="41">
        <v>5808.4170000000004</v>
      </c>
      <c r="H2052" s="41">
        <v>6106186361.79</v>
      </c>
      <c r="I2052" s="42">
        <v>21025</v>
      </c>
    </row>
    <row r="2053" spans="1:9" x14ac:dyDescent="0.25">
      <c r="A2053" t="s">
        <v>9</v>
      </c>
      <c r="B2053" s="39">
        <v>45817</v>
      </c>
      <c r="C2053" s="40">
        <v>0.375</v>
      </c>
      <c r="D2053" s="41">
        <v>5806.3419999999996</v>
      </c>
      <c r="E2053" s="41">
        <v>5806.8609999999999</v>
      </c>
      <c r="F2053" s="41">
        <v>5789.2169999999996</v>
      </c>
      <c r="G2053" s="41">
        <v>5803.2280000000001</v>
      </c>
      <c r="H2053" s="41">
        <v>4715746953.4099998</v>
      </c>
      <c r="I2053" s="42">
        <v>16270</v>
      </c>
    </row>
    <row r="2054" spans="1:9" x14ac:dyDescent="0.25">
      <c r="A2054" t="s">
        <v>9</v>
      </c>
      <c r="B2054" s="39">
        <v>45814</v>
      </c>
      <c r="C2054" s="40">
        <v>0.75</v>
      </c>
      <c r="D2054" s="41">
        <v>5799.5959999999995</v>
      </c>
      <c r="E2054" s="41">
        <v>5803.7470000000003</v>
      </c>
      <c r="F2054" s="41">
        <v>5796.482</v>
      </c>
      <c r="G2054" s="41">
        <v>5803.7470000000003</v>
      </c>
      <c r="H2054" s="41">
        <v>501772952.16000003</v>
      </c>
      <c r="I2054" s="42">
        <v>1730</v>
      </c>
    </row>
    <row r="2055" spans="1:9" x14ac:dyDescent="0.25">
      <c r="A2055" t="s">
        <v>9</v>
      </c>
      <c r="B2055" s="39">
        <v>45814</v>
      </c>
      <c r="C2055" s="40">
        <v>0.72916666666666663</v>
      </c>
      <c r="D2055" s="41">
        <v>5800.1139999999996</v>
      </c>
      <c r="E2055" s="41">
        <v>5803.2280000000001</v>
      </c>
      <c r="F2055" s="41">
        <v>5797.52</v>
      </c>
      <c r="G2055" s="41">
        <v>5798.558</v>
      </c>
      <c r="H2055" s="41">
        <v>813443610.78999996</v>
      </c>
      <c r="I2055" s="42">
        <v>2805</v>
      </c>
    </row>
    <row r="2056" spans="1:9" x14ac:dyDescent="0.25">
      <c r="A2056" t="s">
        <v>9</v>
      </c>
      <c r="B2056" s="39">
        <v>45814</v>
      </c>
      <c r="C2056" s="40">
        <v>0.70833333333333337</v>
      </c>
      <c r="D2056" s="41">
        <v>5809.4549999999999</v>
      </c>
      <c r="E2056" s="41">
        <v>5810.4930000000004</v>
      </c>
      <c r="F2056" s="41">
        <v>5798.0389999999998</v>
      </c>
      <c r="G2056" s="41">
        <v>5799.5959999999995</v>
      </c>
      <c r="H2056" s="41">
        <v>2817543381.3099999</v>
      </c>
      <c r="I2056" s="42">
        <v>9710</v>
      </c>
    </row>
    <row r="2057" spans="1:9" x14ac:dyDescent="0.25">
      <c r="A2057" t="s">
        <v>9</v>
      </c>
      <c r="B2057" s="39">
        <v>45814</v>
      </c>
      <c r="C2057" s="40">
        <v>0.6875</v>
      </c>
      <c r="D2057" s="41">
        <v>5801.6710000000003</v>
      </c>
      <c r="E2057" s="41">
        <v>5809.4549999999999</v>
      </c>
      <c r="F2057" s="41">
        <v>5799.0770000000002</v>
      </c>
      <c r="G2057" s="41">
        <v>5809.4549999999999</v>
      </c>
      <c r="H2057" s="41">
        <v>2687117348.3200002</v>
      </c>
      <c r="I2057" s="42">
        <v>9260</v>
      </c>
    </row>
    <row r="2058" spans="1:9" x14ac:dyDescent="0.25">
      <c r="A2058" t="s">
        <v>9</v>
      </c>
      <c r="B2058" s="39">
        <v>45814</v>
      </c>
      <c r="C2058" s="40">
        <v>0.66666666666666663</v>
      </c>
      <c r="D2058" s="41">
        <v>5804.2659999999996</v>
      </c>
      <c r="E2058" s="41">
        <v>5806.8609999999999</v>
      </c>
      <c r="F2058" s="41">
        <v>5801.6710000000003</v>
      </c>
      <c r="G2058" s="41">
        <v>5802.19</v>
      </c>
      <c r="H2058" s="41">
        <v>3163457652.1599998</v>
      </c>
      <c r="I2058" s="42">
        <v>10900</v>
      </c>
    </row>
    <row r="2059" spans="1:9" x14ac:dyDescent="0.25">
      <c r="A2059" t="s">
        <v>9</v>
      </c>
      <c r="B2059" s="39">
        <v>45814</v>
      </c>
      <c r="C2059" s="40">
        <v>0.64583333333333337</v>
      </c>
      <c r="D2059" s="41">
        <v>5808.9359999999997</v>
      </c>
      <c r="E2059" s="41">
        <v>5809.9740000000002</v>
      </c>
      <c r="F2059" s="41">
        <v>5800.1139999999996</v>
      </c>
      <c r="G2059" s="41">
        <v>5804.2659999999996</v>
      </c>
      <c r="H2059" s="41">
        <v>5586959616.1099997</v>
      </c>
      <c r="I2059" s="42">
        <v>19255</v>
      </c>
    </row>
    <row r="2060" spans="1:9" x14ac:dyDescent="0.25">
      <c r="A2060" t="s">
        <v>9</v>
      </c>
      <c r="B2060" s="39">
        <v>45814</v>
      </c>
      <c r="C2060" s="40">
        <v>0.625</v>
      </c>
      <c r="D2060" s="41">
        <v>5823.4660000000003</v>
      </c>
      <c r="E2060" s="41">
        <v>5826.58</v>
      </c>
      <c r="F2060" s="41">
        <v>5801.152</v>
      </c>
      <c r="G2060" s="41">
        <v>5808.4170000000004</v>
      </c>
      <c r="H2060" s="41">
        <v>7034618266.8699999</v>
      </c>
      <c r="I2060" s="42">
        <v>24205</v>
      </c>
    </row>
    <row r="2061" spans="1:9" x14ac:dyDescent="0.25">
      <c r="A2061" t="s">
        <v>9</v>
      </c>
      <c r="B2061" s="39">
        <v>45814</v>
      </c>
      <c r="C2061" s="40">
        <v>0.60416666666666663</v>
      </c>
      <c r="D2061" s="41">
        <v>5815.6819999999998</v>
      </c>
      <c r="E2061" s="41">
        <v>5824.5039999999999</v>
      </c>
      <c r="F2061" s="41">
        <v>5815.1639999999998</v>
      </c>
      <c r="G2061" s="41">
        <v>5822.9480000000003</v>
      </c>
      <c r="H2061" s="41">
        <v>2040458424.03</v>
      </c>
      <c r="I2061" s="42">
        <v>7010</v>
      </c>
    </row>
    <row r="2062" spans="1:9" x14ac:dyDescent="0.25">
      <c r="A2062" t="s">
        <v>9</v>
      </c>
      <c r="B2062" s="39">
        <v>45814</v>
      </c>
      <c r="C2062" s="40">
        <v>0.58333333333333337</v>
      </c>
      <c r="D2062" s="41">
        <v>5821.3909999999996</v>
      </c>
      <c r="E2062" s="41">
        <v>5825.0230000000001</v>
      </c>
      <c r="F2062" s="41">
        <v>5807.38</v>
      </c>
      <c r="G2062" s="41">
        <v>5816.72</v>
      </c>
      <c r="H2062" s="41">
        <v>5110599333.3500004</v>
      </c>
      <c r="I2062" s="42">
        <v>17575</v>
      </c>
    </row>
    <row r="2063" spans="1:9" x14ac:dyDescent="0.25">
      <c r="A2063" t="s">
        <v>9</v>
      </c>
      <c r="B2063" s="39">
        <v>45814</v>
      </c>
      <c r="C2063" s="40">
        <v>0.5625</v>
      </c>
      <c r="D2063" s="41">
        <v>5825.0230000000001</v>
      </c>
      <c r="E2063" s="41">
        <v>5826.0609999999997</v>
      </c>
      <c r="F2063" s="41">
        <v>5813.0879999999997</v>
      </c>
      <c r="G2063" s="41">
        <v>5821.3909999999996</v>
      </c>
      <c r="H2063" s="41">
        <v>5604929358.8000002</v>
      </c>
      <c r="I2063" s="42">
        <v>19260</v>
      </c>
    </row>
    <row r="2064" spans="1:9" x14ac:dyDescent="0.25">
      <c r="A2064" t="s">
        <v>9</v>
      </c>
      <c r="B2064" s="39">
        <v>45814</v>
      </c>
      <c r="C2064" s="40">
        <v>0.54166666666666663</v>
      </c>
      <c r="D2064" s="41">
        <v>5839.0339999999997</v>
      </c>
      <c r="E2064" s="41">
        <v>5839.5529999999999</v>
      </c>
      <c r="F2064" s="41">
        <v>5823.9849999999997</v>
      </c>
      <c r="G2064" s="41">
        <v>5825.0230000000001</v>
      </c>
      <c r="H2064" s="41">
        <v>2455165960.0900002</v>
      </c>
      <c r="I2064" s="42">
        <v>8420</v>
      </c>
    </row>
    <row r="2065" spans="1:9" x14ac:dyDescent="0.25">
      <c r="A2065" t="s">
        <v>9</v>
      </c>
      <c r="B2065" s="39">
        <v>45814</v>
      </c>
      <c r="C2065" s="40">
        <v>0.52083333333333337</v>
      </c>
      <c r="D2065" s="41">
        <v>5849.4129999999996</v>
      </c>
      <c r="E2065" s="41">
        <v>5851.4889999999996</v>
      </c>
      <c r="F2065" s="41">
        <v>5839.0339999999997</v>
      </c>
      <c r="G2065" s="41">
        <v>5839.5529999999999</v>
      </c>
      <c r="H2065" s="41">
        <v>2775786656.6799998</v>
      </c>
      <c r="I2065" s="42">
        <v>9500</v>
      </c>
    </row>
    <row r="2066" spans="1:9" x14ac:dyDescent="0.25">
      <c r="A2066" t="s">
        <v>9</v>
      </c>
      <c r="B2066" s="39">
        <v>45814</v>
      </c>
      <c r="C2066" s="40">
        <v>0.5</v>
      </c>
      <c r="D2066" s="41">
        <v>5851.4889999999996</v>
      </c>
      <c r="E2066" s="41">
        <v>5858.7539999999999</v>
      </c>
      <c r="F2066" s="41">
        <v>5844.7430000000004</v>
      </c>
      <c r="G2066" s="41">
        <v>5848.8940000000002</v>
      </c>
      <c r="H2066" s="41">
        <v>5258995627.9499998</v>
      </c>
      <c r="I2066" s="42">
        <v>17970</v>
      </c>
    </row>
    <row r="2067" spans="1:9" x14ac:dyDescent="0.25">
      <c r="A2067" t="s">
        <v>9</v>
      </c>
      <c r="B2067" s="39">
        <v>45814</v>
      </c>
      <c r="C2067" s="40">
        <v>0.47916666666666669</v>
      </c>
      <c r="D2067" s="41">
        <v>5823.4660000000003</v>
      </c>
      <c r="E2067" s="41">
        <v>5853.0460000000003</v>
      </c>
      <c r="F2067" s="41">
        <v>5823.4660000000003</v>
      </c>
      <c r="G2067" s="41">
        <v>5851.4889999999996</v>
      </c>
      <c r="H2067" s="41">
        <v>5448837027.8999996</v>
      </c>
      <c r="I2067" s="42">
        <v>18650</v>
      </c>
    </row>
    <row r="2068" spans="1:9" x14ac:dyDescent="0.25">
      <c r="A2068" t="s">
        <v>9</v>
      </c>
      <c r="B2068" s="39">
        <v>45814</v>
      </c>
      <c r="C2068" s="40">
        <v>0.45833333333333331</v>
      </c>
      <c r="D2068" s="41">
        <v>5834.3639999999996</v>
      </c>
      <c r="E2068" s="41">
        <v>5839.5529999999999</v>
      </c>
      <c r="F2068" s="41">
        <v>5823.4660000000003</v>
      </c>
      <c r="G2068" s="41">
        <v>5824.5039999999999</v>
      </c>
      <c r="H2068" s="41">
        <v>3287887284.2600002</v>
      </c>
      <c r="I2068" s="42">
        <v>11275</v>
      </c>
    </row>
    <row r="2069" spans="1:9" x14ac:dyDescent="0.25">
      <c r="A2069" t="s">
        <v>9</v>
      </c>
      <c r="B2069" s="39">
        <v>45814</v>
      </c>
      <c r="C2069" s="40">
        <v>0.4375</v>
      </c>
      <c r="D2069" s="41">
        <v>5835.402</v>
      </c>
      <c r="E2069" s="41">
        <v>5846.8180000000002</v>
      </c>
      <c r="F2069" s="41">
        <v>5828.1369999999997</v>
      </c>
      <c r="G2069" s="41">
        <v>5833.8450000000003</v>
      </c>
      <c r="H2069" s="41">
        <v>3851346584.04</v>
      </c>
      <c r="I2069" s="42">
        <v>13195</v>
      </c>
    </row>
    <row r="2070" spans="1:9" x14ac:dyDescent="0.25">
      <c r="A2070" t="s">
        <v>9</v>
      </c>
      <c r="B2070" s="39">
        <v>45814</v>
      </c>
      <c r="C2070" s="40">
        <v>0.41666666666666669</v>
      </c>
      <c r="D2070" s="41">
        <v>5820.8720000000003</v>
      </c>
      <c r="E2070" s="41">
        <v>5843.1859999999997</v>
      </c>
      <c r="F2070" s="41">
        <v>5819.3149999999996</v>
      </c>
      <c r="G2070" s="41">
        <v>5834.3639999999996</v>
      </c>
      <c r="H2070" s="41">
        <v>4425923375.3199997</v>
      </c>
      <c r="I2070" s="42">
        <v>15175</v>
      </c>
    </row>
    <row r="2071" spans="1:9" x14ac:dyDescent="0.25">
      <c r="A2071" t="s">
        <v>9</v>
      </c>
      <c r="B2071" s="39">
        <v>45814</v>
      </c>
      <c r="C2071" s="40">
        <v>0.39583333333333331</v>
      </c>
      <c r="D2071" s="41">
        <v>5830.732</v>
      </c>
      <c r="E2071" s="41">
        <v>5850.451</v>
      </c>
      <c r="F2071" s="41">
        <v>5803.7470000000003</v>
      </c>
      <c r="G2071" s="41">
        <v>5821.3909999999996</v>
      </c>
      <c r="H2071" s="41">
        <v>5656044262.21</v>
      </c>
      <c r="I2071" s="42">
        <v>19435</v>
      </c>
    </row>
    <row r="2072" spans="1:9" x14ac:dyDescent="0.25">
      <c r="A2072" t="s">
        <v>9</v>
      </c>
      <c r="B2072" s="39">
        <v>45814</v>
      </c>
      <c r="C2072" s="40">
        <v>0.375</v>
      </c>
      <c r="D2072" s="41">
        <v>5837.9970000000003</v>
      </c>
      <c r="E2072" s="41">
        <v>5840.0720000000001</v>
      </c>
      <c r="F2072" s="41">
        <v>5819.3149999999996</v>
      </c>
      <c r="G2072" s="41">
        <v>5826.58</v>
      </c>
      <c r="H2072" s="41">
        <v>3109077362.6599998</v>
      </c>
      <c r="I2072" s="42">
        <v>10670</v>
      </c>
    </row>
    <row r="2073" spans="1:9" x14ac:dyDescent="0.25">
      <c r="A2073" t="s">
        <v>9</v>
      </c>
      <c r="B2073" s="39">
        <v>45813</v>
      </c>
      <c r="C2073" s="40">
        <v>0.75</v>
      </c>
      <c r="D2073" s="41">
        <v>5832.2879999999996</v>
      </c>
      <c r="E2073" s="41">
        <v>5832.2879999999996</v>
      </c>
      <c r="F2073" s="41">
        <v>5825.0230000000001</v>
      </c>
      <c r="G2073" s="41">
        <v>5825.0230000000001</v>
      </c>
      <c r="H2073" s="41">
        <v>536211423.73000002</v>
      </c>
      <c r="I2073" s="42">
        <v>1840</v>
      </c>
    </row>
    <row r="2074" spans="1:9" x14ac:dyDescent="0.25">
      <c r="A2074" t="s">
        <v>9</v>
      </c>
      <c r="B2074" s="39">
        <v>45813</v>
      </c>
      <c r="C2074" s="40">
        <v>0.72916666666666663</v>
      </c>
      <c r="D2074" s="41">
        <v>5829.1750000000002</v>
      </c>
      <c r="E2074" s="41">
        <v>5832.8069999999998</v>
      </c>
      <c r="F2074" s="41">
        <v>5828.6559999999999</v>
      </c>
      <c r="G2074" s="41">
        <v>5831.7690000000002</v>
      </c>
      <c r="H2074" s="41">
        <v>806072167.10000002</v>
      </c>
      <c r="I2074" s="42">
        <v>2765</v>
      </c>
    </row>
    <row r="2075" spans="1:9" x14ac:dyDescent="0.25">
      <c r="A2075" t="s">
        <v>9</v>
      </c>
      <c r="B2075" s="39">
        <v>45813</v>
      </c>
      <c r="C2075" s="40">
        <v>0.70833333333333337</v>
      </c>
      <c r="D2075" s="41">
        <v>5828.6559999999999</v>
      </c>
      <c r="E2075" s="41">
        <v>5829.6940000000004</v>
      </c>
      <c r="F2075" s="41">
        <v>5824.5039999999999</v>
      </c>
      <c r="G2075" s="41">
        <v>5829.1750000000002</v>
      </c>
      <c r="H2075" s="41">
        <v>1279073915.3</v>
      </c>
      <c r="I2075" s="42">
        <v>4390</v>
      </c>
    </row>
    <row r="2076" spans="1:9" x14ac:dyDescent="0.25">
      <c r="A2076" t="s">
        <v>9</v>
      </c>
      <c r="B2076" s="39">
        <v>45813</v>
      </c>
      <c r="C2076" s="40">
        <v>0.6875</v>
      </c>
      <c r="D2076" s="41">
        <v>5833.326</v>
      </c>
      <c r="E2076" s="41">
        <v>5834.3639999999996</v>
      </c>
      <c r="F2076" s="41">
        <v>5826.58</v>
      </c>
      <c r="G2076" s="41">
        <v>5828.1369999999997</v>
      </c>
      <c r="H2076" s="41">
        <v>1630647929.25</v>
      </c>
      <c r="I2076" s="42">
        <v>5595</v>
      </c>
    </row>
    <row r="2077" spans="1:9" x14ac:dyDescent="0.25">
      <c r="A2077" t="s">
        <v>9</v>
      </c>
      <c r="B2077" s="39">
        <v>45813</v>
      </c>
      <c r="C2077" s="40">
        <v>0.66666666666666663</v>
      </c>
      <c r="D2077" s="41">
        <v>5831.25</v>
      </c>
      <c r="E2077" s="41">
        <v>5837.4780000000001</v>
      </c>
      <c r="F2077" s="41">
        <v>5831.25</v>
      </c>
      <c r="G2077" s="41">
        <v>5833.8450000000003</v>
      </c>
      <c r="H2077" s="41">
        <v>2228786485.5300002</v>
      </c>
      <c r="I2077" s="42">
        <v>7640</v>
      </c>
    </row>
    <row r="2078" spans="1:9" x14ac:dyDescent="0.25">
      <c r="A2078" t="s">
        <v>9</v>
      </c>
      <c r="B2078" s="39">
        <v>45813</v>
      </c>
      <c r="C2078" s="40">
        <v>0.64583333333333337</v>
      </c>
      <c r="D2078" s="41">
        <v>5833.326</v>
      </c>
      <c r="E2078" s="41">
        <v>5838.5159999999996</v>
      </c>
      <c r="F2078" s="41">
        <v>5830.2129999999997</v>
      </c>
      <c r="G2078" s="41">
        <v>5831.25</v>
      </c>
      <c r="H2078" s="41">
        <v>3659452544.5</v>
      </c>
      <c r="I2078" s="42">
        <v>12545</v>
      </c>
    </row>
    <row r="2079" spans="1:9" x14ac:dyDescent="0.25">
      <c r="A2079" t="s">
        <v>9</v>
      </c>
      <c r="B2079" s="39">
        <v>45813</v>
      </c>
      <c r="C2079" s="40">
        <v>0.625</v>
      </c>
      <c r="D2079" s="41">
        <v>5829.1750000000002</v>
      </c>
      <c r="E2079" s="41">
        <v>5833.8450000000003</v>
      </c>
      <c r="F2079" s="41">
        <v>5828.1369999999997</v>
      </c>
      <c r="G2079" s="41">
        <v>5833.326</v>
      </c>
      <c r="H2079" s="41">
        <v>1332462912.99</v>
      </c>
      <c r="I2079" s="42">
        <v>4570</v>
      </c>
    </row>
    <row r="2080" spans="1:9" x14ac:dyDescent="0.25">
      <c r="A2080" t="s">
        <v>9</v>
      </c>
      <c r="B2080" s="39">
        <v>45813</v>
      </c>
      <c r="C2080" s="40">
        <v>0.60416666666666663</v>
      </c>
      <c r="D2080" s="41">
        <v>5828.6559999999999</v>
      </c>
      <c r="E2080" s="41">
        <v>5833.8450000000003</v>
      </c>
      <c r="F2080" s="41">
        <v>5827.0990000000002</v>
      </c>
      <c r="G2080" s="41">
        <v>5828.6559999999999</v>
      </c>
      <c r="H2080" s="41">
        <v>2745879248.8499999</v>
      </c>
      <c r="I2080" s="42">
        <v>9420</v>
      </c>
    </row>
    <row r="2081" spans="1:9" x14ac:dyDescent="0.25">
      <c r="A2081" t="s">
        <v>9</v>
      </c>
      <c r="B2081" s="39">
        <v>45813</v>
      </c>
      <c r="C2081" s="40">
        <v>0.58333333333333337</v>
      </c>
      <c r="D2081" s="41">
        <v>5831.25</v>
      </c>
      <c r="E2081" s="41">
        <v>5831.25</v>
      </c>
      <c r="F2081" s="41">
        <v>5820.3530000000001</v>
      </c>
      <c r="G2081" s="41">
        <v>5828.6559999999999</v>
      </c>
      <c r="H2081" s="41">
        <v>2426134640.9499998</v>
      </c>
      <c r="I2081" s="42">
        <v>8330</v>
      </c>
    </row>
    <row r="2082" spans="1:9" x14ac:dyDescent="0.25">
      <c r="A2082" t="s">
        <v>9</v>
      </c>
      <c r="B2082" s="39">
        <v>45813</v>
      </c>
      <c r="C2082" s="40">
        <v>0.5625</v>
      </c>
      <c r="D2082" s="41">
        <v>5835.402</v>
      </c>
      <c r="E2082" s="41">
        <v>5837.9970000000003</v>
      </c>
      <c r="F2082" s="41">
        <v>5823.9849999999997</v>
      </c>
      <c r="G2082" s="41">
        <v>5830.732</v>
      </c>
      <c r="H2082" s="41">
        <v>3308567933.0900002</v>
      </c>
      <c r="I2082" s="42">
        <v>11350</v>
      </c>
    </row>
    <row r="2083" spans="1:9" x14ac:dyDescent="0.25">
      <c r="A2083" t="s">
        <v>9</v>
      </c>
      <c r="B2083" s="39">
        <v>45813</v>
      </c>
      <c r="C2083" s="40">
        <v>0.54166666666666663</v>
      </c>
      <c r="D2083" s="41">
        <v>5834.8829999999998</v>
      </c>
      <c r="E2083" s="41">
        <v>5840.5910000000003</v>
      </c>
      <c r="F2083" s="41">
        <v>5832.8069999999998</v>
      </c>
      <c r="G2083" s="41">
        <v>5835.402</v>
      </c>
      <c r="H2083" s="41">
        <v>2429239157.8000002</v>
      </c>
      <c r="I2083" s="42">
        <v>8325</v>
      </c>
    </row>
    <row r="2084" spans="1:9" x14ac:dyDescent="0.25">
      <c r="A2084" t="s">
        <v>9</v>
      </c>
      <c r="B2084" s="39">
        <v>45813</v>
      </c>
      <c r="C2084" s="40">
        <v>0.52083333333333337</v>
      </c>
      <c r="D2084" s="41">
        <v>5836.9589999999998</v>
      </c>
      <c r="E2084" s="41">
        <v>5846.3</v>
      </c>
      <c r="F2084" s="41">
        <v>5834.8829999999998</v>
      </c>
      <c r="G2084" s="41">
        <v>5835.402</v>
      </c>
      <c r="H2084" s="41">
        <v>1469114196.3299999</v>
      </c>
      <c r="I2084" s="42">
        <v>5030</v>
      </c>
    </row>
    <row r="2085" spans="1:9" x14ac:dyDescent="0.25">
      <c r="A2085" t="s">
        <v>9</v>
      </c>
      <c r="B2085" s="39">
        <v>45813</v>
      </c>
      <c r="C2085" s="40">
        <v>0.5</v>
      </c>
      <c r="D2085" s="41">
        <v>5841.11</v>
      </c>
      <c r="E2085" s="41">
        <v>5841.11</v>
      </c>
      <c r="F2085" s="41">
        <v>5833.8450000000003</v>
      </c>
      <c r="G2085" s="41">
        <v>5836.9589999999998</v>
      </c>
      <c r="H2085" s="41">
        <v>2765410201.5500002</v>
      </c>
      <c r="I2085" s="42">
        <v>9475</v>
      </c>
    </row>
    <row r="2086" spans="1:9" x14ac:dyDescent="0.25">
      <c r="A2086" t="s">
        <v>9</v>
      </c>
      <c r="B2086" s="39">
        <v>45813</v>
      </c>
      <c r="C2086" s="40">
        <v>0.47916666666666669</v>
      </c>
      <c r="D2086" s="41">
        <v>5842.1480000000001</v>
      </c>
      <c r="E2086" s="41">
        <v>5844.7430000000004</v>
      </c>
      <c r="F2086" s="41">
        <v>5833.326</v>
      </c>
      <c r="G2086" s="41">
        <v>5840.5910000000003</v>
      </c>
      <c r="H2086" s="41">
        <v>2885806167.21</v>
      </c>
      <c r="I2086" s="42">
        <v>9885</v>
      </c>
    </row>
    <row r="2087" spans="1:9" x14ac:dyDescent="0.25">
      <c r="A2087" t="s">
        <v>9</v>
      </c>
      <c r="B2087" s="39">
        <v>45813</v>
      </c>
      <c r="C2087" s="40">
        <v>0.45833333333333331</v>
      </c>
      <c r="D2087" s="41">
        <v>5840.0720000000001</v>
      </c>
      <c r="E2087" s="41">
        <v>5852.0079999999998</v>
      </c>
      <c r="F2087" s="41">
        <v>5839.0339999999997</v>
      </c>
      <c r="G2087" s="41">
        <v>5841.11</v>
      </c>
      <c r="H2087" s="41">
        <v>3822062414.7800002</v>
      </c>
      <c r="I2087" s="42">
        <v>13075</v>
      </c>
    </row>
    <row r="2088" spans="1:9" x14ac:dyDescent="0.25">
      <c r="A2088" t="s">
        <v>9</v>
      </c>
      <c r="B2088" s="39">
        <v>45813</v>
      </c>
      <c r="C2088" s="40">
        <v>0.4375</v>
      </c>
      <c r="D2088" s="41">
        <v>5835.9210000000003</v>
      </c>
      <c r="E2088" s="41">
        <v>5844.2240000000002</v>
      </c>
      <c r="F2088" s="41">
        <v>5832.2879999999996</v>
      </c>
      <c r="G2088" s="41">
        <v>5840.0720000000001</v>
      </c>
      <c r="H2088" s="41">
        <v>5326700690.5900002</v>
      </c>
      <c r="I2088" s="42">
        <v>18245</v>
      </c>
    </row>
    <row r="2089" spans="1:9" x14ac:dyDescent="0.25">
      <c r="A2089" t="s">
        <v>9</v>
      </c>
      <c r="B2089" s="39">
        <v>45813</v>
      </c>
      <c r="C2089" s="40">
        <v>0.41666666666666669</v>
      </c>
      <c r="D2089" s="41">
        <v>5856.6779999999999</v>
      </c>
      <c r="E2089" s="41">
        <v>5856.6779999999999</v>
      </c>
      <c r="F2089" s="41">
        <v>5832.8069999999998</v>
      </c>
      <c r="G2089" s="41">
        <v>5835.402</v>
      </c>
      <c r="H2089" s="41">
        <v>7257042044.6800003</v>
      </c>
      <c r="I2089" s="42">
        <v>24840</v>
      </c>
    </row>
    <row r="2090" spans="1:9" x14ac:dyDescent="0.25">
      <c r="A2090" t="s">
        <v>9</v>
      </c>
      <c r="B2090" s="39">
        <v>45813</v>
      </c>
      <c r="C2090" s="40">
        <v>0.39583333333333331</v>
      </c>
      <c r="D2090" s="41">
        <v>5868.6139999999996</v>
      </c>
      <c r="E2090" s="41">
        <v>5872.7650000000003</v>
      </c>
      <c r="F2090" s="41">
        <v>5848.8940000000002</v>
      </c>
      <c r="G2090" s="41">
        <v>5857.1970000000001</v>
      </c>
      <c r="H2090" s="41">
        <v>5050249627.4700003</v>
      </c>
      <c r="I2090" s="42">
        <v>17235</v>
      </c>
    </row>
    <row r="2091" spans="1:9" x14ac:dyDescent="0.25">
      <c r="A2091" t="s">
        <v>9</v>
      </c>
      <c r="B2091" s="39">
        <v>45813</v>
      </c>
      <c r="C2091" s="40">
        <v>0.375</v>
      </c>
      <c r="D2091" s="41">
        <v>5880.549</v>
      </c>
      <c r="E2091" s="41">
        <v>5883.6629999999996</v>
      </c>
      <c r="F2091" s="41">
        <v>5866.5379999999996</v>
      </c>
      <c r="G2091" s="41">
        <v>5870.17</v>
      </c>
      <c r="H2091" s="41">
        <v>2556409794.1599998</v>
      </c>
      <c r="I2091" s="42">
        <v>8705</v>
      </c>
    </row>
    <row r="2092" spans="1:9" x14ac:dyDescent="0.25">
      <c r="A2092" t="s">
        <v>9</v>
      </c>
      <c r="B2092" s="39">
        <v>45812</v>
      </c>
      <c r="C2092" s="40">
        <v>0.75</v>
      </c>
      <c r="D2092" s="41">
        <v>5882.1059999999998</v>
      </c>
      <c r="E2092" s="41">
        <v>5883.6629999999996</v>
      </c>
      <c r="F2092" s="41">
        <v>5876.3980000000001</v>
      </c>
      <c r="G2092" s="41">
        <v>5877.4350000000004</v>
      </c>
      <c r="H2092" s="41">
        <v>520380723</v>
      </c>
      <c r="I2092" s="42">
        <v>1770</v>
      </c>
    </row>
    <row r="2093" spans="1:9" x14ac:dyDescent="0.25">
      <c r="A2093" t="s">
        <v>9</v>
      </c>
      <c r="B2093" s="39">
        <v>45812</v>
      </c>
      <c r="C2093" s="40">
        <v>0.72916666666666663</v>
      </c>
      <c r="D2093" s="41">
        <v>5883.6629999999996</v>
      </c>
      <c r="E2093" s="41">
        <v>5884.701</v>
      </c>
      <c r="F2093" s="41">
        <v>5877.9539999999997</v>
      </c>
      <c r="G2093" s="41">
        <v>5881.5870000000004</v>
      </c>
      <c r="H2093" s="41">
        <v>1465981267.9000001</v>
      </c>
      <c r="I2093" s="42">
        <v>4985</v>
      </c>
    </row>
    <row r="2094" spans="1:9" x14ac:dyDescent="0.25">
      <c r="A2094" t="s">
        <v>9</v>
      </c>
      <c r="B2094" s="39">
        <v>45812</v>
      </c>
      <c r="C2094" s="40">
        <v>0.70833333333333337</v>
      </c>
      <c r="D2094" s="41">
        <v>5889.89</v>
      </c>
      <c r="E2094" s="41">
        <v>5890.9279999999999</v>
      </c>
      <c r="F2094" s="41">
        <v>5880.03</v>
      </c>
      <c r="G2094" s="41">
        <v>5883.6629999999996</v>
      </c>
      <c r="H2094" s="41">
        <v>2826607973.73</v>
      </c>
      <c r="I2094" s="42">
        <v>9605</v>
      </c>
    </row>
    <row r="2095" spans="1:9" x14ac:dyDescent="0.25">
      <c r="A2095" t="s">
        <v>9</v>
      </c>
      <c r="B2095" s="39">
        <v>45812</v>
      </c>
      <c r="C2095" s="40">
        <v>0.6875</v>
      </c>
      <c r="D2095" s="41">
        <v>5894.56</v>
      </c>
      <c r="E2095" s="41">
        <v>5895.0789999999997</v>
      </c>
      <c r="F2095" s="41">
        <v>5888.3329999999996</v>
      </c>
      <c r="G2095" s="41">
        <v>5889.89</v>
      </c>
      <c r="H2095" s="41">
        <v>1743549593.8299999</v>
      </c>
      <c r="I2095" s="42">
        <v>5920</v>
      </c>
    </row>
    <row r="2096" spans="1:9" x14ac:dyDescent="0.25">
      <c r="A2096" t="s">
        <v>9</v>
      </c>
      <c r="B2096" s="39">
        <v>45812</v>
      </c>
      <c r="C2096" s="40">
        <v>0.66666666666666663</v>
      </c>
      <c r="D2096" s="41">
        <v>5894.56</v>
      </c>
      <c r="E2096" s="41">
        <v>5899.2309999999998</v>
      </c>
      <c r="F2096" s="41">
        <v>5892.4849999999997</v>
      </c>
      <c r="G2096" s="41">
        <v>5894.56</v>
      </c>
      <c r="H2096" s="41">
        <v>4929853402.3500004</v>
      </c>
      <c r="I2096" s="42">
        <v>16720</v>
      </c>
    </row>
    <row r="2097" spans="1:9" x14ac:dyDescent="0.25">
      <c r="A2097" t="s">
        <v>9</v>
      </c>
      <c r="B2097" s="39">
        <v>45812</v>
      </c>
      <c r="C2097" s="40">
        <v>0.64583333333333337</v>
      </c>
      <c r="D2097" s="41">
        <v>5890.9279999999999</v>
      </c>
      <c r="E2097" s="41">
        <v>5895.0789999999997</v>
      </c>
      <c r="F2097" s="41">
        <v>5890.9279999999999</v>
      </c>
      <c r="G2097" s="41">
        <v>5892.4849999999997</v>
      </c>
      <c r="H2097" s="41">
        <v>2513514789.9299998</v>
      </c>
      <c r="I2097" s="42">
        <v>8530</v>
      </c>
    </row>
    <row r="2098" spans="1:9" x14ac:dyDescent="0.25">
      <c r="A2098" t="s">
        <v>9</v>
      </c>
      <c r="B2098" s="39">
        <v>45812</v>
      </c>
      <c r="C2098" s="40">
        <v>0.625</v>
      </c>
      <c r="D2098" s="41">
        <v>5887.2950000000001</v>
      </c>
      <c r="E2098" s="41">
        <v>5892.4849999999997</v>
      </c>
      <c r="F2098" s="41">
        <v>5884.1819999999998</v>
      </c>
      <c r="G2098" s="41">
        <v>5890.4089999999997</v>
      </c>
      <c r="H2098" s="41">
        <v>2741365569.3600001</v>
      </c>
      <c r="I2098" s="42">
        <v>9310</v>
      </c>
    </row>
    <row r="2099" spans="1:9" x14ac:dyDescent="0.25">
      <c r="A2099" t="s">
        <v>9</v>
      </c>
      <c r="B2099" s="39">
        <v>45812</v>
      </c>
      <c r="C2099" s="40">
        <v>0.60416666666666663</v>
      </c>
      <c r="D2099" s="41">
        <v>5883.1440000000002</v>
      </c>
      <c r="E2099" s="41">
        <v>5890.4089999999997</v>
      </c>
      <c r="F2099" s="41">
        <v>5879.5110000000004</v>
      </c>
      <c r="G2099" s="41">
        <v>5887.2950000000001</v>
      </c>
      <c r="H2099" s="41">
        <v>1624235992.73</v>
      </c>
      <c r="I2099" s="42">
        <v>5520</v>
      </c>
    </row>
    <row r="2100" spans="1:9" x14ac:dyDescent="0.25">
      <c r="A2100" t="s">
        <v>9</v>
      </c>
      <c r="B2100" s="39">
        <v>45812</v>
      </c>
      <c r="C2100" s="40">
        <v>0.58333333333333337</v>
      </c>
      <c r="D2100" s="41">
        <v>5886.2569999999996</v>
      </c>
      <c r="E2100" s="41">
        <v>5888.3329999999996</v>
      </c>
      <c r="F2100" s="41">
        <v>5881.0680000000002</v>
      </c>
      <c r="G2100" s="41">
        <v>5883.6629999999996</v>
      </c>
      <c r="H2100" s="41">
        <v>1341732094.76</v>
      </c>
      <c r="I2100" s="42">
        <v>4560</v>
      </c>
    </row>
    <row r="2101" spans="1:9" x14ac:dyDescent="0.25">
      <c r="A2101" t="s">
        <v>9</v>
      </c>
      <c r="B2101" s="39">
        <v>45812</v>
      </c>
      <c r="C2101" s="40">
        <v>0.5625</v>
      </c>
      <c r="D2101" s="41">
        <v>5888.3329999999996</v>
      </c>
      <c r="E2101" s="41">
        <v>5893.5219999999999</v>
      </c>
      <c r="F2101" s="41">
        <v>5883.1440000000002</v>
      </c>
      <c r="G2101" s="41">
        <v>5885.7380000000003</v>
      </c>
      <c r="H2101" s="41">
        <v>4115254387.1700001</v>
      </c>
      <c r="I2101" s="42">
        <v>13975</v>
      </c>
    </row>
    <row r="2102" spans="1:9" x14ac:dyDescent="0.25">
      <c r="A2102" t="s">
        <v>9</v>
      </c>
      <c r="B2102" s="39">
        <v>45812</v>
      </c>
      <c r="C2102" s="40">
        <v>0.54166666666666663</v>
      </c>
      <c r="D2102" s="41">
        <v>5885.7380000000003</v>
      </c>
      <c r="E2102" s="41">
        <v>5890.4089999999997</v>
      </c>
      <c r="F2102" s="41">
        <v>5882.625</v>
      </c>
      <c r="G2102" s="41">
        <v>5888.3329999999996</v>
      </c>
      <c r="H2102" s="41">
        <v>1392349471.1300001</v>
      </c>
      <c r="I2102" s="42">
        <v>4730</v>
      </c>
    </row>
    <row r="2103" spans="1:9" x14ac:dyDescent="0.25">
      <c r="A2103" t="s">
        <v>9</v>
      </c>
      <c r="B2103" s="39">
        <v>45812</v>
      </c>
      <c r="C2103" s="40">
        <v>0.52083333333333337</v>
      </c>
      <c r="D2103" s="41">
        <v>5884.701</v>
      </c>
      <c r="E2103" s="41">
        <v>5886.2569999999996</v>
      </c>
      <c r="F2103" s="41">
        <v>5881.5870000000004</v>
      </c>
      <c r="G2103" s="41">
        <v>5885.7380000000003</v>
      </c>
      <c r="H2103" s="41">
        <v>2431344858.3000002</v>
      </c>
      <c r="I2103" s="42">
        <v>8265</v>
      </c>
    </row>
    <row r="2104" spans="1:9" x14ac:dyDescent="0.25">
      <c r="A2104" t="s">
        <v>9</v>
      </c>
      <c r="B2104" s="39">
        <v>45812</v>
      </c>
      <c r="C2104" s="40">
        <v>0.5</v>
      </c>
      <c r="D2104" s="41">
        <v>5874.3220000000001</v>
      </c>
      <c r="E2104" s="41">
        <v>5890.9279999999999</v>
      </c>
      <c r="F2104" s="41">
        <v>5874.3220000000001</v>
      </c>
      <c r="G2104" s="41">
        <v>5884.701</v>
      </c>
      <c r="H2104" s="41">
        <v>3022104316.6300001</v>
      </c>
      <c r="I2104" s="42">
        <v>10275</v>
      </c>
    </row>
    <row r="2105" spans="1:9" x14ac:dyDescent="0.25">
      <c r="A2105" t="s">
        <v>9</v>
      </c>
      <c r="B2105" s="39">
        <v>45812</v>
      </c>
      <c r="C2105" s="40">
        <v>0.47916666666666669</v>
      </c>
      <c r="D2105" s="41">
        <v>5875.36</v>
      </c>
      <c r="E2105" s="41">
        <v>5880.549</v>
      </c>
      <c r="F2105" s="41">
        <v>5872.2460000000001</v>
      </c>
      <c r="G2105" s="41">
        <v>5873.2839999999997</v>
      </c>
      <c r="H2105" s="41">
        <v>1847965406.04</v>
      </c>
      <c r="I2105" s="42">
        <v>6290</v>
      </c>
    </row>
    <row r="2106" spans="1:9" x14ac:dyDescent="0.25">
      <c r="A2106" t="s">
        <v>9</v>
      </c>
      <c r="B2106" s="39">
        <v>45812</v>
      </c>
      <c r="C2106" s="40">
        <v>0.45833333333333331</v>
      </c>
      <c r="D2106" s="41">
        <v>5882.625</v>
      </c>
      <c r="E2106" s="41">
        <v>5888.8519999999999</v>
      </c>
      <c r="F2106" s="41">
        <v>5862.3860000000004</v>
      </c>
      <c r="G2106" s="41">
        <v>5875.36</v>
      </c>
      <c r="H2106" s="41">
        <v>4650013836.2799997</v>
      </c>
      <c r="I2106" s="42">
        <v>15835</v>
      </c>
    </row>
    <row r="2107" spans="1:9" x14ac:dyDescent="0.25">
      <c r="A2107" t="s">
        <v>9</v>
      </c>
      <c r="B2107" s="39">
        <v>45812</v>
      </c>
      <c r="C2107" s="40">
        <v>0.4375</v>
      </c>
      <c r="D2107" s="41">
        <v>5883.1440000000002</v>
      </c>
      <c r="E2107" s="41">
        <v>5886.7759999999998</v>
      </c>
      <c r="F2107" s="41">
        <v>5873.8029999999999</v>
      </c>
      <c r="G2107" s="41">
        <v>5883.1440000000002</v>
      </c>
      <c r="H2107" s="41">
        <v>8068114261.2600002</v>
      </c>
      <c r="I2107" s="42">
        <v>27445</v>
      </c>
    </row>
    <row r="2108" spans="1:9" x14ac:dyDescent="0.25">
      <c r="A2108" t="s">
        <v>9</v>
      </c>
      <c r="B2108" s="39">
        <v>45812</v>
      </c>
      <c r="C2108" s="40">
        <v>0.41666666666666669</v>
      </c>
      <c r="D2108" s="41">
        <v>5869.6509999999998</v>
      </c>
      <c r="E2108" s="41">
        <v>5883.1440000000002</v>
      </c>
      <c r="F2108" s="41">
        <v>5868.0950000000003</v>
      </c>
      <c r="G2108" s="41">
        <v>5883.1440000000002</v>
      </c>
      <c r="H2108" s="41">
        <v>7555352772.46</v>
      </c>
      <c r="I2108" s="42">
        <v>25715</v>
      </c>
    </row>
    <row r="2109" spans="1:9" x14ac:dyDescent="0.25">
      <c r="A2109" t="s">
        <v>9</v>
      </c>
      <c r="B2109" s="39">
        <v>45812</v>
      </c>
      <c r="C2109" s="40">
        <v>0.39583333333333331</v>
      </c>
      <c r="D2109" s="41">
        <v>5861.8680000000004</v>
      </c>
      <c r="E2109" s="41">
        <v>5871.2079999999996</v>
      </c>
      <c r="F2109" s="41">
        <v>5858.2349999999997</v>
      </c>
      <c r="G2109" s="41">
        <v>5869.6509999999998</v>
      </c>
      <c r="H2109" s="41">
        <v>4105333036.3099999</v>
      </c>
      <c r="I2109" s="42">
        <v>14000</v>
      </c>
    </row>
    <row r="2110" spans="1:9" x14ac:dyDescent="0.25">
      <c r="A2110" t="s">
        <v>9</v>
      </c>
      <c r="B2110" s="39">
        <v>45812</v>
      </c>
      <c r="C2110" s="40">
        <v>0.375</v>
      </c>
      <c r="D2110" s="41">
        <v>5883.6629999999996</v>
      </c>
      <c r="E2110" s="41">
        <v>5884.701</v>
      </c>
      <c r="F2110" s="41">
        <v>5855.64</v>
      </c>
      <c r="G2110" s="41">
        <v>5862.3860000000004</v>
      </c>
      <c r="H2110" s="41">
        <v>4287474248.4899998</v>
      </c>
      <c r="I2110" s="42">
        <v>14620</v>
      </c>
    </row>
    <row r="2111" spans="1:9" x14ac:dyDescent="0.25">
      <c r="A2111" t="s">
        <v>9</v>
      </c>
      <c r="B2111" s="39">
        <v>45811</v>
      </c>
      <c r="C2111" s="40">
        <v>0.75</v>
      </c>
      <c r="D2111" s="41">
        <v>5887.2950000000001</v>
      </c>
      <c r="E2111" s="41">
        <v>5889.89</v>
      </c>
      <c r="F2111" s="41">
        <v>5883.6629999999996</v>
      </c>
      <c r="G2111" s="41">
        <v>5889.89</v>
      </c>
      <c r="H2111" s="41">
        <v>392857601.38</v>
      </c>
      <c r="I2111" s="42">
        <v>1335</v>
      </c>
    </row>
    <row r="2112" spans="1:9" x14ac:dyDescent="0.25">
      <c r="A2112" t="s">
        <v>9</v>
      </c>
      <c r="B2112" s="39">
        <v>45811</v>
      </c>
      <c r="C2112" s="40">
        <v>0.72916666666666663</v>
      </c>
      <c r="D2112" s="41">
        <v>5884.1819999999998</v>
      </c>
      <c r="E2112" s="41">
        <v>5888.8519999999999</v>
      </c>
      <c r="F2112" s="41">
        <v>5883.6629999999996</v>
      </c>
      <c r="G2112" s="41">
        <v>5886.7759999999998</v>
      </c>
      <c r="H2112" s="41">
        <v>666629932.19000006</v>
      </c>
      <c r="I2112" s="42">
        <v>2265</v>
      </c>
    </row>
    <row r="2113" spans="1:9" x14ac:dyDescent="0.25">
      <c r="A2113" t="s">
        <v>9</v>
      </c>
      <c r="B2113" s="39">
        <v>45811</v>
      </c>
      <c r="C2113" s="40">
        <v>0.70833333333333337</v>
      </c>
      <c r="D2113" s="41">
        <v>5884.701</v>
      </c>
      <c r="E2113" s="41">
        <v>5888.8519999999999</v>
      </c>
      <c r="F2113" s="41">
        <v>5880.549</v>
      </c>
      <c r="G2113" s="41">
        <v>5884.1819999999998</v>
      </c>
      <c r="H2113" s="41">
        <v>1335862702.73</v>
      </c>
      <c r="I2113" s="42">
        <v>4540</v>
      </c>
    </row>
    <row r="2114" spans="1:9" x14ac:dyDescent="0.25">
      <c r="A2114" t="s">
        <v>9</v>
      </c>
      <c r="B2114" s="39">
        <v>45811</v>
      </c>
      <c r="C2114" s="40">
        <v>0.6875</v>
      </c>
      <c r="D2114" s="41">
        <v>5889.89</v>
      </c>
      <c r="E2114" s="41">
        <v>5889.89</v>
      </c>
      <c r="F2114" s="41">
        <v>5884.1819999999998</v>
      </c>
      <c r="G2114" s="41">
        <v>5884.1819999999998</v>
      </c>
      <c r="H2114" s="41">
        <v>1953008608.29</v>
      </c>
      <c r="I2114" s="42">
        <v>6635</v>
      </c>
    </row>
    <row r="2115" spans="1:9" x14ac:dyDescent="0.25">
      <c r="A2115" t="s">
        <v>9</v>
      </c>
      <c r="B2115" s="39">
        <v>45811</v>
      </c>
      <c r="C2115" s="40">
        <v>0.66666666666666663</v>
      </c>
      <c r="D2115" s="41">
        <v>5887.2950000000001</v>
      </c>
      <c r="E2115" s="41">
        <v>5895.0789999999997</v>
      </c>
      <c r="F2115" s="41">
        <v>5882.625</v>
      </c>
      <c r="G2115" s="41">
        <v>5888.8519999999999</v>
      </c>
      <c r="H2115" s="41">
        <v>2539458198.0799999</v>
      </c>
      <c r="I2115" s="42">
        <v>8625</v>
      </c>
    </row>
    <row r="2116" spans="1:9" x14ac:dyDescent="0.25">
      <c r="A2116" t="s">
        <v>9</v>
      </c>
      <c r="B2116" s="39">
        <v>45811</v>
      </c>
      <c r="C2116" s="40">
        <v>0.64583333333333337</v>
      </c>
      <c r="D2116" s="41">
        <v>5883.6629999999996</v>
      </c>
      <c r="E2116" s="41">
        <v>5894.0410000000002</v>
      </c>
      <c r="F2116" s="41">
        <v>5879.5110000000004</v>
      </c>
      <c r="G2116" s="41">
        <v>5887.2950000000001</v>
      </c>
      <c r="H2116" s="41">
        <v>3757777639.75</v>
      </c>
      <c r="I2116" s="42">
        <v>12770</v>
      </c>
    </row>
    <row r="2117" spans="1:9" x14ac:dyDescent="0.25">
      <c r="A2117" t="s">
        <v>9</v>
      </c>
      <c r="B2117" s="39">
        <v>45811</v>
      </c>
      <c r="C2117" s="40">
        <v>0.625</v>
      </c>
      <c r="D2117" s="41">
        <v>5885.2190000000001</v>
      </c>
      <c r="E2117" s="41">
        <v>5885.2190000000001</v>
      </c>
      <c r="F2117" s="41">
        <v>5872.7650000000003</v>
      </c>
      <c r="G2117" s="41">
        <v>5882.625</v>
      </c>
      <c r="H2117" s="41">
        <v>4418016781.9499998</v>
      </c>
      <c r="I2117" s="42">
        <v>15030</v>
      </c>
    </row>
    <row r="2118" spans="1:9" x14ac:dyDescent="0.25">
      <c r="A2118" t="s">
        <v>9</v>
      </c>
      <c r="B2118" s="39">
        <v>45811</v>
      </c>
      <c r="C2118" s="40">
        <v>0.60416666666666663</v>
      </c>
      <c r="D2118" s="41">
        <v>5889.3710000000001</v>
      </c>
      <c r="E2118" s="41">
        <v>5889.89</v>
      </c>
      <c r="F2118" s="41">
        <v>5880.549</v>
      </c>
      <c r="G2118" s="41">
        <v>5885.7380000000003</v>
      </c>
      <c r="H2118" s="41">
        <v>2080448960.0899999</v>
      </c>
      <c r="I2118" s="42">
        <v>7070</v>
      </c>
    </row>
    <row r="2119" spans="1:9" x14ac:dyDescent="0.25">
      <c r="A2119" t="s">
        <v>9</v>
      </c>
      <c r="B2119" s="39">
        <v>45811</v>
      </c>
      <c r="C2119" s="40">
        <v>0.58333333333333337</v>
      </c>
      <c r="D2119" s="41">
        <v>5891.9660000000003</v>
      </c>
      <c r="E2119" s="41">
        <v>5891.9660000000003</v>
      </c>
      <c r="F2119" s="41">
        <v>5884.1819999999998</v>
      </c>
      <c r="G2119" s="41">
        <v>5890.4089999999997</v>
      </c>
      <c r="H2119" s="41">
        <v>5323366675.6099997</v>
      </c>
      <c r="I2119" s="42">
        <v>18080</v>
      </c>
    </row>
    <row r="2120" spans="1:9" x14ac:dyDescent="0.25">
      <c r="A2120" t="s">
        <v>9</v>
      </c>
      <c r="B2120" s="39">
        <v>45811</v>
      </c>
      <c r="C2120" s="40">
        <v>0.5625</v>
      </c>
      <c r="D2120" s="41">
        <v>5898.7120000000004</v>
      </c>
      <c r="E2120" s="41">
        <v>5901.8249999999998</v>
      </c>
      <c r="F2120" s="41">
        <v>5890.4089999999997</v>
      </c>
      <c r="G2120" s="41">
        <v>5890.9279999999999</v>
      </c>
      <c r="H2120" s="41">
        <v>1830755251.5799999</v>
      </c>
      <c r="I2120" s="42">
        <v>6210</v>
      </c>
    </row>
    <row r="2121" spans="1:9" x14ac:dyDescent="0.25">
      <c r="A2121" t="s">
        <v>9</v>
      </c>
      <c r="B2121" s="39">
        <v>45811</v>
      </c>
      <c r="C2121" s="40">
        <v>0.54166666666666663</v>
      </c>
      <c r="D2121" s="41">
        <v>5894.56</v>
      </c>
      <c r="E2121" s="41">
        <v>5901.3059999999996</v>
      </c>
      <c r="F2121" s="41">
        <v>5893.5219999999999</v>
      </c>
      <c r="G2121" s="41">
        <v>5898.7120000000004</v>
      </c>
      <c r="H2121" s="41">
        <v>2270578367.8699999</v>
      </c>
      <c r="I2121" s="42">
        <v>7700</v>
      </c>
    </row>
    <row r="2122" spans="1:9" x14ac:dyDescent="0.25">
      <c r="A2122" t="s">
        <v>9</v>
      </c>
      <c r="B2122" s="39">
        <v>45811</v>
      </c>
      <c r="C2122" s="40">
        <v>0.52083333333333337</v>
      </c>
      <c r="D2122" s="41">
        <v>5902.3440000000001</v>
      </c>
      <c r="E2122" s="41">
        <v>5907.5339999999997</v>
      </c>
      <c r="F2122" s="41">
        <v>5893.5219999999999</v>
      </c>
      <c r="G2122" s="41">
        <v>5894.56</v>
      </c>
      <c r="H2122" s="41">
        <v>3012596425.6700001</v>
      </c>
      <c r="I2122" s="42">
        <v>10210</v>
      </c>
    </row>
    <row r="2123" spans="1:9" x14ac:dyDescent="0.25">
      <c r="A2123" t="s">
        <v>9</v>
      </c>
      <c r="B2123" s="39">
        <v>45811</v>
      </c>
      <c r="C2123" s="40">
        <v>0.5</v>
      </c>
      <c r="D2123" s="41">
        <v>5891.9660000000003</v>
      </c>
      <c r="E2123" s="41">
        <v>5902.3440000000001</v>
      </c>
      <c r="F2123" s="41">
        <v>5889.89</v>
      </c>
      <c r="G2123" s="41">
        <v>5901.8249999999998</v>
      </c>
      <c r="H2123" s="41">
        <v>3587355881.3699999</v>
      </c>
      <c r="I2123" s="42">
        <v>12170</v>
      </c>
    </row>
    <row r="2124" spans="1:9" x14ac:dyDescent="0.25">
      <c r="A2124" t="s">
        <v>9</v>
      </c>
      <c r="B2124" s="39">
        <v>45811</v>
      </c>
      <c r="C2124" s="40">
        <v>0.47916666666666669</v>
      </c>
      <c r="D2124" s="41">
        <v>5900.2690000000002</v>
      </c>
      <c r="E2124" s="41">
        <v>5909.09</v>
      </c>
      <c r="F2124" s="41">
        <v>5890.9279999999999</v>
      </c>
      <c r="G2124" s="41">
        <v>5892.4849999999997</v>
      </c>
      <c r="H2124" s="41">
        <v>6729967734.2600002</v>
      </c>
      <c r="I2124" s="42">
        <v>22820</v>
      </c>
    </row>
    <row r="2125" spans="1:9" x14ac:dyDescent="0.25">
      <c r="A2125" t="s">
        <v>9</v>
      </c>
      <c r="B2125" s="39">
        <v>45811</v>
      </c>
      <c r="C2125" s="40">
        <v>0.45833333333333331</v>
      </c>
      <c r="D2125" s="41">
        <v>5941.2640000000001</v>
      </c>
      <c r="E2125" s="41">
        <v>5948.01</v>
      </c>
      <c r="F2125" s="41">
        <v>5898.1930000000002</v>
      </c>
      <c r="G2125" s="41">
        <v>5900.7870000000003</v>
      </c>
      <c r="H2125" s="41">
        <v>10564412150.6</v>
      </c>
      <c r="I2125" s="42">
        <v>35685</v>
      </c>
    </row>
    <row r="2126" spans="1:9" x14ac:dyDescent="0.25">
      <c r="A2126" t="s">
        <v>9</v>
      </c>
      <c r="B2126" s="39">
        <v>45811</v>
      </c>
      <c r="C2126" s="40">
        <v>0.4375</v>
      </c>
      <c r="D2126" s="41">
        <v>5935.0370000000003</v>
      </c>
      <c r="E2126" s="41">
        <v>5951.1239999999998</v>
      </c>
      <c r="F2126" s="41">
        <v>5929.848</v>
      </c>
      <c r="G2126" s="41">
        <v>5941.7830000000004</v>
      </c>
      <c r="H2126" s="41">
        <v>4264505753.6700001</v>
      </c>
      <c r="I2126" s="42">
        <v>14360</v>
      </c>
    </row>
    <row r="2127" spans="1:9" x14ac:dyDescent="0.25">
      <c r="A2127" t="s">
        <v>9</v>
      </c>
      <c r="B2127" s="39">
        <v>45811</v>
      </c>
      <c r="C2127" s="40">
        <v>0.41666666666666669</v>
      </c>
      <c r="D2127" s="41">
        <v>5959.9459999999999</v>
      </c>
      <c r="E2127" s="41">
        <v>5960.4650000000001</v>
      </c>
      <c r="F2127" s="41">
        <v>5934.518</v>
      </c>
      <c r="G2127" s="41">
        <v>5934.518</v>
      </c>
      <c r="H2127" s="41">
        <v>3947529264.2800002</v>
      </c>
      <c r="I2127" s="42">
        <v>13275</v>
      </c>
    </row>
    <row r="2128" spans="1:9" x14ac:dyDescent="0.25">
      <c r="A2128" t="s">
        <v>9</v>
      </c>
      <c r="B2128" s="39">
        <v>45811</v>
      </c>
      <c r="C2128" s="40">
        <v>0.39583333333333331</v>
      </c>
      <c r="D2128" s="41">
        <v>5958.3890000000001</v>
      </c>
      <c r="E2128" s="41">
        <v>5961.5029999999997</v>
      </c>
      <c r="F2128" s="41">
        <v>5954.7569999999996</v>
      </c>
      <c r="G2128" s="41">
        <v>5959.9459999999999</v>
      </c>
      <c r="H2128" s="41">
        <v>1222854137.9400001</v>
      </c>
      <c r="I2128" s="42">
        <v>4105</v>
      </c>
    </row>
    <row r="2129" spans="1:9" x14ac:dyDescent="0.25">
      <c r="A2129" t="s">
        <v>9</v>
      </c>
      <c r="B2129" s="39">
        <v>45811</v>
      </c>
      <c r="C2129" s="40">
        <v>0.375</v>
      </c>
      <c r="D2129" s="41">
        <v>5936.5940000000001</v>
      </c>
      <c r="E2129" s="41">
        <v>5937.6319999999996</v>
      </c>
      <c r="F2129" s="41">
        <v>5926.7340000000004</v>
      </c>
      <c r="G2129" s="41">
        <v>5927.7719999999999</v>
      </c>
      <c r="H2129" s="41">
        <v>748864470.99000001</v>
      </c>
      <c r="I2129" s="42">
        <v>2525</v>
      </c>
    </row>
    <row r="2130" spans="1:9" x14ac:dyDescent="0.25">
      <c r="A2130" t="s">
        <v>9</v>
      </c>
      <c r="B2130" s="39">
        <v>45810</v>
      </c>
      <c r="C2130" s="40">
        <v>0.75</v>
      </c>
      <c r="D2130" s="41">
        <v>5925.6959999999999</v>
      </c>
      <c r="E2130" s="41">
        <v>5929.848</v>
      </c>
      <c r="F2130" s="41">
        <v>5924.6580000000004</v>
      </c>
      <c r="G2130" s="41">
        <v>5929.848</v>
      </c>
      <c r="H2130" s="41">
        <v>407456225.37</v>
      </c>
      <c r="I2130" s="42">
        <v>1375</v>
      </c>
    </row>
    <row r="2131" spans="1:9" x14ac:dyDescent="0.25">
      <c r="A2131" t="s">
        <v>9</v>
      </c>
      <c r="B2131" s="39">
        <v>45810</v>
      </c>
      <c r="C2131" s="40">
        <v>0.72916666666666663</v>
      </c>
      <c r="D2131" s="41">
        <v>5927.2529999999997</v>
      </c>
      <c r="E2131" s="41">
        <v>5929.3289999999997</v>
      </c>
      <c r="F2131" s="41">
        <v>5924.6580000000004</v>
      </c>
      <c r="G2131" s="41">
        <v>5925.6959999999999</v>
      </c>
      <c r="H2131" s="41">
        <v>894891706.58000004</v>
      </c>
      <c r="I2131" s="42">
        <v>3020</v>
      </c>
    </row>
    <row r="2132" spans="1:9" x14ac:dyDescent="0.25">
      <c r="A2132" t="s">
        <v>9</v>
      </c>
      <c r="B2132" s="39">
        <v>45810</v>
      </c>
      <c r="C2132" s="40">
        <v>0.70833333333333337</v>
      </c>
      <c r="D2132" s="41">
        <v>5925.6959999999999</v>
      </c>
      <c r="E2132" s="41">
        <v>5929.848</v>
      </c>
      <c r="F2132" s="41">
        <v>5923.1019999999999</v>
      </c>
      <c r="G2132" s="41">
        <v>5927.2529999999997</v>
      </c>
      <c r="H2132" s="41">
        <v>2189879611.3699999</v>
      </c>
      <c r="I2132" s="42">
        <v>7390</v>
      </c>
    </row>
    <row r="2133" spans="1:9" x14ac:dyDescent="0.25">
      <c r="A2133" t="s">
        <v>9</v>
      </c>
      <c r="B2133" s="39">
        <v>45810</v>
      </c>
      <c r="C2133" s="40">
        <v>0.6875</v>
      </c>
      <c r="D2133" s="41">
        <v>5934.518</v>
      </c>
      <c r="E2133" s="41">
        <v>5938.1509999999998</v>
      </c>
      <c r="F2133" s="41">
        <v>5925.1769999999997</v>
      </c>
      <c r="G2133" s="41">
        <v>5925.6959999999999</v>
      </c>
      <c r="H2133" s="41">
        <v>2641675939.71</v>
      </c>
      <c r="I2133" s="42">
        <v>8905</v>
      </c>
    </row>
    <row r="2134" spans="1:9" x14ac:dyDescent="0.25">
      <c r="A2134" t="s">
        <v>9</v>
      </c>
      <c r="B2134" s="39">
        <v>45810</v>
      </c>
      <c r="C2134" s="40">
        <v>0.66666666666666663</v>
      </c>
      <c r="D2134" s="41">
        <v>5934.518</v>
      </c>
      <c r="E2134" s="41">
        <v>5936.0749999999998</v>
      </c>
      <c r="F2134" s="41">
        <v>5931.9229999999998</v>
      </c>
      <c r="G2134" s="41">
        <v>5934.518</v>
      </c>
      <c r="H2134" s="41">
        <v>1763918104.4400001</v>
      </c>
      <c r="I2134" s="42">
        <v>5945</v>
      </c>
    </row>
    <row r="2135" spans="1:9" x14ac:dyDescent="0.25">
      <c r="A2135" t="s">
        <v>9</v>
      </c>
      <c r="B2135" s="39">
        <v>45810</v>
      </c>
      <c r="C2135" s="40">
        <v>0.64583333333333337</v>
      </c>
      <c r="D2135" s="41">
        <v>5937.6319999999996</v>
      </c>
      <c r="E2135" s="41">
        <v>5940.2259999999997</v>
      </c>
      <c r="F2135" s="41">
        <v>5932.442</v>
      </c>
      <c r="G2135" s="41">
        <v>5934.518</v>
      </c>
      <c r="H2135" s="41">
        <v>1769046589.8399999</v>
      </c>
      <c r="I2135" s="42">
        <v>5960</v>
      </c>
    </row>
    <row r="2136" spans="1:9" x14ac:dyDescent="0.25">
      <c r="A2136" t="s">
        <v>9</v>
      </c>
      <c r="B2136" s="39">
        <v>45810</v>
      </c>
      <c r="C2136" s="40">
        <v>0.625</v>
      </c>
      <c r="D2136" s="41">
        <v>5952.1620000000003</v>
      </c>
      <c r="E2136" s="41">
        <v>5952.6809999999996</v>
      </c>
      <c r="F2136" s="41">
        <v>5936.5940000000001</v>
      </c>
      <c r="G2136" s="41">
        <v>5938.1509999999998</v>
      </c>
      <c r="H2136" s="41">
        <v>6063957667.5699997</v>
      </c>
      <c r="I2136" s="42">
        <v>20395</v>
      </c>
    </row>
    <row r="2137" spans="1:9" x14ac:dyDescent="0.25">
      <c r="A2137" t="s">
        <v>9</v>
      </c>
      <c r="B2137" s="39">
        <v>45810</v>
      </c>
      <c r="C2137" s="40">
        <v>0.60416666666666663</v>
      </c>
      <c r="D2137" s="41">
        <v>5959.4269999999997</v>
      </c>
      <c r="E2137" s="41">
        <v>5959.4269999999997</v>
      </c>
      <c r="F2137" s="41">
        <v>5949.567</v>
      </c>
      <c r="G2137" s="41">
        <v>5951.1239999999998</v>
      </c>
      <c r="H2137" s="41">
        <v>3348482056.2600002</v>
      </c>
      <c r="I2137" s="42">
        <v>11250</v>
      </c>
    </row>
    <row r="2138" spans="1:9" x14ac:dyDescent="0.25">
      <c r="A2138" t="s">
        <v>9</v>
      </c>
      <c r="B2138" s="39">
        <v>45810</v>
      </c>
      <c r="C2138" s="40">
        <v>0.58333333333333337</v>
      </c>
      <c r="D2138" s="41">
        <v>5953.7190000000001</v>
      </c>
      <c r="E2138" s="41">
        <v>5960.9840000000004</v>
      </c>
      <c r="F2138" s="41">
        <v>5950.6049999999996</v>
      </c>
      <c r="G2138" s="41">
        <v>5959.9459999999999</v>
      </c>
      <c r="H2138" s="41">
        <v>1445363280.23</v>
      </c>
      <c r="I2138" s="42">
        <v>4855</v>
      </c>
    </row>
    <row r="2139" spans="1:9" x14ac:dyDescent="0.25">
      <c r="A2139" t="s">
        <v>9</v>
      </c>
      <c r="B2139" s="39">
        <v>45810</v>
      </c>
      <c r="C2139" s="40">
        <v>0.5625</v>
      </c>
      <c r="D2139" s="41">
        <v>5951.1239999999998</v>
      </c>
      <c r="E2139" s="41">
        <v>5956.3130000000001</v>
      </c>
      <c r="F2139" s="41">
        <v>5947.491</v>
      </c>
      <c r="G2139" s="41">
        <v>5954.2380000000003</v>
      </c>
      <c r="H2139" s="41">
        <v>3189057915.8400002</v>
      </c>
      <c r="I2139" s="42">
        <v>10715</v>
      </c>
    </row>
    <row r="2140" spans="1:9" x14ac:dyDescent="0.25">
      <c r="A2140" t="s">
        <v>9</v>
      </c>
      <c r="B2140" s="39">
        <v>45810</v>
      </c>
      <c r="C2140" s="40">
        <v>0.54166666666666663</v>
      </c>
      <c r="D2140" s="41">
        <v>5959.9459999999999</v>
      </c>
      <c r="E2140" s="41">
        <v>5962.5410000000002</v>
      </c>
      <c r="F2140" s="41">
        <v>5951.1239999999998</v>
      </c>
      <c r="G2140" s="41">
        <v>5951.1239999999998</v>
      </c>
      <c r="H2140" s="41">
        <v>3486848543</v>
      </c>
      <c r="I2140" s="42">
        <v>11705</v>
      </c>
    </row>
    <row r="2141" spans="1:9" x14ac:dyDescent="0.25">
      <c r="A2141" t="s">
        <v>9</v>
      </c>
      <c r="B2141" s="39">
        <v>45810</v>
      </c>
      <c r="C2141" s="40">
        <v>0.52083333333333337</v>
      </c>
      <c r="D2141" s="41">
        <v>5938.67</v>
      </c>
      <c r="E2141" s="41">
        <v>5959.9459999999999</v>
      </c>
      <c r="F2141" s="41">
        <v>5938.67</v>
      </c>
      <c r="G2141" s="41">
        <v>5959.9459999999999</v>
      </c>
      <c r="H2141" s="41">
        <v>4079132886.04</v>
      </c>
      <c r="I2141" s="42">
        <v>13710</v>
      </c>
    </row>
    <row r="2142" spans="1:9" x14ac:dyDescent="0.25">
      <c r="A2142" t="s">
        <v>9</v>
      </c>
      <c r="B2142" s="39">
        <v>45810</v>
      </c>
      <c r="C2142" s="40">
        <v>0.5</v>
      </c>
      <c r="D2142" s="41">
        <v>5940.7449999999999</v>
      </c>
      <c r="E2142" s="41">
        <v>5949.567</v>
      </c>
      <c r="F2142" s="41">
        <v>5937.6319999999996</v>
      </c>
      <c r="G2142" s="41">
        <v>5939.7070000000003</v>
      </c>
      <c r="H2142" s="41">
        <v>5254129852.3999996</v>
      </c>
      <c r="I2142" s="42">
        <v>17680</v>
      </c>
    </row>
    <row r="2143" spans="1:9" x14ac:dyDescent="0.25">
      <c r="A2143" t="s">
        <v>9</v>
      </c>
      <c r="B2143" s="39">
        <v>45810</v>
      </c>
      <c r="C2143" s="40">
        <v>0.47916666666666669</v>
      </c>
      <c r="D2143" s="41">
        <v>5936.5940000000001</v>
      </c>
      <c r="E2143" s="41">
        <v>5941.2640000000001</v>
      </c>
      <c r="F2143" s="41">
        <v>5929.3289999999997</v>
      </c>
      <c r="G2143" s="41">
        <v>5941.2640000000001</v>
      </c>
      <c r="H2143" s="41">
        <v>4028600225.4899998</v>
      </c>
      <c r="I2143" s="42">
        <v>13575</v>
      </c>
    </row>
    <row r="2144" spans="1:9" x14ac:dyDescent="0.25">
      <c r="A2144" t="s">
        <v>9</v>
      </c>
      <c r="B2144" s="39">
        <v>45810</v>
      </c>
      <c r="C2144" s="40">
        <v>0.45833333333333331</v>
      </c>
      <c r="D2144" s="41">
        <v>5937.1130000000003</v>
      </c>
      <c r="E2144" s="41">
        <v>5949.0479999999998</v>
      </c>
      <c r="F2144" s="41">
        <v>5933.48</v>
      </c>
      <c r="G2144" s="41">
        <v>5936.0749999999998</v>
      </c>
      <c r="H2144" s="41">
        <v>3556741816.4899998</v>
      </c>
      <c r="I2144" s="42">
        <v>11975</v>
      </c>
    </row>
    <row r="2145" spans="1:9" x14ac:dyDescent="0.25">
      <c r="A2145" t="s">
        <v>9</v>
      </c>
      <c r="B2145" s="39">
        <v>45810</v>
      </c>
      <c r="C2145" s="40">
        <v>0.4375</v>
      </c>
      <c r="D2145" s="41">
        <v>5924.6580000000004</v>
      </c>
      <c r="E2145" s="41">
        <v>5941.7830000000004</v>
      </c>
      <c r="F2145" s="41">
        <v>5924.1390000000001</v>
      </c>
      <c r="G2145" s="41">
        <v>5938.1509999999998</v>
      </c>
      <c r="H2145" s="41">
        <v>3313443438.6300001</v>
      </c>
      <c r="I2145" s="42">
        <v>11170</v>
      </c>
    </row>
    <row r="2146" spans="1:9" x14ac:dyDescent="0.25">
      <c r="A2146" t="s">
        <v>9</v>
      </c>
      <c r="B2146" s="39">
        <v>45810</v>
      </c>
      <c r="C2146" s="40">
        <v>0.41666666666666669</v>
      </c>
      <c r="D2146" s="41">
        <v>5929.3289999999997</v>
      </c>
      <c r="E2146" s="41">
        <v>5944.8969999999999</v>
      </c>
      <c r="F2146" s="41">
        <v>5917.9120000000003</v>
      </c>
      <c r="G2146" s="41">
        <v>5925.6959999999999</v>
      </c>
      <c r="H2146" s="41">
        <v>6476095058.0699997</v>
      </c>
      <c r="I2146" s="42">
        <v>21835</v>
      </c>
    </row>
    <row r="2147" spans="1:9" x14ac:dyDescent="0.25">
      <c r="A2147" t="s">
        <v>9</v>
      </c>
      <c r="B2147" s="39">
        <v>45810</v>
      </c>
      <c r="C2147" s="40">
        <v>0.39583333333333331</v>
      </c>
      <c r="D2147" s="41">
        <v>5935.0370000000003</v>
      </c>
      <c r="E2147" s="41">
        <v>5945.9350000000004</v>
      </c>
      <c r="F2147" s="41">
        <v>5928.81</v>
      </c>
      <c r="G2147" s="41">
        <v>5929.848</v>
      </c>
      <c r="H2147" s="41">
        <v>3530644155.5</v>
      </c>
      <c r="I2147" s="42">
        <v>11895</v>
      </c>
    </row>
    <row r="2148" spans="1:9" x14ac:dyDescent="0.25">
      <c r="A2148" t="s">
        <v>9</v>
      </c>
      <c r="B2148" s="39">
        <v>45810</v>
      </c>
      <c r="C2148" s="40">
        <v>0.375</v>
      </c>
      <c r="D2148" s="41">
        <v>5954.7569999999996</v>
      </c>
      <c r="E2148" s="41">
        <v>5962.0219999999999</v>
      </c>
      <c r="F2148" s="41">
        <v>5929.3289999999997</v>
      </c>
      <c r="G2148" s="41">
        <v>5934.518</v>
      </c>
      <c r="H2148" s="41">
        <v>4251243641.6999998</v>
      </c>
      <c r="I2148" s="42">
        <v>14305</v>
      </c>
    </row>
    <row r="2149" spans="1:9" x14ac:dyDescent="0.25">
      <c r="A2149" t="s">
        <v>9</v>
      </c>
      <c r="B2149" s="39">
        <v>45807</v>
      </c>
      <c r="C2149" s="40">
        <v>0.75</v>
      </c>
      <c r="D2149" s="41">
        <v>5978.6270000000004</v>
      </c>
      <c r="E2149" s="41">
        <v>5990.0439999999999</v>
      </c>
      <c r="F2149" s="41">
        <v>5978.6270000000004</v>
      </c>
      <c r="G2149" s="41">
        <v>5986.93</v>
      </c>
      <c r="H2149" s="41">
        <v>2712131736.6100001</v>
      </c>
      <c r="I2149" s="42">
        <v>9065</v>
      </c>
    </row>
    <row r="2150" spans="1:9" x14ac:dyDescent="0.25">
      <c r="A2150" t="s">
        <v>9</v>
      </c>
      <c r="B2150" s="39">
        <v>45807</v>
      </c>
      <c r="C2150" s="40">
        <v>0.72916666666666663</v>
      </c>
      <c r="D2150" s="41">
        <v>5977.0709999999999</v>
      </c>
      <c r="E2150" s="41">
        <v>5979.665</v>
      </c>
      <c r="F2150" s="41">
        <v>5975.5140000000001</v>
      </c>
      <c r="G2150" s="41">
        <v>5978.6270000000004</v>
      </c>
      <c r="H2150" s="41">
        <v>4626993318.4200001</v>
      </c>
      <c r="I2150" s="42">
        <v>15480</v>
      </c>
    </row>
    <row r="2151" spans="1:9" x14ac:dyDescent="0.25">
      <c r="A2151" t="s">
        <v>9</v>
      </c>
      <c r="B2151" s="39">
        <v>45807</v>
      </c>
      <c r="C2151" s="40">
        <v>0.70833333333333337</v>
      </c>
      <c r="D2151" s="41">
        <v>5976.5519999999997</v>
      </c>
      <c r="E2151" s="41">
        <v>5978.1090000000004</v>
      </c>
      <c r="F2151" s="41">
        <v>5968.2489999999998</v>
      </c>
      <c r="G2151" s="41">
        <v>5977.0709999999999</v>
      </c>
      <c r="H2151" s="41">
        <v>4821474628.3199997</v>
      </c>
      <c r="I2151" s="42">
        <v>16140</v>
      </c>
    </row>
    <row r="2152" spans="1:9" x14ac:dyDescent="0.25">
      <c r="A2152" t="s">
        <v>9</v>
      </c>
      <c r="B2152" s="39">
        <v>45807</v>
      </c>
      <c r="C2152" s="40">
        <v>0.6875</v>
      </c>
      <c r="D2152" s="41">
        <v>5972.9189999999999</v>
      </c>
      <c r="E2152" s="41">
        <v>5979.1459999999997</v>
      </c>
      <c r="F2152" s="41">
        <v>5969.2870000000003</v>
      </c>
      <c r="G2152" s="41">
        <v>5976.0330000000004</v>
      </c>
      <c r="H2152" s="41">
        <v>3614778897.3200002</v>
      </c>
      <c r="I2152" s="42">
        <v>12100</v>
      </c>
    </row>
    <row r="2153" spans="1:9" x14ac:dyDescent="0.25">
      <c r="A2153" t="s">
        <v>9</v>
      </c>
      <c r="B2153" s="39">
        <v>45807</v>
      </c>
      <c r="C2153" s="40">
        <v>0.66666666666666663</v>
      </c>
      <c r="D2153" s="41">
        <v>5967.2110000000002</v>
      </c>
      <c r="E2153" s="41">
        <v>5976.0330000000004</v>
      </c>
      <c r="F2153" s="41">
        <v>5967.2110000000002</v>
      </c>
      <c r="G2153" s="41">
        <v>5972.9189999999999</v>
      </c>
      <c r="H2153" s="41">
        <v>3265685642.7199998</v>
      </c>
      <c r="I2153" s="42">
        <v>10935</v>
      </c>
    </row>
    <row r="2154" spans="1:9" x14ac:dyDescent="0.25">
      <c r="A2154" t="s">
        <v>9</v>
      </c>
      <c r="B2154" s="39">
        <v>45807</v>
      </c>
      <c r="C2154" s="40">
        <v>0.64583333333333337</v>
      </c>
      <c r="D2154" s="41">
        <v>5965.6540000000005</v>
      </c>
      <c r="E2154" s="41">
        <v>5972.9189999999999</v>
      </c>
      <c r="F2154" s="41">
        <v>5964.0969999999998</v>
      </c>
      <c r="G2154" s="41">
        <v>5966.692</v>
      </c>
      <c r="H2154" s="41">
        <v>6169341808.8199997</v>
      </c>
      <c r="I2154" s="42">
        <v>20675</v>
      </c>
    </row>
    <row r="2155" spans="1:9" x14ac:dyDescent="0.25">
      <c r="A2155" t="s">
        <v>9</v>
      </c>
      <c r="B2155" s="39">
        <v>45807</v>
      </c>
      <c r="C2155" s="40">
        <v>0.625</v>
      </c>
      <c r="D2155" s="41">
        <v>5970.8429999999998</v>
      </c>
      <c r="E2155" s="41">
        <v>5973.4380000000001</v>
      </c>
      <c r="F2155" s="41">
        <v>5960.4650000000001</v>
      </c>
      <c r="G2155" s="41">
        <v>5965.6540000000005</v>
      </c>
      <c r="H2155" s="41">
        <v>6502035352.6199999</v>
      </c>
      <c r="I2155" s="42">
        <v>21795</v>
      </c>
    </row>
    <row r="2156" spans="1:9" x14ac:dyDescent="0.25">
      <c r="A2156" t="s">
        <v>9</v>
      </c>
      <c r="B2156" s="39">
        <v>45807</v>
      </c>
      <c r="C2156" s="40">
        <v>0.60416666666666663</v>
      </c>
      <c r="D2156" s="41">
        <v>5965.1350000000002</v>
      </c>
      <c r="E2156" s="41">
        <v>5970.8429999999998</v>
      </c>
      <c r="F2156" s="41">
        <v>5963.0590000000002</v>
      </c>
      <c r="G2156" s="41">
        <v>5970.3249999999998</v>
      </c>
      <c r="H2156" s="41">
        <v>3423141340.4200001</v>
      </c>
      <c r="I2156" s="42">
        <v>11475</v>
      </c>
    </row>
    <row r="2157" spans="1:9" x14ac:dyDescent="0.25">
      <c r="A2157" t="s">
        <v>9</v>
      </c>
      <c r="B2157" s="39">
        <v>45807</v>
      </c>
      <c r="C2157" s="40">
        <v>0.58333333333333337</v>
      </c>
      <c r="D2157" s="41">
        <v>5966.692</v>
      </c>
      <c r="E2157" s="41">
        <v>5967.73</v>
      </c>
      <c r="F2157" s="41">
        <v>5961.5029999999997</v>
      </c>
      <c r="G2157" s="41">
        <v>5965.1350000000002</v>
      </c>
      <c r="H2157" s="41">
        <v>3194031629.46</v>
      </c>
      <c r="I2157" s="42">
        <v>10710</v>
      </c>
    </row>
    <row r="2158" spans="1:9" x14ac:dyDescent="0.25">
      <c r="A2158" t="s">
        <v>9</v>
      </c>
      <c r="B2158" s="39">
        <v>45807</v>
      </c>
      <c r="C2158" s="40">
        <v>0.5625</v>
      </c>
      <c r="D2158" s="41">
        <v>5977.0709999999999</v>
      </c>
      <c r="E2158" s="41">
        <v>5977.59</v>
      </c>
      <c r="F2158" s="41">
        <v>5965.6540000000005</v>
      </c>
      <c r="G2158" s="41">
        <v>5966.1729999999998</v>
      </c>
      <c r="H2158" s="41">
        <v>2402326771.9499998</v>
      </c>
      <c r="I2158" s="42">
        <v>8050</v>
      </c>
    </row>
    <row r="2159" spans="1:9" x14ac:dyDescent="0.25">
      <c r="A2159" t="s">
        <v>9</v>
      </c>
      <c r="B2159" s="39">
        <v>45807</v>
      </c>
      <c r="C2159" s="40">
        <v>0.54166666666666663</v>
      </c>
      <c r="D2159" s="41">
        <v>5973.9570000000003</v>
      </c>
      <c r="E2159" s="41">
        <v>5978.1090000000004</v>
      </c>
      <c r="F2159" s="41">
        <v>5967.73</v>
      </c>
      <c r="G2159" s="41">
        <v>5976.5519999999997</v>
      </c>
      <c r="H2159" s="41">
        <v>2845956391.7399998</v>
      </c>
      <c r="I2159" s="42">
        <v>9530</v>
      </c>
    </row>
    <row r="2160" spans="1:9" x14ac:dyDescent="0.25">
      <c r="A2160" t="s">
        <v>9</v>
      </c>
      <c r="B2160" s="39">
        <v>45807</v>
      </c>
      <c r="C2160" s="40">
        <v>0.52083333333333337</v>
      </c>
      <c r="D2160" s="41">
        <v>5970.8429999999998</v>
      </c>
      <c r="E2160" s="41">
        <v>5982.7790000000005</v>
      </c>
      <c r="F2160" s="41">
        <v>5969.8059999999996</v>
      </c>
      <c r="G2160" s="41">
        <v>5974.9949999999999</v>
      </c>
      <c r="H2160" s="41">
        <v>2965280241.7600002</v>
      </c>
      <c r="I2160" s="42">
        <v>9925</v>
      </c>
    </row>
    <row r="2161" spans="1:9" x14ac:dyDescent="0.25">
      <c r="A2161" t="s">
        <v>9</v>
      </c>
      <c r="B2161" s="39">
        <v>45807</v>
      </c>
      <c r="C2161" s="40">
        <v>0.5</v>
      </c>
      <c r="D2161" s="41">
        <v>5986.93</v>
      </c>
      <c r="E2161" s="41">
        <v>5989.0060000000003</v>
      </c>
      <c r="F2161" s="41">
        <v>5964.616</v>
      </c>
      <c r="G2161" s="41">
        <v>5970.8429999999998</v>
      </c>
      <c r="H2161" s="41">
        <v>5107655296.54</v>
      </c>
      <c r="I2161" s="42">
        <v>17095</v>
      </c>
    </row>
    <row r="2162" spans="1:9" x14ac:dyDescent="0.25">
      <c r="A2162" t="s">
        <v>9</v>
      </c>
      <c r="B2162" s="39">
        <v>45807</v>
      </c>
      <c r="C2162" s="40">
        <v>0.47916666666666669</v>
      </c>
      <c r="D2162" s="41">
        <v>5976.5519999999997</v>
      </c>
      <c r="E2162" s="41">
        <v>5996.2709999999997</v>
      </c>
      <c r="F2162" s="41">
        <v>5970.3249999999998</v>
      </c>
      <c r="G2162" s="41">
        <v>5987.4489999999996</v>
      </c>
      <c r="H2162" s="41">
        <v>6404124365.9300003</v>
      </c>
      <c r="I2162" s="42">
        <v>21405</v>
      </c>
    </row>
    <row r="2163" spans="1:9" x14ac:dyDescent="0.25">
      <c r="A2163" t="s">
        <v>9</v>
      </c>
      <c r="B2163" s="39">
        <v>45807</v>
      </c>
      <c r="C2163" s="40">
        <v>0.45833333333333331</v>
      </c>
      <c r="D2163" s="41">
        <v>5971.3620000000001</v>
      </c>
      <c r="E2163" s="41">
        <v>5976.0330000000004</v>
      </c>
      <c r="F2163" s="41">
        <v>5962.0219999999999</v>
      </c>
      <c r="G2163" s="41">
        <v>5976.0330000000004</v>
      </c>
      <c r="H2163" s="41">
        <v>6569465769.9499998</v>
      </c>
      <c r="I2163" s="42">
        <v>22005</v>
      </c>
    </row>
    <row r="2164" spans="1:9" x14ac:dyDescent="0.25">
      <c r="A2164" t="s">
        <v>9</v>
      </c>
      <c r="B2164" s="39">
        <v>45807</v>
      </c>
      <c r="C2164" s="40">
        <v>0.4375</v>
      </c>
      <c r="D2164" s="41">
        <v>5946.973</v>
      </c>
      <c r="E2164" s="41">
        <v>5971.8810000000003</v>
      </c>
      <c r="F2164" s="41">
        <v>5945.9350000000004</v>
      </c>
      <c r="G2164" s="41">
        <v>5971.3620000000001</v>
      </c>
      <c r="H2164" s="41">
        <v>5298231116.4499998</v>
      </c>
      <c r="I2164" s="42">
        <v>17785</v>
      </c>
    </row>
    <row r="2165" spans="1:9" x14ac:dyDescent="0.25">
      <c r="A2165" t="s">
        <v>9</v>
      </c>
      <c r="B2165" s="39">
        <v>45807</v>
      </c>
      <c r="C2165" s="40">
        <v>0.41666666666666669</v>
      </c>
      <c r="D2165" s="41">
        <v>5931.9229999999998</v>
      </c>
      <c r="E2165" s="41">
        <v>5946.973</v>
      </c>
      <c r="F2165" s="41">
        <v>5928.2910000000002</v>
      </c>
      <c r="G2165" s="41">
        <v>5945.9350000000004</v>
      </c>
      <c r="H2165" s="41">
        <v>4841810446.1499996</v>
      </c>
      <c r="I2165" s="42">
        <v>16305</v>
      </c>
    </row>
    <row r="2166" spans="1:9" x14ac:dyDescent="0.25">
      <c r="A2166" t="s">
        <v>9</v>
      </c>
      <c r="B2166" s="39">
        <v>45807</v>
      </c>
      <c r="C2166" s="40">
        <v>0.39583333333333331</v>
      </c>
      <c r="D2166" s="41">
        <v>5932.442</v>
      </c>
      <c r="E2166" s="41">
        <v>5941.7830000000004</v>
      </c>
      <c r="F2166" s="41">
        <v>5914.28</v>
      </c>
      <c r="G2166" s="41">
        <v>5931.9229999999998</v>
      </c>
      <c r="H2166" s="41">
        <v>4431203259.4300003</v>
      </c>
      <c r="I2166" s="42">
        <v>14945</v>
      </c>
    </row>
    <row r="2167" spans="1:9" x14ac:dyDescent="0.25">
      <c r="A2167" t="s">
        <v>9</v>
      </c>
      <c r="B2167" s="39">
        <v>45807</v>
      </c>
      <c r="C2167" s="40">
        <v>0.375</v>
      </c>
      <c r="D2167" s="41">
        <v>5921.0259999999998</v>
      </c>
      <c r="E2167" s="41">
        <v>5945.9350000000004</v>
      </c>
      <c r="F2167" s="41">
        <v>5912.2039999999997</v>
      </c>
      <c r="G2167" s="41">
        <v>5932.9610000000002</v>
      </c>
      <c r="H2167" s="41">
        <v>5546589221.0799999</v>
      </c>
      <c r="I2167" s="42">
        <v>18695</v>
      </c>
    </row>
    <row r="2168" spans="1:9" x14ac:dyDescent="0.25">
      <c r="A2168" t="s">
        <v>9</v>
      </c>
      <c r="B2168" s="39">
        <v>45806</v>
      </c>
      <c r="C2168" s="40">
        <v>0.75</v>
      </c>
      <c r="D2168" s="41">
        <v>5922.067</v>
      </c>
      <c r="E2168" s="41">
        <v>5922.5889999999999</v>
      </c>
      <c r="F2168" s="41">
        <v>5917.8890000000001</v>
      </c>
      <c r="G2168" s="41">
        <v>5921.5450000000001</v>
      </c>
      <c r="H2168" s="41">
        <v>352271070.69</v>
      </c>
      <c r="I2168" s="42">
        <v>1190</v>
      </c>
    </row>
    <row r="2169" spans="1:9" x14ac:dyDescent="0.25">
      <c r="A2169" t="s">
        <v>9</v>
      </c>
      <c r="B2169" s="39">
        <v>45806</v>
      </c>
      <c r="C2169" s="40">
        <v>0.72916666666666663</v>
      </c>
      <c r="D2169" s="41">
        <v>5923.634</v>
      </c>
      <c r="E2169" s="41">
        <v>5924.1559999999999</v>
      </c>
      <c r="F2169" s="41">
        <v>5919.4560000000001</v>
      </c>
      <c r="G2169" s="41">
        <v>5921.5450000000001</v>
      </c>
      <c r="H2169" s="41">
        <v>3766731702.9699998</v>
      </c>
      <c r="I2169" s="42">
        <v>12720</v>
      </c>
    </row>
    <row r="2170" spans="1:9" x14ac:dyDescent="0.25">
      <c r="A2170" t="s">
        <v>9</v>
      </c>
      <c r="B2170" s="39">
        <v>45806</v>
      </c>
      <c r="C2170" s="40">
        <v>0.70833333333333337</v>
      </c>
      <c r="D2170" s="41">
        <v>5921.0230000000001</v>
      </c>
      <c r="E2170" s="41">
        <v>5930.4229999999998</v>
      </c>
      <c r="F2170" s="41">
        <v>5921.0230000000001</v>
      </c>
      <c r="G2170" s="41">
        <v>5923.1120000000001</v>
      </c>
      <c r="H2170" s="41">
        <v>1747821009.4300001</v>
      </c>
      <c r="I2170" s="42">
        <v>5900</v>
      </c>
    </row>
    <row r="2171" spans="1:9" x14ac:dyDescent="0.25">
      <c r="A2171" t="s">
        <v>9</v>
      </c>
      <c r="B2171" s="39">
        <v>45806</v>
      </c>
      <c r="C2171" s="40">
        <v>0.6875</v>
      </c>
      <c r="D2171" s="41">
        <v>5916.3220000000001</v>
      </c>
      <c r="E2171" s="41">
        <v>5923.634</v>
      </c>
      <c r="F2171" s="41">
        <v>5913.7110000000002</v>
      </c>
      <c r="G2171" s="41">
        <v>5920.5</v>
      </c>
      <c r="H2171" s="41">
        <v>1988722722.9100001</v>
      </c>
      <c r="I2171" s="42">
        <v>6720</v>
      </c>
    </row>
    <row r="2172" spans="1:9" x14ac:dyDescent="0.25">
      <c r="A2172" t="s">
        <v>9</v>
      </c>
      <c r="B2172" s="39">
        <v>45806</v>
      </c>
      <c r="C2172" s="40">
        <v>0.66666666666666663</v>
      </c>
      <c r="D2172" s="41">
        <v>5910.5770000000002</v>
      </c>
      <c r="E2172" s="41">
        <v>5917.3670000000002</v>
      </c>
      <c r="F2172" s="41">
        <v>5909.5320000000002</v>
      </c>
      <c r="G2172" s="41">
        <v>5916.3220000000001</v>
      </c>
      <c r="H2172" s="41">
        <v>4802106473.3900003</v>
      </c>
      <c r="I2172" s="42">
        <v>16245</v>
      </c>
    </row>
    <row r="2173" spans="1:9" x14ac:dyDescent="0.25">
      <c r="A2173" t="s">
        <v>9</v>
      </c>
      <c r="B2173" s="39">
        <v>45806</v>
      </c>
      <c r="C2173" s="40">
        <v>0.64583333333333337</v>
      </c>
      <c r="D2173" s="41">
        <v>5910.5770000000002</v>
      </c>
      <c r="E2173" s="41">
        <v>5912.6660000000002</v>
      </c>
      <c r="F2173" s="41">
        <v>5907.4430000000002</v>
      </c>
      <c r="G2173" s="41">
        <v>5910.0550000000003</v>
      </c>
      <c r="H2173" s="41">
        <v>2768850866.3000002</v>
      </c>
      <c r="I2173" s="42">
        <v>9370</v>
      </c>
    </row>
    <row r="2174" spans="1:9" x14ac:dyDescent="0.25">
      <c r="A2174" t="s">
        <v>9</v>
      </c>
      <c r="B2174" s="39">
        <v>45806</v>
      </c>
      <c r="C2174" s="40">
        <v>0.625</v>
      </c>
      <c r="D2174" s="41">
        <v>5915.2780000000002</v>
      </c>
      <c r="E2174" s="41">
        <v>5915.8</v>
      </c>
      <c r="F2174" s="41">
        <v>5908.4880000000003</v>
      </c>
      <c r="G2174" s="41">
        <v>5911.0990000000002</v>
      </c>
      <c r="H2174" s="41">
        <v>2684300158.3299999</v>
      </c>
      <c r="I2174" s="42">
        <v>9080</v>
      </c>
    </row>
    <row r="2175" spans="1:9" x14ac:dyDescent="0.25">
      <c r="A2175" t="s">
        <v>9</v>
      </c>
      <c r="B2175" s="39">
        <v>45806</v>
      </c>
      <c r="C2175" s="40">
        <v>0.60416666666666663</v>
      </c>
      <c r="D2175" s="41">
        <v>5912.6660000000002</v>
      </c>
      <c r="E2175" s="41">
        <v>5915.8</v>
      </c>
      <c r="F2175" s="41">
        <v>5904.8320000000003</v>
      </c>
      <c r="G2175" s="41">
        <v>5915.8</v>
      </c>
      <c r="H2175" s="41">
        <v>3219875761.0700002</v>
      </c>
      <c r="I2175" s="42">
        <v>10895</v>
      </c>
    </row>
    <row r="2176" spans="1:9" x14ac:dyDescent="0.25">
      <c r="A2176" t="s">
        <v>9</v>
      </c>
      <c r="B2176" s="39">
        <v>45806</v>
      </c>
      <c r="C2176" s="40">
        <v>0.58333333333333337</v>
      </c>
      <c r="D2176" s="41">
        <v>5906.3990000000003</v>
      </c>
      <c r="E2176" s="41">
        <v>5913.1880000000001</v>
      </c>
      <c r="F2176" s="41">
        <v>5904.31</v>
      </c>
      <c r="G2176" s="41">
        <v>5912.1440000000002</v>
      </c>
      <c r="H2176" s="41">
        <v>6348929084.5299997</v>
      </c>
      <c r="I2176" s="42">
        <v>21485</v>
      </c>
    </row>
    <row r="2177" spans="1:9" x14ac:dyDescent="0.25">
      <c r="A2177" t="s">
        <v>9</v>
      </c>
      <c r="B2177" s="39">
        <v>45806</v>
      </c>
      <c r="C2177" s="40">
        <v>0.5625</v>
      </c>
      <c r="D2177" s="41">
        <v>5903.7870000000003</v>
      </c>
      <c r="E2177" s="41">
        <v>5907.4430000000002</v>
      </c>
      <c r="F2177" s="41">
        <v>5903.2650000000003</v>
      </c>
      <c r="G2177" s="41">
        <v>5906.3990000000003</v>
      </c>
      <c r="H2177" s="41">
        <v>1694780931.49</v>
      </c>
      <c r="I2177" s="42">
        <v>5740</v>
      </c>
    </row>
    <row r="2178" spans="1:9" x14ac:dyDescent="0.25">
      <c r="A2178" t="s">
        <v>9</v>
      </c>
      <c r="B2178" s="39">
        <v>45806</v>
      </c>
      <c r="C2178" s="40">
        <v>0.54166666666666663</v>
      </c>
      <c r="D2178" s="41">
        <v>5905.3540000000003</v>
      </c>
      <c r="E2178" s="41">
        <v>5907.9660000000003</v>
      </c>
      <c r="F2178" s="41">
        <v>5901.6980000000003</v>
      </c>
      <c r="G2178" s="41">
        <v>5904.31</v>
      </c>
      <c r="H2178" s="41">
        <v>4330231609.4300003</v>
      </c>
      <c r="I2178" s="42">
        <v>14665</v>
      </c>
    </row>
    <row r="2179" spans="1:9" x14ac:dyDescent="0.25">
      <c r="A2179" t="s">
        <v>9</v>
      </c>
      <c r="B2179" s="39">
        <v>45806</v>
      </c>
      <c r="C2179" s="40">
        <v>0.52083333333333337</v>
      </c>
      <c r="D2179" s="41">
        <v>5904.31</v>
      </c>
      <c r="E2179" s="41">
        <v>5905.8770000000004</v>
      </c>
      <c r="F2179" s="41">
        <v>5898.0420000000004</v>
      </c>
      <c r="G2179" s="41">
        <v>5905.3540000000003</v>
      </c>
      <c r="H2179" s="41">
        <v>3600506451.0100002</v>
      </c>
      <c r="I2179" s="42">
        <v>12200</v>
      </c>
    </row>
    <row r="2180" spans="1:9" x14ac:dyDescent="0.25">
      <c r="A2180" t="s">
        <v>9</v>
      </c>
      <c r="B2180" s="39">
        <v>45806</v>
      </c>
      <c r="C2180" s="40">
        <v>0.5</v>
      </c>
      <c r="D2180" s="41">
        <v>5899.0870000000004</v>
      </c>
      <c r="E2180" s="41">
        <v>5907.9660000000003</v>
      </c>
      <c r="F2180" s="41">
        <v>5896.4759999999997</v>
      </c>
      <c r="G2180" s="41">
        <v>5904.8320000000003</v>
      </c>
      <c r="H2180" s="41">
        <v>7766062526.5699997</v>
      </c>
      <c r="I2180" s="42">
        <v>26315</v>
      </c>
    </row>
    <row r="2181" spans="1:9" x14ac:dyDescent="0.25">
      <c r="A2181" t="s">
        <v>9</v>
      </c>
      <c r="B2181" s="39">
        <v>45806</v>
      </c>
      <c r="C2181" s="40">
        <v>0.47916666666666669</v>
      </c>
      <c r="D2181" s="41">
        <v>5916.8440000000001</v>
      </c>
      <c r="E2181" s="41">
        <v>5917.3670000000002</v>
      </c>
      <c r="F2181" s="41">
        <v>5897.52</v>
      </c>
      <c r="G2181" s="41">
        <v>5899.6090000000004</v>
      </c>
      <c r="H2181" s="41">
        <v>5538075811.4899998</v>
      </c>
      <c r="I2181" s="42">
        <v>18760</v>
      </c>
    </row>
    <row r="2182" spans="1:9" x14ac:dyDescent="0.25">
      <c r="A2182" t="s">
        <v>9</v>
      </c>
      <c r="B2182" s="39">
        <v>45806</v>
      </c>
      <c r="C2182" s="40">
        <v>0.45833333333333331</v>
      </c>
      <c r="D2182" s="41">
        <v>5920.5</v>
      </c>
      <c r="E2182" s="41">
        <v>5921.0230000000001</v>
      </c>
      <c r="F2182" s="41">
        <v>5912.6660000000002</v>
      </c>
      <c r="G2182" s="41">
        <v>5916.8440000000001</v>
      </c>
      <c r="H2182" s="41">
        <v>3504227684.3299999</v>
      </c>
      <c r="I2182" s="42">
        <v>11845</v>
      </c>
    </row>
    <row r="2183" spans="1:9" x14ac:dyDescent="0.25">
      <c r="A2183" t="s">
        <v>9</v>
      </c>
      <c r="B2183" s="39">
        <v>45806</v>
      </c>
      <c r="C2183" s="40">
        <v>0.4375</v>
      </c>
      <c r="D2183" s="41">
        <v>5927.8119999999999</v>
      </c>
      <c r="E2183" s="41">
        <v>5933.0349999999999</v>
      </c>
      <c r="F2183" s="41">
        <v>5915.2780000000002</v>
      </c>
      <c r="G2183" s="41">
        <v>5921.0230000000001</v>
      </c>
      <c r="H2183" s="41">
        <v>4969285659.1700001</v>
      </c>
      <c r="I2183" s="42">
        <v>16780</v>
      </c>
    </row>
    <row r="2184" spans="1:9" x14ac:dyDescent="0.25">
      <c r="A2184" t="s">
        <v>9</v>
      </c>
      <c r="B2184" s="39">
        <v>45806</v>
      </c>
      <c r="C2184" s="40">
        <v>0.41666666666666669</v>
      </c>
      <c r="D2184" s="41">
        <v>5918.4110000000001</v>
      </c>
      <c r="E2184" s="41">
        <v>5928.3339999999998</v>
      </c>
      <c r="F2184" s="41">
        <v>5913.7110000000002</v>
      </c>
      <c r="G2184" s="41">
        <v>5928.3339999999998</v>
      </c>
      <c r="H2184" s="41">
        <v>9869015102.4500008</v>
      </c>
      <c r="I2184" s="42">
        <v>33350</v>
      </c>
    </row>
    <row r="2185" spans="1:9" x14ac:dyDescent="0.25">
      <c r="A2185" t="s">
        <v>9</v>
      </c>
      <c r="B2185" s="39">
        <v>45806</v>
      </c>
      <c r="C2185" s="40">
        <v>0.39583333333333331</v>
      </c>
      <c r="D2185" s="41">
        <v>5937.2129999999997</v>
      </c>
      <c r="E2185" s="41">
        <v>5945.0469999999996</v>
      </c>
      <c r="F2185" s="41">
        <v>5918.4110000000001</v>
      </c>
      <c r="G2185" s="41">
        <v>5918.933</v>
      </c>
      <c r="H2185" s="41">
        <v>4208450846.7399998</v>
      </c>
      <c r="I2185" s="42">
        <v>14190</v>
      </c>
    </row>
    <row r="2186" spans="1:9" x14ac:dyDescent="0.25">
      <c r="A2186" t="s">
        <v>9</v>
      </c>
      <c r="B2186" s="39">
        <v>45806</v>
      </c>
      <c r="C2186" s="40">
        <v>0.375</v>
      </c>
      <c r="D2186" s="41">
        <v>5948.7030000000004</v>
      </c>
      <c r="E2186" s="41">
        <v>5959.6710000000003</v>
      </c>
      <c r="F2186" s="41">
        <v>5927.8119999999999</v>
      </c>
      <c r="G2186" s="41">
        <v>5937.2129999999997</v>
      </c>
      <c r="H2186" s="41">
        <v>3194982345.0700002</v>
      </c>
      <c r="I2186" s="42">
        <v>10755</v>
      </c>
    </row>
    <row r="2187" spans="1:9" x14ac:dyDescent="0.25">
      <c r="A2187" t="s">
        <v>9</v>
      </c>
      <c r="B2187" s="39">
        <v>45805</v>
      </c>
      <c r="C2187" s="40">
        <v>0.75</v>
      </c>
      <c r="D2187" s="41">
        <v>5945.5690000000004</v>
      </c>
      <c r="E2187" s="41">
        <v>5947.6589999999997</v>
      </c>
      <c r="F2187" s="41">
        <v>5942.9579999999996</v>
      </c>
      <c r="G2187" s="41">
        <v>5945.5690000000004</v>
      </c>
      <c r="H2187" s="41">
        <v>533589785.69</v>
      </c>
      <c r="I2187" s="42">
        <v>1795</v>
      </c>
    </row>
    <row r="2188" spans="1:9" x14ac:dyDescent="0.25">
      <c r="A2188" t="s">
        <v>9</v>
      </c>
      <c r="B2188" s="39">
        <v>45805</v>
      </c>
      <c r="C2188" s="40">
        <v>0.72916666666666663</v>
      </c>
      <c r="D2188" s="41">
        <v>5946.6139999999996</v>
      </c>
      <c r="E2188" s="41">
        <v>5948.7030000000004</v>
      </c>
      <c r="F2188" s="41">
        <v>5942.9579999999996</v>
      </c>
      <c r="G2188" s="41">
        <v>5945.5690000000004</v>
      </c>
      <c r="H2188" s="41">
        <v>1092528802.1900001</v>
      </c>
      <c r="I2188" s="42">
        <v>3675</v>
      </c>
    </row>
    <row r="2189" spans="1:9" x14ac:dyDescent="0.25">
      <c r="A2189" t="s">
        <v>9</v>
      </c>
      <c r="B2189" s="39">
        <v>45805</v>
      </c>
      <c r="C2189" s="40">
        <v>0.70833333333333337</v>
      </c>
      <c r="D2189" s="41">
        <v>5951.8370000000004</v>
      </c>
      <c r="E2189" s="41">
        <v>5954.97</v>
      </c>
      <c r="F2189" s="41">
        <v>5946.6139999999996</v>
      </c>
      <c r="G2189" s="41">
        <v>5946.6139999999996</v>
      </c>
      <c r="H2189" s="41">
        <v>831494071.41999996</v>
      </c>
      <c r="I2189" s="42">
        <v>2795</v>
      </c>
    </row>
    <row r="2190" spans="1:9" x14ac:dyDescent="0.25">
      <c r="A2190" t="s">
        <v>9</v>
      </c>
      <c r="B2190" s="39">
        <v>45805</v>
      </c>
      <c r="C2190" s="40">
        <v>0.6875</v>
      </c>
      <c r="D2190" s="41">
        <v>5948.7030000000004</v>
      </c>
      <c r="E2190" s="41">
        <v>5954.4480000000003</v>
      </c>
      <c r="F2190" s="41">
        <v>5947.1360000000004</v>
      </c>
      <c r="G2190" s="41">
        <v>5951.8370000000004</v>
      </c>
      <c r="H2190" s="41">
        <v>1908598158.1500001</v>
      </c>
      <c r="I2190" s="42">
        <v>6415</v>
      </c>
    </row>
    <row r="2191" spans="1:9" x14ac:dyDescent="0.25">
      <c r="A2191" t="s">
        <v>9</v>
      </c>
      <c r="B2191" s="39">
        <v>45805</v>
      </c>
      <c r="C2191" s="40">
        <v>0.66666666666666663</v>
      </c>
      <c r="D2191" s="41">
        <v>5945.0469999999996</v>
      </c>
      <c r="E2191" s="41">
        <v>5949.2250000000004</v>
      </c>
      <c r="F2191" s="41">
        <v>5939.3019999999997</v>
      </c>
      <c r="G2191" s="41">
        <v>5948.7030000000004</v>
      </c>
      <c r="H2191" s="41">
        <v>3499380457.54</v>
      </c>
      <c r="I2191" s="42">
        <v>11775</v>
      </c>
    </row>
    <row r="2192" spans="1:9" x14ac:dyDescent="0.25">
      <c r="A2192" t="s">
        <v>9</v>
      </c>
      <c r="B2192" s="39">
        <v>45805</v>
      </c>
      <c r="C2192" s="40">
        <v>0.64583333333333337</v>
      </c>
      <c r="D2192" s="41">
        <v>5943.48</v>
      </c>
      <c r="E2192" s="41">
        <v>5951.3140000000003</v>
      </c>
      <c r="F2192" s="41">
        <v>5937.7349999999997</v>
      </c>
      <c r="G2192" s="41">
        <v>5945.0469999999996</v>
      </c>
      <c r="H2192" s="41">
        <v>4438146122.8599997</v>
      </c>
      <c r="I2192" s="42">
        <v>14930</v>
      </c>
    </row>
    <row r="2193" spans="1:9" x14ac:dyDescent="0.25">
      <c r="A2193" t="s">
        <v>9</v>
      </c>
      <c r="B2193" s="39">
        <v>45805</v>
      </c>
      <c r="C2193" s="40">
        <v>0.625</v>
      </c>
      <c r="D2193" s="41">
        <v>5951.3140000000003</v>
      </c>
      <c r="E2193" s="41">
        <v>5957.0590000000002</v>
      </c>
      <c r="F2193" s="41">
        <v>5942.9579999999996</v>
      </c>
      <c r="G2193" s="41">
        <v>5942.9579999999996</v>
      </c>
      <c r="H2193" s="41">
        <v>7685110810.0699997</v>
      </c>
      <c r="I2193" s="42">
        <v>25840</v>
      </c>
    </row>
    <row r="2194" spans="1:9" x14ac:dyDescent="0.25">
      <c r="A2194" t="s">
        <v>9</v>
      </c>
      <c r="B2194" s="39">
        <v>45805</v>
      </c>
      <c r="C2194" s="40">
        <v>0.60416666666666663</v>
      </c>
      <c r="D2194" s="41">
        <v>5949.7479999999996</v>
      </c>
      <c r="E2194" s="41">
        <v>5951.8370000000004</v>
      </c>
      <c r="F2194" s="41">
        <v>5945.0469999999996</v>
      </c>
      <c r="G2194" s="41">
        <v>5951.8370000000004</v>
      </c>
      <c r="H2194" s="41">
        <v>3566580825.1199999</v>
      </c>
      <c r="I2194" s="42">
        <v>11990</v>
      </c>
    </row>
    <row r="2195" spans="1:9" x14ac:dyDescent="0.25">
      <c r="A2195" t="s">
        <v>9</v>
      </c>
      <c r="B2195" s="39">
        <v>45805</v>
      </c>
      <c r="C2195" s="40">
        <v>0.58333333333333337</v>
      </c>
      <c r="D2195" s="41">
        <v>5963.8490000000002</v>
      </c>
      <c r="E2195" s="41">
        <v>5965.9380000000001</v>
      </c>
      <c r="F2195" s="41">
        <v>5945.5690000000004</v>
      </c>
      <c r="G2195" s="41">
        <v>5948.7030000000004</v>
      </c>
      <c r="H2195" s="41">
        <v>7107321873.3999996</v>
      </c>
      <c r="I2195" s="42">
        <v>23875</v>
      </c>
    </row>
    <row r="2196" spans="1:9" x14ac:dyDescent="0.25">
      <c r="A2196" t="s">
        <v>9</v>
      </c>
      <c r="B2196" s="39">
        <v>45805</v>
      </c>
      <c r="C2196" s="40">
        <v>0.5625</v>
      </c>
      <c r="D2196" s="41">
        <v>5969.5940000000001</v>
      </c>
      <c r="E2196" s="41">
        <v>5971.1610000000001</v>
      </c>
      <c r="F2196" s="41">
        <v>5960.1930000000002</v>
      </c>
      <c r="G2196" s="41">
        <v>5963.8490000000002</v>
      </c>
      <c r="H2196" s="41">
        <v>2961938116.27</v>
      </c>
      <c r="I2196" s="42">
        <v>9930</v>
      </c>
    </row>
    <row r="2197" spans="1:9" x14ac:dyDescent="0.25">
      <c r="A2197" t="s">
        <v>9</v>
      </c>
      <c r="B2197" s="39">
        <v>45805</v>
      </c>
      <c r="C2197" s="40">
        <v>0.54166666666666663</v>
      </c>
      <c r="D2197" s="41">
        <v>5967.5050000000001</v>
      </c>
      <c r="E2197" s="41">
        <v>5975.3389999999999</v>
      </c>
      <c r="F2197" s="41">
        <v>5964.3710000000001</v>
      </c>
      <c r="G2197" s="41">
        <v>5969.5940000000001</v>
      </c>
      <c r="H2197" s="41">
        <v>3492702790.2800002</v>
      </c>
      <c r="I2197" s="42">
        <v>11700</v>
      </c>
    </row>
    <row r="2198" spans="1:9" x14ac:dyDescent="0.25">
      <c r="A2198" t="s">
        <v>9</v>
      </c>
      <c r="B2198" s="39">
        <v>45805</v>
      </c>
      <c r="C2198" s="40">
        <v>0.52083333333333337</v>
      </c>
      <c r="D2198" s="41">
        <v>5953.9260000000004</v>
      </c>
      <c r="E2198" s="41">
        <v>5968.027</v>
      </c>
      <c r="F2198" s="41">
        <v>5953.4040000000005</v>
      </c>
      <c r="G2198" s="41">
        <v>5967.5050000000001</v>
      </c>
      <c r="H2198" s="41">
        <v>2243849357.4400001</v>
      </c>
      <c r="I2198" s="42">
        <v>7530</v>
      </c>
    </row>
    <row r="2199" spans="1:9" x14ac:dyDescent="0.25">
      <c r="A2199" t="s">
        <v>9</v>
      </c>
      <c r="B2199" s="39">
        <v>45805</v>
      </c>
      <c r="C2199" s="40">
        <v>0.5</v>
      </c>
      <c r="D2199" s="41">
        <v>5953.9260000000004</v>
      </c>
      <c r="E2199" s="41">
        <v>5959.1490000000003</v>
      </c>
      <c r="F2199" s="41">
        <v>5950.27</v>
      </c>
      <c r="G2199" s="41">
        <v>5953.9260000000004</v>
      </c>
      <c r="H2199" s="41">
        <v>3619885957.2199998</v>
      </c>
      <c r="I2199" s="42">
        <v>12160</v>
      </c>
    </row>
    <row r="2200" spans="1:9" x14ac:dyDescent="0.25">
      <c r="A2200" t="s">
        <v>9</v>
      </c>
      <c r="B2200" s="39">
        <v>45805</v>
      </c>
      <c r="C2200" s="40">
        <v>0.47916666666666669</v>
      </c>
      <c r="D2200" s="41">
        <v>5943.48</v>
      </c>
      <c r="E2200" s="41">
        <v>5956.0150000000003</v>
      </c>
      <c r="F2200" s="41">
        <v>5941.9129999999996</v>
      </c>
      <c r="G2200" s="41">
        <v>5953.9260000000004</v>
      </c>
      <c r="H2200" s="41">
        <v>4266164887.0100002</v>
      </c>
      <c r="I2200" s="42">
        <v>14340</v>
      </c>
    </row>
    <row r="2201" spans="1:9" x14ac:dyDescent="0.25">
      <c r="A2201" t="s">
        <v>9</v>
      </c>
      <c r="B2201" s="39">
        <v>45805</v>
      </c>
      <c r="C2201" s="40">
        <v>0.45833333333333331</v>
      </c>
      <c r="D2201" s="41">
        <v>5937.2129999999997</v>
      </c>
      <c r="E2201" s="41">
        <v>5948.7030000000004</v>
      </c>
      <c r="F2201" s="41">
        <v>5936.6909999999998</v>
      </c>
      <c r="G2201" s="41">
        <v>5943.48</v>
      </c>
      <c r="H2201" s="41">
        <v>4411969870.8699999</v>
      </c>
      <c r="I2201" s="42">
        <v>14850</v>
      </c>
    </row>
    <row r="2202" spans="1:9" x14ac:dyDescent="0.25">
      <c r="A2202" t="s">
        <v>9</v>
      </c>
      <c r="B2202" s="39">
        <v>45805</v>
      </c>
      <c r="C2202" s="40">
        <v>0.4375</v>
      </c>
      <c r="D2202" s="41">
        <v>5941.9129999999996</v>
      </c>
      <c r="E2202" s="41">
        <v>5942.9579999999996</v>
      </c>
      <c r="F2202" s="41">
        <v>5926.768</v>
      </c>
      <c r="G2202" s="41">
        <v>5937.7349999999997</v>
      </c>
      <c r="H2202" s="41">
        <v>8747077823.8700008</v>
      </c>
      <c r="I2202" s="42">
        <v>29475</v>
      </c>
    </row>
    <row r="2203" spans="1:9" x14ac:dyDescent="0.25">
      <c r="A2203" t="s">
        <v>9</v>
      </c>
      <c r="B2203" s="39">
        <v>45805</v>
      </c>
      <c r="C2203" s="40">
        <v>0.41666666666666669</v>
      </c>
      <c r="D2203" s="41">
        <v>5922.067</v>
      </c>
      <c r="E2203" s="41">
        <v>5943.48</v>
      </c>
      <c r="F2203" s="41">
        <v>5919.9780000000001</v>
      </c>
      <c r="G2203" s="41">
        <v>5941.9129999999996</v>
      </c>
      <c r="H2203" s="41">
        <v>8375670887.8800001</v>
      </c>
      <c r="I2203" s="42">
        <v>28230</v>
      </c>
    </row>
    <row r="2204" spans="1:9" x14ac:dyDescent="0.25">
      <c r="A2204" t="s">
        <v>9</v>
      </c>
      <c r="B2204" s="39">
        <v>45805</v>
      </c>
      <c r="C2204" s="40">
        <v>0.39583333333333331</v>
      </c>
      <c r="D2204" s="41">
        <v>5904.31</v>
      </c>
      <c r="E2204" s="41">
        <v>5922.5889999999999</v>
      </c>
      <c r="F2204" s="41">
        <v>5899.6090000000004</v>
      </c>
      <c r="G2204" s="41">
        <v>5922.067</v>
      </c>
      <c r="H2204" s="41">
        <v>3897244237.3200002</v>
      </c>
      <c r="I2204" s="42">
        <v>13185</v>
      </c>
    </row>
    <row r="2205" spans="1:9" x14ac:dyDescent="0.25">
      <c r="A2205" t="s">
        <v>9</v>
      </c>
      <c r="B2205" s="39">
        <v>45805</v>
      </c>
      <c r="C2205" s="40">
        <v>0.375</v>
      </c>
      <c r="D2205" s="41">
        <v>5907.9660000000003</v>
      </c>
      <c r="E2205" s="41">
        <v>5919.9780000000001</v>
      </c>
      <c r="F2205" s="41">
        <v>5898.0420000000004</v>
      </c>
      <c r="G2205" s="41">
        <v>5903.7870000000003</v>
      </c>
      <c r="H2205" s="41">
        <v>4538563129.1099997</v>
      </c>
      <c r="I2205" s="42">
        <v>15370</v>
      </c>
    </row>
    <row r="2206" spans="1:9" x14ac:dyDescent="0.25">
      <c r="A2206" t="s">
        <v>9</v>
      </c>
      <c r="B2206" s="39">
        <v>45804</v>
      </c>
      <c r="C2206" s="40">
        <v>0.75</v>
      </c>
      <c r="D2206" s="41">
        <v>5898.5649999999996</v>
      </c>
      <c r="E2206" s="41">
        <v>5899.0870000000004</v>
      </c>
      <c r="F2206" s="41">
        <v>5893.3419999999996</v>
      </c>
      <c r="G2206" s="41">
        <v>5894.9089999999997</v>
      </c>
      <c r="H2206" s="41">
        <v>755927393.53999996</v>
      </c>
      <c r="I2206" s="42">
        <v>2565</v>
      </c>
    </row>
    <row r="2207" spans="1:9" x14ac:dyDescent="0.25">
      <c r="A2207" t="s">
        <v>9</v>
      </c>
      <c r="B2207" s="39">
        <v>45804</v>
      </c>
      <c r="C2207" s="40">
        <v>0.72916666666666663</v>
      </c>
      <c r="D2207" s="41">
        <v>5895.9530000000004</v>
      </c>
      <c r="E2207" s="41">
        <v>5899.0870000000004</v>
      </c>
      <c r="F2207" s="41">
        <v>5891.7749999999996</v>
      </c>
      <c r="G2207" s="41">
        <v>5898.0420000000004</v>
      </c>
      <c r="H2207" s="41">
        <v>1971879771.8900001</v>
      </c>
      <c r="I2207" s="42">
        <v>6690</v>
      </c>
    </row>
    <row r="2208" spans="1:9" x14ac:dyDescent="0.25">
      <c r="A2208" t="s">
        <v>9</v>
      </c>
      <c r="B2208" s="39">
        <v>45804</v>
      </c>
      <c r="C2208" s="40">
        <v>0.70833333333333337</v>
      </c>
      <c r="D2208" s="41">
        <v>5902.2209999999995</v>
      </c>
      <c r="E2208" s="41">
        <v>5904.31</v>
      </c>
      <c r="F2208" s="41">
        <v>5895.9530000000004</v>
      </c>
      <c r="G2208" s="41">
        <v>5896.4759999999997</v>
      </c>
      <c r="H2208" s="41">
        <v>3467061738.77</v>
      </c>
      <c r="I2208" s="42">
        <v>11750</v>
      </c>
    </row>
    <row r="2209" spans="1:9" x14ac:dyDescent="0.25">
      <c r="A2209" t="s">
        <v>9</v>
      </c>
      <c r="B2209" s="39">
        <v>45804</v>
      </c>
      <c r="C2209" s="40">
        <v>0.6875</v>
      </c>
      <c r="D2209" s="41">
        <v>5904.8320000000003</v>
      </c>
      <c r="E2209" s="41">
        <v>5906.9210000000003</v>
      </c>
      <c r="F2209" s="41">
        <v>5901.6980000000003</v>
      </c>
      <c r="G2209" s="41">
        <v>5902.2209999999995</v>
      </c>
      <c r="H2209" s="41">
        <v>1818619193.3599999</v>
      </c>
      <c r="I2209" s="42">
        <v>6160</v>
      </c>
    </row>
    <row r="2210" spans="1:9" x14ac:dyDescent="0.25">
      <c r="A2210" t="s">
        <v>9</v>
      </c>
      <c r="B2210" s="39">
        <v>45804</v>
      </c>
      <c r="C2210" s="40">
        <v>0.66666666666666663</v>
      </c>
      <c r="D2210" s="41">
        <v>5900.6540000000005</v>
      </c>
      <c r="E2210" s="41">
        <v>5904.8320000000003</v>
      </c>
      <c r="F2210" s="41">
        <v>5899.0870000000004</v>
      </c>
      <c r="G2210" s="41">
        <v>5904.31</v>
      </c>
      <c r="H2210" s="41">
        <v>3357417975.4899998</v>
      </c>
      <c r="I2210" s="42">
        <v>11375</v>
      </c>
    </row>
    <row r="2211" spans="1:9" x14ac:dyDescent="0.25">
      <c r="A2211" t="s">
        <v>9</v>
      </c>
      <c r="B2211" s="39">
        <v>45804</v>
      </c>
      <c r="C2211" s="40">
        <v>0.64583333333333337</v>
      </c>
      <c r="D2211" s="41">
        <v>5904.31</v>
      </c>
      <c r="E2211" s="41">
        <v>5906.3990000000003</v>
      </c>
      <c r="F2211" s="41">
        <v>5897.52</v>
      </c>
      <c r="G2211" s="41">
        <v>5900.6540000000005</v>
      </c>
      <c r="H2211" s="41">
        <v>4440972540.2200003</v>
      </c>
      <c r="I2211" s="42">
        <v>15055</v>
      </c>
    </row>
    <row r="2212" spans="1:9" x14ac:dyDescent="0.25">
      <c r="A2212" t="s">
        <v>9</v>
      </c>
      <c r="B2212" s="39">
        <v>45804</v>
      </c>
      <c r="C2212" s="40">
        <v>0.625</v>
      </c>
      <c r="D2212" s="41">
        <v>5910.5770000000002</v>
      </c>
      <c r="E2212" s="41">
        <v>5912.1440000000002</v>
      </c>
      <c r="F2212" s="41">
        <v>5903.2650000000003</v>
      </c>
      <c r="G2212" s="41">
        <v>5904.8320000000003</v>
      </c>
      <c r="H2212" s="41">
        <v>4729158217.1899996</v>
      </c>
      <c r="I2212" s="42">
        <v>16010</v>
      </c>
    </row>
    <row r="2213" spans="1:9" x14ac:dyDescent="0.25">
      <c r="A2213" t="s">
        <v>9</v>
      </c>
      <c r="B2213" s="39">
        <v>45804</v>
      </c>
      <c r="C2213" s="40">
        <v>0.60416666666666663</v>
      </c>
      <c r="D2213" s="41">
        <v>5911.6220000000003</v>
      </c>
      <c r="E2213" s="41">
        <v>5912.1440000000002</v>
      </c>
      <c r="F2213" s="41">
        <v>5906.3990000000003</v>
      </c>
      <c r="G2213" s="41">
        <v>5910.0550000000003</v>
      </c>
      <c r="H2213" s="41">
        <v>1809592859.05</v>
      </c>
      <c r="I2213" s="42">
        <v>6125</v>
      </c>
    </row>
    <row r="2214" spans="1:9" x14ac:dyDescent="0.25">
      <c r="A2214" t="s">
        <v>9</v>
      </c>
      <c r="B2214" s="39">
        <v>45804</v>
      </c>
      <c r="C2214" s="40">
        <v>0.58333333333333337</v>
      </c>
      <c r="D2214" s="41">
        <v>5918.933</v>
      </c>
      <c r="E2214" s="41">
        <v>5919.9780000000001</v>
      </c>
      <c r="F2214" s="41">
        <v>5909.5320000000002</v>
      </c>
      <c r="G2214" s="41">
        <v>5911.0990000000002</v>
      </c>
      <c r="H2214" s="41">
        <v>2307006408.7800002</v>
      </c>
      <c r="I2214" s="42">
        <v>7800</v>
      </c>
    </row>
    <row r="2215" spans="1:9" x14ac:dyDescent="0.25">
      <c r="A2215" t="s">
        <v>9</v>
      </c>
      <c r="B2215" s="39">
        <v>45804</v>
      </c>
      <c r="C2215" s="40">
        <v>0.5625</v>
      </c>
      <c r="D2215" s="41">
        <v>5907.9660000000003</v>
      </c>
      <c r="E2215" s="41">
        <v>5920.5</v>
      </c>
      <c r="F2215" s="41">
        <v>5907.9660000000003</v>
      </c>
      <c r="G2215" s="41">
        <v>5918.933</v>
      </c>
      <c r="H2215" s="41">
        <v>2050867606.8599999</v>
      </c>
      <c r="I2215" s="42">
        <v>6935</v>
      </c>
    </row>
    <row r="2216" spans="1:9" x14ac:dyDescent="0.25">
      <c r="A2216" t="s">
        <v>9</v>
      </c>
      <c r="B2216" s="39">
        <v>45804</v>
      </c>
      <c r="C2216" s="40">
        <v>0.54166666666666663</v>
      </c>
      <c r="D2216" s="41">
        <v>5909.01</v>
      </c>
      <c r="E2216" s="41">
        <v>5911.6220000000003</v>
      </c>
      <c r="F2216" s="41">
        <v>5905.3540000000003</v>
      </c>
      <c r="G2216" s="41">
        <v>5908.4880000000003</v>
      </c>
      <c r="H2216" s="41">
        <v>3336803813.0900002</v>
      </c>
      <c r="I2216" s="42">
        <v>11295</v>
      </c>
    </row>
    <row r="2217" spans="1:9" x14ac:dyDescent="0.25">
      <c r="A2217" t="s">
        <v>9</v>
      </c>
      <c r="B2217" s="39">
        <v>45804</v>
      </c>
      <c r="C2217" s="40">
        <v>0.52083333333333337</v>
      </c>
      <c r="D2217" s="41">
        <v>5915.2780000000002</v>
      </c>
      <c r="E2217" s="41">
        <v>5915.2780000000002</v>
      </c>
      <c r="F2217" s="41">
        <v>5904.31</v>
      </c>
      <c r="G2217" s="41">
        <v>5909.01</v>
      </c>
      <c r="H2217" s="41">
        <v>3715258578.1700001</v>
      </c>
      <c r="I2217" s="42">
        <v>12575</v>
      </c>
    </row>
    <row r="2218" spans="1:9" x14ac:dyDescent="0.25">
      <c r="A2218" t="s">
        <v>9</v>
      </c>
      <c r="B2218" s="39">
        <v>45804</v>
      </c>
      <c r="C2218" s="40">
        <v>0.5</v>
      </c>
      <c r="D2218" s="41">
        <v>5910.5770000000002</v>
      </c>
      <c r="E2218" s="41">
        <v>5918.4110000000001</v>
      </c>
      <c r="F2218" s="41">
        <v>5907.9660000000003</v>
      </c>
      <c r="G2218" s="41">
        <v>5915.8</v>
      </c>
      <c r="H2218" s="41">
        <v>4753217561.3000002</v>
      </c>
      <c r="I2218" s="42">
        <v>16080</v>
      </c>
    </row>
    <row r="2219" spans="1:9" x14ac:dyDescent="0.25">
      <c r="A2219" t="s">
        <v>9</v>
      </c>
      <c r="B2219" s="39">
        <v>45804</v>
      </c>
      <c r="C2219" s="40">
        <v>0.47916666666666669</v>
      </c>
      <c r="D2219" s="41">
        <v>5914.7550000000001</v>
      </c>
      <c r="E2219" s="41">
        <v>5926.2449999999999</v>
      </c>
      <c r="F2219" s="41">
        <v>5909.5320000000002</v>
      </c>
      <c r="G2219" s="41">
        <v>5910.5770000000002</v>
      </c>
      <c r="H2219" s="41">
        <v>4119999272.8200002</v>
      </c>
      <c r="I2219" s="42">
        <v>13930</v>
      </c>
    </row>
    <row r="2220" spans="1:9" x14ac:dyDescent="0.25">
      <c r="A2220" t="s">
        <v>9</v>
      </c>
      <c r="B2220" s="39">
        <v>45804</v>
      </c>
      <c r="C2220" s="40">
        <v>0.45833333333333331</v>
      </c>
      <c r="D2220" s="41">
        <v>5914.7550000000001</v>
      </c>
      <c r="E2220" s="41">
        <v>5916.3220000000001</v>
      </c>
      <c r="F2220" s="41">
        <v>5905.8770000000004</v>
      </c>
      <c r="G2220" s="41">
        <v>5914.7550000000001</v>
      </c>
      <c r="H2220" s="41">
        <v>5452153872.6300001</v>
      </c>
      <c r="I2220" s="42">
        <v>18450</v>
      </c>
    </row>
    <row r="2221" spans="1:9" x14ac:dyDescent="0.25">
      <c r="A2221" t="s">
        <v>9</v>
      </c>
      <c r="B2221" s="39">
        <v>45804</v>
      </c>
      <c r="C2221" s="40">
        <v>0.4375</v>
      </c>
      <c r="D2221" s="41">
        <v>5924.1559999999999</v>
      </c>
      <c r="E2221" s="41">
        <v>5929.3789999999999</v>
      </c>
      <c r="F2221" s="41">
        <v>5913.1880000000001</v>
      </c>
      <c r="G2221" s="41">
        <v>5915.8</v>
      </c>
      <c r="H2221" s="41">
        <v>11144226930.4</v>
      </c>
      <c r="I2221" s="42">
        <v>37660</v>
      </c>
    </row>
    <row r="2222" spans="1:9" x14ac:dyDescent="0.25">
      <c r="A2222" t="s">
        <v>9</v>
      </c>
      <c r="B2222" s="39">
        <v>45804</v>
      </c>
      <c r="C2222" s="40">
        <v>0.41666666666666669</v>
      </c>
      <c r="D2222" s="41">
        <v>5912.6660000000002</v>
      </c>
      <c r="E2222" s="41">
        <v>5927.29</v>
      </c>
      <c r="F2222" s="41">
        <v>5905.8770000000004</v>
      </c>
      <c r="G2222" s="41">
        <v>5923.1120000000001</v>
      </c>
      <c r="H2222" s="41">
        <v>8586036534.9799995</v>
      </c>
      <c r="I2222" s="42">
        <v>29025</v>
      </c>
    </row>
    <row r="2223" spans="1:9" x14ac:dyDescent="0.25">
      <c r="A2223" t="s">
        <v>9</v>
      </c>
      <c r="B2223" s="39">
        <v>45804</v>
      </c>
      <c r="C2223" s="40">
        <v>0.39583333333333331</v>
      </c>
      <c r="D2223" s="41">
        <v>5901.1760000000004</v>
      </c>
      <c r="E2223" s="41">
        <v>5918.4110000000001</v>
      </c>
      <c r="F2223" s="41">
        <v>5900.1319999999996</v>
      </c>
      <c r="G2223" s="41">
        <v>5912.1440000000002</v>
      </c>
      <c r="H2223" s="41">
        <v>4708318432.3400002</v>
      </c>
      <c r="I2223" s="42">
        <v>15930</v>
      </c>
    </row>
    <row r="2224" spans="1:9" x14ac:dyDescent="0.25">
      <c r="A2224" t="s">
        <v>9</v>
      </c>
      <c r="B2224" s="39">
        <v>45804</v>
      </c>
      <c r="C2224" s="40">
        <v>0.375</v>
      </c>
      <c r="D2224" s="41">
        <v>5919.4560000000001</v>
      </c>
      <c r="E2224" s="41">
        <v>5929.3789999999999</v>
      </c>
      <c r="F2224" s="41">
        <v>5900.6540000000005</v>
      </c>
      <c r="G2224" s="41">
        <v>5901.1760000000004</v>
      </c>
      <c r="H2224" s="41">
        <v>3366416759.8400002</v>
      </c>
      <c r="I2224" s="42">
        <v>11380</v>
      </c>
    </row>
    <row r="2225" spans="1:9" x14ac:dyDescent="0.25">
      <c r="A2225" t="s">
        <v>9</v>
      </c>
      <c r="B2225" s="39">
        <v>45803</v>
      </c>
      <c r="C2225" s="40">
        <v>0.75</v>
      </c>
      <c r="D2225" s="41">
        <v>5929.3789999999999</v>
      </c>
      <c r="E2225" s="41">
        <v>5929.9009999999998</v>
      </c>
      <c r="F2225" s="41">
        <v>5921.5450000000001</v>
      </c>
      <c r="G2225" s="41">
        <v>5921.5450000000001</v>
      </c>
      <c r="H2225" s="41">
        <v>254844475.90000001</v>
      </c>
      <c r="I2225">
        <v>860</v>
      </c>
    </row>
    <row r="2226" spans="1:9" x14ac:dyDescent="0.25">
      <c r="A2226" t="s">
        <v>9</v>
      </c>
      <c r="B2226" s="39">
        <v>45803</v>
      </c>
      <c r="C2226" s="40">
        <v>0.72916666666666663</v>
      </c>
      <c r="D2226" s="41">
        <v>5931.99</v>
      </c>
      <c r="E2226" s="41">
        <v>5931.99</v>
      </c>
      <c r="F2226" s="41">
        <v>5925.723</v>
      </c>
      <c r="G2226" s="41">
        <v>5929.3789999999999</v>
      </c>
      <c r="H2226" s="41">
        <v>478723445.45999998</v>
      </c>
      <c r="I2226" s="42">
        <v>1615</v>
      </c>
    </row>
    <row r="2227" spans="1:9" x14ac:dyDescent="0.25">
      <c r="A2227" t="s">
        <v>9</v>
      </c>
      <c r="B2227" s="39">
        <v>45803</v>
      </c>
      <c r="C2227" s="40">
        <v>0.70833333333333337</v>
      </c>
      <c r="D2227" s="41">
        <v>5935.1239999999998</v>
      </c>
      <c r="E2227" s="41">
        <v>5935.6459999999997</v>
      </c>
      <c r="F2227" s="41">
        <v>5929.9009999999998</v>
      </c>
      <c r="G2227" s="41">
        <v>5931.99</v>
      </c>
      <c r="H2227" s="41">
        <v>458310097.49000001</v>
      </c>
      <c r="I2227" s="42">
        <v>1545</v>
      </c>
    </row>
    <row r="2228" spans="1:9" x14ac:dyDescent="0.25">
      <c r="A2228" t="s">
        <v>9</v>
      </c>
      <c r="B2228" s="39">
        <v>45803</v>
      </c>
      <c r="C2228" s="40">
        <v>0.6875</v>
      </c>
      <c r="D2228" s="41">
        <v>5933.5569999999998</v>
      </c>
      <c r="E2228" s="41">
        <v>5937.7349999999997</v>
      </c>
      <c r="F2228" s="41">
        <v>5933.0349999999999</v>
      </c>
      <c r="G2228" s="41">
        <v>5935.1239999999998</v>
      </c>
      <c r="H2228" s="41">
        <v>772998447.82000005</v>
      </c>
      <c r="I2228" s="42">
        <v>2605</v>
      </c>
    </row>
    <row r="2229" spans="1:9" x14ac:dyDescent="0.25">
      <c r="A2229" t="s">
        <v>9</v>
      </c>
      <c r="B2229" s="39">
        <v>45803</v>
      </c>
      <c r="C2229" s="40">
        <v>0.66666666666666663</v>
      </c>
      <c r="D2229" s="41">
        <v>5932.5129999999999</v>
      </c>
      <c r="E2229" s="41">
        <v>5936.1679999999997</v>
      </c>
      <c r="F2229" s="41">
        <v>5930.4229999999998</v>
      </c>
      <c r="G2229" s="41">
        <v>5933.5569999999998</v>
      </c>
      <c r="H2229" s="41">
        <v>956730853</v>
      </c>
      <c r="I2229" s="42">
        <v>3225</v>
      </c>
    </row>
    <row r="2230" spans="1:9" x14ac:dyDescent="0.25">
      <c r="A2230" t="s">
        <v>9</v>
      </c>
      <c r="B2230" s="39">
        <v>45803</v>
      </c>
      <c r="C2230" s="40">
        <v>0.64583333333333337</v>
      </c>
      <c r="D2230" s="41">
        <v>5934.6019999999999</v>
      </c>
      <c r="E2230" s="41">
        <v>5936.6909999999998</v>
      </c>
      <c r="F2230" s="41">
        <v>5930.4229999999998</v>
      </c>
      <c r="G2230" s="41">
        <v>5932.5129999999999</v>
      </c>
      <c r="H2230" s="41">
        <v>4035698864.7600002</v>
      </c>
      <c r="I2230" s="42">
        <v>13605</v>
      </c>
    </row>
    <row r="2231" spans="1:9" x14ac:dyDescent="0.25">
      <c r="A2231" t="s">
        <v>9</v>
      </c>
      <c r="B2231" s="39">
        <v>45803</v>
      </c>
      <c r="C2231" s="40">
        <v>0.625</v>
      </c>
      <c r="D2231" s="41">
        <v>5927.8119999999999</v>
      </c>
      <c r="E2231" s="41">
        <v>5938.78</v>
      </c>
      <c r="F2231" s="41">
        <v>5926.768</v>
      </c>
      <c r="G2231" s="41">
        <v>5934.6019999999999</v>
      </c>
      <c r="H2231" s="41">
        <v>2183968009.8400002</v>
      </c>
      <c r="I2231" s="42">
        <v>7360</v>
      </c>
    </row>
    <row r="2232" spans="1:9" x14ac:dyDescent="0.25">
      <c r="A2232" t="s">
        <v>9</v>
      </c>
      <c r="B2232" s="39">
        <v>45803</v>
      </c>
      <c r="C2232" s="40">
        <v>0.60416666666666663</v>
      </c>
      <c r="D2232" s="41">
        <v>5924.1559999999999</v>
      </c>
      <c r="E2232" s="41">
        <v>5929.3789999999999</v>
      </c>
      <c r="F2232" s="41">
        <v>5924.1559999999999</v>
      </c>
      <c r="G2232" s="41">
        <v>5928.3339999999998</v>
      </c>
      <c r="H2232" s="41">
        <v>1998789819.1199999</v>
      </c>
      <c r="I2232" s="42">
        <v>6745</v>
      </c>
    </row>
    <row r="2233" spans="1:9" x14ac:dyDescent="0.25">
      <c r="A2233" t="s">
        <v>9</v>
      </c>
      <c r="B2233" s="39">
        <v>45803</v>
      </c>
      <c r="C2233" s="40">
        <v>0.58333333333333337</v>
      </c>
      <c r="D2233" s="41">
        <v>5925.723</v>
      </c>
      <c r="E2233" s="41">
        <v>5928.3339999999998</v>
      </c>
      <c r="F2233" s="41">
        <v>5922.5889999999999</v>
      </c>
      <c r="G2233" s="41">
        <v>5924.6779999999999</v>
      </c>
      <c r="H2233" s="41">
        <v>758419947.13</v>
      </c>
      <c r="I2233" s="42">
        <v>2560</v>
      </c>
    </row>
    <row r="2234" spans="1:9" x14ac:dyDescent="0.25">
      <c r="A2234" t="s">
        <v>9</v>
      </c>
      <c r="B2234" s="39">
        <v>45803</v>
      </c>
      <c r="C2234" s="40">
        <v>0.5625</v>
      </c>
      <c r="D2234" s="41">
        <v>5931.4679999999998</v>
      </c>
      <c r="E2234" s="41">
        <v>5932.5129999999999</v>
      </c>
      <c r="F2234" s="41">
        <v>5924.6779999999999</v>
      </c>
      <c r="G2234" s="41">
        <v>5926.2449999999999</v>
      </c>
      <c r="H2234" s="41">
        <v>1049032762.84</v>
      </c>
      <c r="I2234" s="42">
        <v>3540</v>
      </c>
    </row>
    <row r="2235" spans="1:9" x14ac:dyDescent="0.25">
      <c r="A2235" t="s">
        <v>9</v>
      </c>
      <c r="B2235" s="39">
        <v>45803</v>
      </c>
      <c r="C2235" s="40">
        <v>0.54166666666666663</v>
      </c>
      <c r="D2235" s="41">
        <v>5934.0789999999997</v>
      </c>
      <c r="E2235" s="41">
        <v>5934.0789999999997</v>
      </c>
      <c r="F2235" s="41">
        <v>5927.8119999999999</v>
      </c>
      <c r="G2235" s="41">
        <v>5932.5129999999999</v>
      </c>
      <c r="H2235" s="41">
        <v>1066101989.16</v>
      </c>
      <c r="I2235" s="42">
        <v>3595</v>
      </c>
    </row>
    <row r="2236" spans="1:9" x14ac:dyDescent="0.25">
      <c r="A2236" t="s">
        <v>9</v>
      </c>
      <c r="B2236" s="39">
        <v>45803</v>
      </c>
      <c r="C2236" s="40">
        <v>0.52083333333333337</v>
      </c>
      <c r="D2236" s="41">
        <v>5929.9009999999998</v>
      </c>
      <c r="E2236" s="41">
        <v>5935.1239999999998</v>
      </c>
      <c r="F2236" s="41">
        <v>5928.3339999999998</v>
      </c>
      <c r="G2236" s="41">
        <v>5934.6019999999999</v>
      </c>
      <c r="H2236" s="41">
        <v>1866806691.21</v>
      </c>
      <c r="I2236" s="42">
        <v>6295</v>
      </c>
    </row>
    <row r="2237" spans="1:9" x14ac:dyDescent="0.25">
      <c r="A2237" t="s">
        <v>9</v>
      </c>
      <c r="B2237" s="39">
        <v>45803</v>
      </c>
      <c r="C2237" s="40">
        <v>0.5</v>
      </c>
      <c r="D2237" s="41">
        <v>5924.6779999999999</v>
      </c>
      <c r="E2237" s="41">
        <v>5929.9009999999998</v>
      </c>
      <c r="F2237" s="41">
        <v>5919.9780000000001</v>
      </c>
      <c r="G2237" s="41">
        <v>5929.9009999999998</v>
      </c>
      <c r="H2237" s="41">
        <v>1466523737.3699999</v>
      </c>
      <c r="I2237" s="42">
        <v>4950</v>
      </c>
    </row>
    <row r="2238" spans="1:9" x14ac:dyDescent="0.25">
      <c r="A2238" t="s">
        <v>9</v>
      </c>
      <c r="B2238" s="39">
        <v>45803</v>
      </c>
      <c r="C2238" s="40">
        <v>0.47916666666666669</v>
      </c>
      <c r="D2238" s="41">
        <v>5916.3220000000001</v>
      </c>
      <c r="E2238" s="41">
        <v>5930.4229999999998</v>
      </c>
      <c r="F2238" s="41">
        <v>5915.2780000000002</v>
      </c>
      <c r="G2238" s="41">
        <v>5924.6779999999999</v>
      </c>
      <c r="H2238" s="41">
        <v>1955116728.8199999</v>
      </c>
      <c r="I2238" s="42">
        <v>6600</v>
      </c>
    </row>
    <row r="2239" spans="1:9" x14ac:dyDescent="0.25">
      <c r="A2239" t="s">
        <v>9</v>
      </c>
      <c r="B2239" s="39">
        <v>45803</v>
      </c>
      <c r="C2239" s="40">
        <v>0.45833333333333331</v>
      </c>
      <c r="D2239" s="41">
        <v>5915.2780000000002</v>
      </c>
      <c r="E2239" s="41">
        <v>5922.5889999999999</v>
      </c>
      <c r="F2239" s="41">
        <v>5911.0990000000002</v>
      </c>
      <c r="G2239" s="41">
        <v>5916.3220000000001</v>
      </c>
      <c r="H2239" s="41">
        <v>2577988112.6900001</v>
      </c>
      <c r="I2239" s="42">
        <v>8715</v>
      </c>
    </row>
    <row r="2240" spans="1:9" x14ac:dyDescent="0.25">
      <c r="A2240" t="s">
        <v>9</v>
      </c>
      <c r="B2240" s="39">
        <v>45803</v>
      </c>
      <c r="C2240" s="40">
        <v>0.4375</v>
      </c>
      <c r="D2240" s="41">
        <v>5915.8</v>
      </c>
      <c r="E2240" s="41">
        <v>5920.5</v>
      </c>
      <c r="F2240" s="41">
        <v>5905.3540000000003</v>
      </c>
      <c r="G2240" s="41">
        <v>5915.8</v>
      </c>
      <c r="H2240" s="41">
        <v>1595124225.8900001</v>
      </c>
      <c r="I2240" s="42">
        <v>5395</v>
      </c>
    </row>
    <row r="2241" spans="1:9" x14ac:dyDescent="0.25">
      <c r="A2241" t="s">
        <v>9</v>
      </c>
      <c r="B2241" s="39">
        <v>45803</v>
      </c>
      <c r="C2241" s="40">
        <v>0.41666666666666669</v>
      </c>
      <c r="D2241" s="41">
        <v>5917.3670000000002</v>
      </c>
      <c r="E2241" s="41">
        <v>5925.201</v>
      </c>
      <c r="F2241" s="41">
        <v>5908.4880000000003</v>
      </c>
      <c r="G2241" s="41">
        <v>5915.2780000000002</v>
      </c>
      <c r="H2241" s="41">
        <v>2601747410.2800002</v>
      </c>
      <c r="I2241" s="42">
        <v>8795</v>
      </c>
    </row>
    <row r="2242" spans="1:9" x14ac:dyDescent="0.25">
      <c r="A2242" t="s">
        <v>9</v>
      </c>
      <c r="B2242" s="39">
        <v>45803</v>
      </c>
      <c r="C2242" s="40">
        <v>0.39583333333333331</v>
      </c>
      <c r="D2242" s="41">
        <v>5913.1880000000001</v>
      </c>
      <c r="E2242" s="41">
        <v>5920.5</v>
      </c>
      <c r="F2242" s="41">
        <v>5905.8770000000004</v>
      </c>
      <c r="G2242" s="41">
        <v>5918.933</v>
      </c>
      <c r="H2242" s="41">
        <v>2232109025.29</v>
      </c>
      <c r="I2242" s="42">
        <v>7550</v>
      </c>
    </row>
    <row r="2243" spans="1:9" x14ac:dyDescent="0.25">
      <c r="A2243" t="s">
        <v>9</v>
      </c>
      <c r="B2243" s="39">
        <v>45803</v>
      </c>
      <c r="C2243" s="40">
        <v>0.375</v>
      </c>
      <c r="D2243" s="41">
        <v>5901.6980000000003</v>
      </c>
      <c r="E2243" s="41">
        <v>5918.933</v>
      </c>
      <c r="F2243" s="41">
        <v>5893.3419999999996</v>
      </c>
      <c r="G2243" s="41">
        <v>5913.7110000000002</v>
      </c>
      <c r="H2243" s="41">
        <v>2851342899.9699998</v>
      </c>
      <c r="I2243" s="42">
        <v>9655</v>
      </c>
    </row>
    <row r="2244" spans="1:9" x14ac:dyDescent="0.25">
      <c r="A2244" t="s">
        <v>9</v>
      </c>
      <c r="B2244" s="39">
        <v>45800</v>
      </c>
      <c r="C2244" s="40">
        <v>0.75</v>
      </c>
      <c r="D2244" s="41">
        <v>5904.8320000000003</v>
      </c>
      <c r="E2244" s="41">
        <v>5915.2780000000002</v>
      </c>
      <c r="F2244" s="41">
        <v>5904.8320000000003</v>
      </c>
      <c r="G2244" s="41">
        <v>5909.5320000000002</v>
      </c>
      <c r="H2244" s="41">
        <v>727129586.25</v>
      </c>
      <c r="I2244" s="42">
        <v>2460</v>
      </c>
    </row>
    <row r="2245" spans="1:9" x14ac:dyDescent="0.25">
      <c r="A2245" t="s">
        <v>9</v>
      </c>
      <c r="B2245" s="39">
        <v>45800</v>
      </c>
      <c r="C2245" s="40">
        <v>0.72916666666666663</v>
      </c>
      <c r="D2245" s="41">
        <v>5905.3540000000003</v>
      </c>
      <c r="E2245" s="41">
        <v>5909.01</v>
      </c>
      <c r="F2245" s="41">
        <v>5904.8320000000003</v>
      </c>
      <c r="G2245" s="41">
        <v>5905.3540000000003</v>
      </c>
      <c r="H2245" s="41">
        <v>751622679.08000004</v>
      </c>
      <c r="I2245" s="42">
        <v>2545</v>
      </c>
    </row>
    <row r="2246" spans="1:9" x14ac:dyDescent="0.25">
      <c r="A2246" t="s">
        <v>9</v>
      </c>
      <c r="B2246" s="39">
        <v>45800</v>
      </c>
      <c r="C2246" s="40">
        <v>0.70833333333333337</v>
      </c>
      <c r="D2246" s="41">
        <v>5904.31</v>
      </c>
      <c r="E2246" s="41">
        <v>5907.4430000000002</v>
      </c>
      <c r="F2246" s="41">
        <v>5901.6980000000003</v>
      </c>
      <c r="G2246" s="41">
        <v>5904.8320000000003</v>
      </c>
      <c r="H2246" s="41">
        <v>2025265203.6500001</v>
      </c>
      <c r="I2246" s="42">
        <v>6860</v>
      </c>
    </row>
    <row r="2247" spans="1:9" x14ac:dyDescent="0.25">
      <c r="A2247" t="s">
        <v>9</v>
      </c>
      <c r="B2247" s="39">
        <v>45800</v>
      </c>
      <c r="C2247" s="40">
        <v>0.6875</v>
      </c>
      <c r="D2247" s="41">
        <v>5912.1440000000002</v>
      </c>
      <c r="E2247" s="41">
        <v>5915.2780000000002</v>
      </c>
      <c r="F2247" s="41">
        <v>5904.31</v>
      </c>
      <c r="G2247" s="41">
        <v>5904.31</v>
      </c>
      <c r="H2247" s="41">
        <v>1446284045.5599999</v>
      </c>
      <c r="I2247" s="42">
        <v>4895</v>
      </c>
    </row>
    <row r="2248" spans="1:9" x14ac:dyDescent="0.25">
      <c r="A2248" t="s">
        <v>9</v>
      </c>
      <c r="B2248" s="39">
        <v>45800</v>
      </c>
      <c r="C2248" s="40">
        <v>0.66666666666666663</v>
      </c>
      <c r="D2248" s="41">
        <v>5913.1880000000001</v>
      </c>
      <c r="E2248" s="41">
        <v>5913.7110000000002</v>
      </c>
      <c r="F2248" s="41">
        <v>5904.31</v>
      </c>
      <c r="G2248" s="41">
        <v>5912.6660000000002</v>
      </c>
      <c r="H2248" s="41">
        <v>2793771832.2600002</v>
      </c>
      <c r="I2248" s="42">
        <v>9455</v>
      </c>
    </row>
    <row r="2249" spans="1:9" x14ac:dyDescent="0.25">
      <c r="A2249" t="s">
        <v>9</v>
      </c>
      <c r="B2249" s="39">
        <v>45800</v>
      </c>
      <c r="C2249" s="40">
        <v>0.64583333333333337</v>
      </c>
      <c r="D2249" s="41">
        <v>5921.5450000000001</v>
      </c>
      <c r="E2249" s="41">
        <v>5923.634</v>
      </c>
      <c r="F2249" s="41">
        <v>5911.6220000000003</v>
      </c>
      <c r="G2249" s="41">
        <v>5912.6660000000002</v>
      </c>
      <c r="H2249" s="41">
        <v>5325814178.5100002</v>
      </c>
      <c r="I2249" s="42">
        <v>18000</v>
      </c>
    </row>
    <row r="2250" spans="1:9" x14ac:dyDescent="0.25">
      <c r="A2250" t="s">
        <v>9</v>
      </c>
      <c r="B2250" s="39">
        <v>45800</v>
      </c>
      <c r="C2250" s="40">
        <v>0.625</v>
      </c>
      <c r="D2250" s="41">
        <v>5931.4679999999998</v>
      </c>
      <c r="E2250" s="41">
        <v>5932.5129999999999</v>
      </c>
      <c r="F2250" s="41">
        <v>5921.0230000000001</v>
      </c>
      <c r="G2250" s="41">
        <v>5922.067</v>
      </c>
      <c r="H2250" s="41">
        <v>3664992559.5999999</v>
      </c>
      <c r="I2250" s="42">
        <v>12370</v>
      </c>
    </row>
    <row r="2251" spans="1:9" x14ac:dyDescent="0.25">
      <c r="A2251" t="s">
        <v>9</v>
      </c>
      <c r="B2251" s="39">
        <v>45800</v>
      </c>
      <c r="C2251" s="40">
        <v>0.60416666666666663</v>
      </c>
      <c r="D2251" s="41">
        <v>5926.768</v>
      </c>
      <c r="E2251" s="41">
        <v>5932.5129999999999</v>
      </c>
      <c r="F2251" s="41">
        <v>5925.723</v>
      </c>
      <c r="G2251" s="41">
        <v>5931.4679999999998</v>
      </c>
      <c r="H2251" s="41">
        <v>2670560691.1300001</v>
      </c>
      <c r="I2251" s="42">
        <v>9010</v>
      </c>
    </row>
    <row r="2252" spans="1:9" x14ac:dyDescent="0.25">
      <c r="A2252" t="s">
        <v>9</v>
      </c>
      <c r="B2252" s="39">
        <v>45800</v>
      </c>
      <c r="C2252" s="40">
        <v>0.58333333333333337</v>
      </c>
      <c r="D2252" s="41">
        <v>5939.8239999999996</v>
      </c>
      <c r="E2252" s="41">
        <v>5941.3909999999996</v>
      </c>
      <c r="F2252" s="41">
        <v>5926.2449999999999</v>
      </c>
      <c r="G2252" s="41">
        <v>5926.768</v>
      </c>
      <c r="H2252" s="41">
        <v>2240818600.3000002</v>
      </c>
      <c r="I2252" s="42">
        <v>7555</v>
      </c>
    </row>
    <row r="2253" spans="1:9" x14ac:dyDescent="0.25">
      <c r="A2253" t="s">
        <v>9</v>
      </c>
      <c r="B2253" s="39">
        <v>45800</v>
      </c>
      <c r="C2253" s="40">
        <v>0.5625</v>
      </c>
      <c r="D2253" s="41">
        <v>5931.99</v>
      </c>
      <c r="E2253" s="41">
        <v>5940.3469999999998</v>
      </c>
      <c r="F2253" s="41">
        <v>5930.9459999999999</v>
      </c>
      <c r="G2253" s="41">
        <v>5939.8239999999996</v>
      </c>
      <c r="H2253" s="41">
        <v>2894831758.0500002</v>
      </c>
      <c r="I2253" s="42">
        <v>9755</v>
      </c>
    </row>
    <row r="2254" spans="1:9" x14ac:dyDescent="0.25">
      <c r="A2254" t="s">
        <v>9</v>
      </c>
      <c r="B2254" s="39">
        <v>45800</v>
      </c>
      <c r="C2254" s="40">
        <v>0.54166666666666663</v>
      </c>
      <c r="D2254" s="41">
        <v>5950.27</v>
      </c>
      <c r="E2254" s="41">
        <v>5950.7920000000004</v>
      </c>
      <c r="F2254" s="41">
        <v>5929.3789999999999</v>
      </c>
      <c r="G2254" s="41">
        <v>5931.99</v>
      </c>
      <c r="H2254" s="41">
        <v>4440763238.8400002</v>
      </c>
      <c r="I2254" s="42">
        <v>14965</v>
      </c>
    </row>
    <row r="2255" spans="1:9" x14ac:dyDescent="0.25">
      <c r="A2255" t="s">
        <v>9</v>
      </c>
      <c r="B2255" s="39">
        <v>45800</v>
      </c>
      <c r="C2255" s="40">
        <v>0.52083333333333337</v>
      </c>
      <c r="D2255" s="41">
        <v>5936.6909999999998</v>
      </c>
      <c r="E2255" s="41">
        <v>5950.27</v>
      </c>
      <c r="F2255" s="41">
        <v>5932.5129999999999</v>
      </c>
      <c r="G2255" s="41">
        <v>5949.7479999999996</v>
      </c>
      <c r="H2255" s="41">
        <v>3323244791.6300001</v>
      </c>
      <c r="I2255" s="42">
        <v>11190</v>
      </c>
    </row>
    <row r="2256" spans="1:9" x14ac:dyDescent="0.25">
      <c r="A2256" t="s">
        <v>9</v>
      </c>
      <c r="B2256" s="39">
        <v>45800</v>
      </c>
      <c r="C2256" s="40">
        <v>0.5</v>
      </c>
      <c r="D2256" s="41">
        <v>5945.0469999999996</v>
      </c>
      <c r="E2256" s="41">
        <v>5948.1809999999996</v>
      </c>
      <c r="F2256" s="41">
        <v>5933.5569999999998</v>
      </c>
      <c r="G2256" s="41">
        <v>5937.2129999999997</v>
      </c>
      <c r="H2256" s="41">
        <v>3782916719.0799999</v>
      </c>
      <c r="I2256" s="42">
        <v>12735</v>
      </c>
    </row>
    <row r="2257" spans="1:9" x14ac:dyDescent="0.25">
      <c r="A2257" t="s">
        <v>9</v>
      </c>
      <c r="B2257" s="39">
        <v>45800</v>
      </c>
      <c r="C2257" s="40">
        <v>0.47916666666666669</v>
      </c>
      <c r="D2257" s="41">
        <v>5952.3590000000004</v>
      </c>
      <c r="E2257" s="41">
        <v>5955.4930000000004</v>
      </c>
      <c r="F2257" s="41">
        <v>5941.3909999999996</v>
      </c>
      <c r="G2257" s="41">
        <v>5944.5249999999996</v>
      </c>
      <c r="H2257" s="41">
        <v>4250664311.2399998</v>
      </c>
      <c r="I2257" s="42">
        <v>14290</v>
      </c>
    </row>
    <row r="2258" spans="1:9" x14ac:dyDescent="0.25">
      <c r="A2258" t="s">
        <v>9</v>
      </c>
      <c r="B2258" s="39">
        <v>45800</v>
      </c>
      <c r="C2258" s="40">
        <v>0.45833333333333331</v>
      </c>
      <c r="D2258" s="41">
        <v>5969.5940000000001</v>
      </c>
      <c r="E2258" s="41">
        <v>5971.683</v>
      </c>
      <c r="F2258" s="41">
        <v>5945.0469999999996</v>
      </c>
      <c r="G2258" s="41">
        <v>5952.3590000000004</v>
      </c>
      <c r="H2258" s="41">
        <v>9316547585.4799995</v>
      </c>
      <c r="I2258" s="42">
        <v>31290</v>
      </c>
    </row>
    <row r="2259" spans="1:9" x14ac:dyDescent="0.25">
      <c r="A2259" t="s">
        <v>9</v>
      </c>
      <c r="B2259" s="39">
        <v>45800</v>
      </c>
      <c r="C2259" s="40">
        <v>0.4375</v>
      </c>
      <c r="D2259" s="41">
        <v>5988.9179999999997</v>
      </c>
      <c r="E2259" s="41">
        <v>5990.4849999999997</v>
      </c>
      <c r="F2259" s="41">
        <v>5967.5050000000001</v>
      </c>
      <c r="G2259" s="41">
        <v>5970.116</v>
      </c>
      <c r="H2259" s="41">
        <v>7665146748.4700003</v>
      </c>
      <c r="I2259" s="42">
        <v>25640</v>
      </c>
    </row>
    <row r="2260" spans="1:9" x14ac:dyDescent="0.25">
      <c r="A2260" t="s">
        <v>9</v>
      </c>
      <c r="B2260" s="39">
        <v>45800</v>
      </c>
      <c r="C2260" s="40">
        <v>0.41666666666666669</v>
      </c>
      <c r="D2260" s="41">
        <v>5958.1040000000003</v>
      </c>
      <c r="E2260" s="41">
        <v>6009.2870000000003</v>
      </c>
      <c r="F2260" s="41">
        <v>5953.4040000000005</v>
      </c>
      <c r="G2260" s="41">
        <v>5988.3959999999997</v>
      </c>
      <c r="H2260" s="41">
        <v>9338210866.1700001</v>
      </c>
      <c r="I2260" s="42">
        <v>31175</v>
      </c>
    </row>
    <row r="2261" spans="1:9" x14ac:dyDescent="0.25">
      <c r="A2261" t="s">
        <v>9</v>
      </c>
      <c r="B2261" s="39">
        <v>45800</v>
      </c>
      <c r="C2261" s="40">
        <v>0.39583333333333331</v>
      </c>
      <c r="D2261" s="41">
        <v>5948.1809999999996</v>
      </c>
      <c r="E2261" s="41">
        <v>5971.683</v>
      </c>
      <c r="F2261" s="41">
        <v>5948.1809999999996</v>
      </c>
      <c r="G2261" s="41">
        <v>5957.5820000000003</v>
      </c>
      <c r="H2261" s="41">
        <v>8843357765.6700001</v>
      </c>
      <c r="I2261" s="42">
        <v>29675</v>
      </c>
    </row>
    <row r="2262" spans="1:9" x14ac:dyDescent="0.25">
      <c r="A2262" t="s">
        <v>9</v>
      </c>
      <c r="B2262" s="39">
        <v>45800</v>
      </c>
      <c r="C2262" s="40">
        <v>0.375</v>
      </c>
      <c r="D2262" s="41">
        <v>5985.7849999999999</v>
      </c>
      <c r="E2262" s="41">
        <v>6004.5860000000002</v>
      </c>
      <c r="F2262" s="41">
        <v>5943.48</v>
      </c>
      <c r="G2262" s="41">
        <v>5947.1360000000004</v>
      </c>
      <c r="H2262" s="41">
        <v>11485338568.41</v>
      </c>
      <c r="I2262" s="42">
        <v>38430</v>
      </c>
    </row>
    <row r="2263" spans="1:9" x14ac:dyDescent="0.25">
      <c r="A2263" t="s">
        <v>9</v>
      </c>
      <c r="B2263" s="39">
        <v>45799</v>
      </c>
      <c r="C2263" s="40">
        <v>0.75</v>
      </c>
      <c r="D2263" s="41">
        <v>5981.0839999999998</v>
      </c>
      <c r="E2263" s="41">
        <v>6039.5789999999997</v>
      </c>
      <c r="F2263" s="41">
        <v>5981.0839999999998</v>
      </c>
      <c r="G2263" s="41">
        <v>6020.2550000000001</v>
      </c>
      <c r="H2263" s="41">
        <v>6969279712.0100002</v>
      </c>
      <c r="I2263" s="42">
        <v>23180</v>
      </c>
    </row>
    <row r="2264" spans="1:9" x14ac:dyDescent="0.25">
      <c r="A2264" t="s">
        <v>9</v>
      </c>
      <c r="B2264" s="39">
        <v>45799</v>
      </c>
      <c r="C2264" s="40">
        <v>0.72916666666666663</v>
      </c>
      <c r="D2264" s="41">
        <v>5961.2380000000003</v>
      </c>
      <c r="E2264" s="41">
        <v>5981.6059999999998</v>
      </c>
      <c r="F2264" s="41">
        <v>5938.78</v>
      </c>
      <c r="G2264" s="41">
        <v>5980.04</v>
      </c>
      <c r="H2264" s="41">
        <v>6379480296.8599997</v>
      </c>
      <c r="I2264" s="42">
        <v>21405</v>
      </c>
    </row>
    <row r="2265" spans="1:9" x14ac:dyDescent="0.25">
      <c r="A2265" t="s">
        <v>9</v>
      </c>
      <c r="B2265" s="39">
        <v>45799</v>
      </c>
      <c r="C2265" s="40">
        <v>0.70833333333333337</v>
      </c>
      <c r="D2265" s="41">
        <v>5922.5889999999999</v>
      </c>
      <c r="E2265" s="41">
        <v>5962.8040000000001</v>
      </c>
      <c r="F2265" s="41">
        <v>5918.4110000000001</v>
      </c>
      <c r="G2265" s="41">
        <v>5960.7150000000001</v>
      </c>
      <c r="H2265" s="41">
        <v>9560357582.7999992</v>
      </c>
      <c r="I2265" s="42">
        <v>32205</v>
      </c>
    </row>
    <row r="2266" spans="1:9" x14ac:dyDescent="0.25">
      <c r="A2266" t="s">
        <v>9</v>
      </c>
      <c r="B2266" s="39">
        <v>45799</v>
      </c>
      <c r="C2266" s="40">
        <v>0.6875</v>
      </c>
      <c r="D2266" s="41">
        <v>5911.6220000000003</v>
      </c>
      <c r="E2266" s="41">
        <v>5926.768</v>
      </c>
      <c r="F2266" s="41">
        <v>5908.4880000000003</v>
      </c>
      <c r="G2266" s="41">
        <v>5922.5889999999999</v>
      </c>
      <c r="H2266" s="41">
        <v>4156591891.8800001</v>
      </c>
      <c r="I2266" s="42">
        <v>14045</v>
      </c>
    </row>
    <row r="2267" spans="1:9" x14ac:dyDescent="0.25">
      <c r="A2267" t="s">
        <v>9</v>
      </c>
      <c r="B2267" s="39">
        <v>45799</v>
      </c>
      <c r="C2267" s="40">
        <v>0.66666666666666663</v>
      </c>
      <c r="D2267" s="41">
        <v>5916.3220000000001</v>
      </c>
      <c r="E2267" s="41">
        <v>5918.4110000000001</v>
      </c>
      <c r="F2267" s="41">
        <v>5890.2079999999996</v>
      </c>
      <c r="G2267" s="41">
        <v>5911.6220000000003</v>
      </c>
      <c r="H2267" s="41">
        <v>7927791650.5799999</v>
      </c>
      <c r="I2267" s="42">
        <v>26845</v>
      </c>
    </row>
    <row r="2268" spans="1:9" x14ac:dyDescent="0.25">
      <c r="A2268" t="s">
        <v>9</v>
      </c>
      <c r="B2268" s="39">
        <v>45799</v>
      </c>
      <c r="C2268" s="40">
        <v>0.64583333333333337</v>
      </c>
      <c r="D2268" s="41">
        <v>5866.7060000000001</v>
      </c>
      <c r="E2268" s="41">
        <v>5917.8890000000001</v>
      </c>
      <c r="F2268" s="41">
        <v>5860.9610000000002</v>
      </c>
      <c r="G2268" s="41">
        <v>5916.8440000000001</v>
      </c>
      <c r="H2268" s="41">
        <v>11077277646.15</v>
      </c>
      <c r="I2268" s="42">
        <v>37600</v>
      </c>
    </row>
    <row r="2269" spans="1:9" x14ac:dyDescent="0.25">
      <c r="A2269" t="s">
        <v>9</v>
      </c>
      <c r="B2269" s="39">
        <v>45799</v>
      </c>
      <c r="C2269" s="40">
        <v>0.625</v>
      </c>
      <c r="D2269" s="41">
        <v>5862.5280000000002</v>
      </c>
      <c r="E2269" s="41">
        <v>5872.973</v>
      </c>
      <c r="F2269" s="41">
        <v>5862.0060000000003</v>
      </c>
      <c r="G2269" s="41">
        <v>5866.7060000000001</v>
      </c>
      <c r="H2269" s="41">
        <v>6850144137.54</v>
      </c>
      <c r="I2269" s="42">
        <v>23350</v>
      </c>
    </row>
    <row r="2270" spans="1:9" x14ac:dyDescent="0.25">
      <c r="A2270" t="s">
        <v>9</v>
      </c>
      <c r="B2270" s="39">
        <v>45799</v>
      </c>
      <c r="C2270" s="40">
        <v>0.60416666666666663</v>
      </c>
      <c r="D2270" s="41">
        <v>5866.7060000000001</v>
      </c>
      <c r="E2270" s="41">
        <v>5869.317</v>
      </c>
      <c r="F2270" s="41">
        <v>5854.1710000000003</v>
      </c>
      <c r="G2270" s="41">
        <v>5862.0060000000003</v>
      </c>
      <c r="H2270" s="41">
        <v>5770987774.3599997</v>
      </c>
      <c r="I2270" s="42">
        <v>19690</v>
      </c>
    </row>
    <row r="2271" spans="1:9" x14ac:dyDescent="0.25">
      <c r="A2271" t="s">
        <v>9</v>
      </c>
      <c r="B2271" s="39">
        <v>45799</v>
      </c>
      <c r="C2271" s="40">
        <v>0.58333333333333337</v>
      </c>
      <c r="D2271" s="41">
        <v>5889.6859999999997</v>
      </c>
      <c r="E2271" s="41">
        <v>5893.8639999999996</v>
      </c>
      <c r="F2271" s="41">
        <v>5857.8270000000002</v>
      </c>
      <c r="G2271" s="41">
        <v>5866.7060000000001</v>
      </c>
      <c r="H2271" s="41">
        <v>9606542159.1200008</v>
      </c>
      <c r="I2271" s="42">
        <v>32715</v>
      </c>
    </row>
    <row r="2272" spans="1:9" x14ac:dyDescent="0.25">
      <c r="A2272" t="s">
        <v>9</v>
      </c>
      <c r="B2272" s="39">
        <v>45799</v>
      </c>
      <c r="C2272" s="40">
        <v>0.5625</v>
      </c>
      <c r="D2272" s="41">
        <v>5883.9409999999998</v>
      </c>
      <c r="E2272" s="41">
        <v>5890.2079999999996</v>
      </c>
      <c r="F2272" s="41">
        <v>5883.9409999999998</v>
      </c>
      <c r="G2272" s="41">
        <v>5889.6859999999997</v>
      </c>
      <c r="H2272" s="41">
        <v>1223135084.75</v>
      </c>
      <c r="I2272" s="42">
        <v>4155</v>
      </c>
    </row>
    <row r="2273" spans="1:9" x14ac:dyDescent="0.25">
      <c r="A2273" t="s">
        <v>9</v>
      </c>
      <c r="B2273" s="39">
        <v>45799</v>
      </c>
      <c r="C2273" s="40">
        <v>0.54166666666666663</v>
      </c>
      <c r="D2273" s="41">
        <v>5881.8519999999999</v>
      </c>
      <c r="E2273" s="41">
        <v>5887.0749999999998</v>
      </c>
      <c r="F2273" s="41">
        <v>5877.674</v>
      </c>
      <c r="G2273" s="41">
        <v>5883.9409999999998</v>
      </c>
      <c r="H2273" s="41">
        <v>2150273229.1399999</v>
      </c>
      <c r="I2273" s="42">
        <v>7310</v>
      </c>
    </row>
    <row r="2274" spans="1:9" x14ac:dyDescent="0.25">
      <c r="A2274" t="s">
        <v>9</v>
      </c>
      <c r="B2274" s="39">
        <v>45799</v>
      </c>
      <c r="C2274" s="40">
        <v>0.52083333333333337</v>
      </c>
      <c r="D2274" s="41">
        <v>5878.7179999999998</v>
      </c>
      <c r="E2274" s="41">
        <v>5883.9409999999998</v>
      </c>
      <c r="F2274" s="41">
        <v>5875.585</v>
      </c>
      <c r="G2274" s="41">
        <v>5881.8519999999999</v>
      </c>
      <c r="H2274" s="41">
        <v>6681719327.8100004</v>
      </c>
      <c r="I2274" s="42">
        <v>22730</v>
      </c>
    </row>
    <row r="2275" spans="1:9" x14ac:dyDescent="0.25">
      <c r="A2275" t="s">
        <v>9</v>
      </c>
      <c r="B2275" s="39">
        <v>45799</v>
      </c>
      <c r="C2275" s="40">
        <v>0.5</v>
      </c>
      <c r="D2275" s="41">
        <v>5898.5649999999996</v>
      </c>
      <c r="E2275" s="41">
        <v>5899.6090000000004</v>
      </c>
      <c r="F2275" s="41">
        <v>5875.585</v>
      </c>
      <c r="G2275" s="41">
        <v>5879.241</v>
      </c>
      <c r="H2275" s="41">
        <v>7112411304.8400002</v>
      </c>
      <c r="I2275" s="42">
        <v>24155</v>
      </c>
    </row>
    <row r="2276" spans="1:9" x14ac:dyDescent="0.25">
      <c r="A2276" t="s">
        <v>9</v>
      </c>
      <c r="B2276" s="39">
        <v>45799</v>
      </c>
      <c r="C2276" s="40">
        <v>0.47916666666666669</v>
      </c>
      <c r="D2276" s="41">
        <v>5910.5770000000002</v>
      </c>
      <c r="E2276" s="41">
        <v>5912.6660000000002</v>
      </c>
      <c r="F2276" s="41">
        <v>5897.52</v>
      </c>
      <c r="G2276" s="41">
        <v>5897.52</v>
      </c>
      <c r="H2276" s="41">
        <v>3334450053.8699999</v>
      </c>
      <c r="I2276" s="42">
        <v>11290</v>
      </c>
    </row>
    <row r="2277" spans="1:9" x14ac:dyDescent="0.25">
      <c r="A2277" t="s">
        <v>9</v>
      </c>
      <c r="B2277" s="39">
        <v>45799</v>
      </c>
      <c r="C2277" s="40">
        <v>0.45833333333333331</v>
      </c>
      <c r="D2277" s="41">
        <v>5906.3990000000003</v>
      </c>
      <c r="E2277" s="41">
        <v>5912.1440000000002</v>
      </c>
      <c r="F2277" s="41">
        <v>5896.4759999999997</v>
      </c>
      <c r="G2277" s="41">
        <v>5911.0990000000002</v>
      </c>
      <c r="H2277" s="41">
        <v>4809122443.7700005</v>
      </c>
      <c r="I2277" s="42">
        <v>16295</v>
      </c>
    </row>
    <row r="2278" spans="1:9" x14ac:dyDescent="0.25">
      <c r="A2278" t="s">
        <v>9</v>
      </c>
      <c r="B2278" s="39">
        <v>45799</v>
      </c>
      <c r="C2278" s="40">
        <v>0.4375</v>
      </c>
      <c r="D2278" s="41">
        <v>5903.2650000000003</v>
      </c>
      <c r="E2278" s="41">
        <v>5913.7110000000002</v>
      </c>
      <c r="F2278" s="41">
        <v>5901.1760000000004</v>
      </c>
      <c r="G2278" s="41">
        <v>5905.3540000000003</v>
      </c>
      <c r="H2278" s="41">
        <v>3679606966.6399999</v>
      </c>
      <c r="I2278" s="42">
        <v>12460</v>
      </c>
    </row>
    <row r="2279" spans="1:9" x14ac:dyDescent="0.25">
      <c r="A2279" t="s">
        <v>9</v>
      </c>
      <c r="B2279" s="39">
        <v>45799</v>
      </c>
      <c r="C2279" s="40">
        <v>0.41666666666666669</v>
      </c>
      <c r="D2279" s="41">
        <v>5919.9780000000001</v>
      </c>
      <c r="E2279" s="41">
        <v>5919.9780000000001</v>
      </c>
      <c r="F2279" s="41">
        <v>5900.6540000000005</v>
      </c>
      <c r="G2279" s="41">
        <v>5902.7430000000004</v>
      </c>
      <c r="H2279" s="41">
        <v>5468232997.6400003</v>
      </c>
      <c r="I2279" s="42">
        <v>18505</v>
      </c>
    </row>
    <row r="2280" spans="1:9" x14ac:dyDescent="0.25">
      <c r="A2280" t="s">
        <v>9</v>
      </c>
      <c r="B2280" s="39">
        <v>45799</v>
      </c>
      <c r="C2280" s="40">
        <v>0.39583333333333331</v>
      </c>
      <c r="D2280" s="41">
        <v>5924.1559999999999</v>
      </c>
      <c r="E2280" s="41">
        <v>5944.0029999999997</v>
      </c>
      <c r="F2280" s="41">
        <v>5917.3670000000002</v>
      </c>
      <c r="G2280" s="41">
        <v>5920.5</v>
      </c>
      <c r="H2280" s="41">
        <v>4897544900.8999996</v>
      </c>
      <c r="I2280" s="42">
        <v>16515</v>
      </c>
    </row>
    <row r="2281" spans="1:9" x14ac:dyDescent="0.25">
      <c r="A2281" t="s">
        <v>9</v>
      </c>
      <c r="B2281" s="39">
        <v>45799</v>
      </c>
      <c r="C2281" s="40">
        <v>0.375</v>
      </c>
      <c r="D2281" s="41">
        <v>5913.7110000000002</v>
      </c>
      <c r="E2281" s="41">
        <v>5937.2129999999997</v>
      </c>
      <c r="F2281" s="41">
        <v>5911.6220000000003</v>
      </c>
      <c r="G2281" s="41">
        <v>5924.1559999999999</v>
      </c>
      <c r="H2281" s="41">
        <v>3908393485.6599998</v>
      </c>
      <c r="I2281" s="42">
        <v>13190</v>
      </c>
    </row>
    <row r="2282" spans="1:9" x14ac:dyDescent="0.25">
      <c r="A2282" t="s">
        <v>9</v>
      </c>
      <c r="B2282" s="39">
        <v>45798</v>
      </c>
      <c r="C2282" s="40">
        <v>0.75</v>
      </c>
      <c r="D2282" s="41">
        <v>5910.0550000000003</v>
      </c>
      <c r="E2282" s="41">
        <v>5911.6220000000003</v>
      </c>
      <c r="F2282" s="41">
        <v>5907.4430000000002</v>
      </c>
      <c r="G2282" s="41">
        <v>5909.5320000000002</v>
      </c>
      <c r="H2282" s="41">
        <v>880506501.35000002</v>
      </c>
      <c r="I2282" s="42">
        <v>2980</v>
      </c>
    </row>
    <row r="2283" spans="1:9" x14ac:dyDescent="0.25">
      <c r="A2283" t="s">
        <v>9</v>
      </c>
      <c r="B2283" s="39">
        <v>45798</v>
      </c>
      <c r="C2283" s="40">
        <v>0.72916666666666663</v>
      </c>
      <c r="D2283" s="41">
        <v>5911.0990000000002</v>
      </c>
      <c r="E2283" s="41">
        <v>5912.6660000000002</v>
      </c>
      <c r="F2283" s="41">
        <v>5907.9660000000003</v>
      </c>
      <c r="G2283" s="41">
        <v>5909.5320000000002</v>
      </c>
      <c r="H2283" s="41">
        <v>883562980.5</v>
      </c>
      <c r="I2283" s="42">
        <v>2990</v>
      </c>
    </row>
    <row r="2284" spans="1:9" x14ac:dyDescent="0.25">
      <c r="A2284" t="s">
        <v>9</v>
      </c>
      <c r="B2284" s="39">
        <v>45798</v>
      </c>
      <c r="C2284" s="40">
        <v>0.70833333333333337</v>
      </c>
      <c r="D2284" s="41">
        <v>5904.8320000000003</v>
      </c>
      <c r="E2284" s="41">
        <v>5912.6660000000002</v>
      </c>
      <c r="F2284" s="41">
        <v>5904.31</v>
      </c>
      <c r="G2284" s="41">
        <v>5912.1440000000002</v>
      </c>
      <c r="H2284" s="41">
        <v>2387643324.52</v>
      </c>
      <c r="I2284" s="42">
        <v>8080</v>
      </c>
    </row>
    <row r="2285" spans="1:9" x14ac:dyDescent="0.25">
      <c r="A2285" t="s">
        <v>9</v>
      </c>
      <c r="B2285" s="39">
        <v>45798</v>
      </c>
      <c r="C2285" s="40">
        <v>0.6875</v>
      </c>
      <c r="D2285" s="41">
        <v>5914.7550000000001</v>
      </c>
      <c r="E2285" s="41">
        <v>5915.2780000000002</v>
      </c>
      <c r="F2285" s="41">
        <v>5904.8320000000003</v>
      </c>
      <c r="G2285" s="41">
        <v>5904.8320000000003</v>
      </c>
      <c r="H2285" s="41">
        <v>2269509994.23</v>
      </c>
      <c r="I2285" s="42">
        <v>7680</v>
      </c>
    </row>
    <row r="2286" spans="1:9" x14ac:dyDescent="0.25">
      <c r="A2286" t="s">
        <v>9</v>
      </c>
      <c r="B2286" s="39">
        <v>45798</v>
      </c>
      <c r="C2286" s="40">
        <v>0.66666666666666663</v>
      </c>
      <c r="D2286" s="41">
        <v>5921.0230000000001</v>
      </c>
      <c r="E2286" s="41">
        <v>5924.1559999999999</v>
      </c>
      <c r="F2286" s="41">
        <v>5911.0990000000002</v>
      </c>
      <c r="G2286" s="41">
        <v>5914.7550000000001</v>
      </c>
      <c r="H2286" s="41">
        <v>5200393034.1300001</v>
      </c>
      <c r="I2286" s="42">
        <v>17575</v>
      </c>
    </row>
    <row r="2287" spans="1:9" x14ac:dyDescent="0.25">
      <c r="A2287" t="s">
        <v>9</v>
      </c>
      <c r="B2287" s="39">
        <v>45798</v>
      </c>
      <c r="C2287" s="40">
        <v>0.64583333333333337</v>
      </c>
      <c r="D2287" s="41">
        <v>5919.9780000000001</v>
      </c>
      <c r="E2287" s="41">
        <v>5923.1120000000001</v>
      </c>
      <c r="F2287" s="41">
        <v>5917.3670000000002</v>
      </c>
      <c r="G2287" s="41">
        <v>5921.0230000000001</v>
      </c>
      <c r="H2287" s="41">
        <v>1235849458.28</v>
      </c>
      <c r="I2287" s="42">
        <v>4175</v>
      </c>
    </row>
    <row r="2288" spans="1:9" x14ac:dyDescent="0.25">
      <c r="A2288" t="s">
        <v>9</v>
      </c>
      <c r="B2288" s="39">
        <v>45798</v>
      </c>
      <c r="C2288" s="40">
        <v>0.625</v>
      </c>
      <c r="D2288" s="41">
        <v>5923.1120000000001</v>
      </c>
      <c r="E2288" s="41">
        <v>5926.2449999999999</v>
      </c>
      <c r="F2288" s="41">
        <v>5915.8</v>
      </c>
      <c r="G2288" s="41">
        <v>5919.4560000000001</v>
      </c>
      <c r="H2288" s="41">
        <v>2754592258.5599999</v>
      </c>
      <c r="I2288" s="42">
        <v>9305</v>
      </c>
    </row>
    <row r="2289" spans="1:9" x14ac:dyDescent="0.25">
      <c r="A2289" t="s">
        <v>9</v>
      </c>
      <c r="B2289" s="39">
        <v>45798</v>
      </c>
      <c r="C2289" s="40">
        <v>0.60416666666666663</v>
      </c>
      <c r="D2289" s="41">
        <v>5928.3339999999998</v>
      </c>
      <c r="E2289" s="41">
        <v>5931.99</v>
      </c>
      <c r="F2289" s="41">
        <v>5915.8</v>
      </c>
      <c r="G2289" s="41">
        <v>5922.5889999999999</v>
      </c>
      <c r="H2289" s="41">
        <v>5545305522.5799999</v>
      </c>
      <c r="I2289" s="42">
        <v>18725</v>
      </c>
    </row>
    <row r="2290" spans="1:9" x14ac:dyDescent="0.25">
      <c r="A2290" t="s">
        <v>9</v>
      </c>
      <c r="B2290" s="39">
        <v>45798</v>
      </c>
      <c r="C2290" s="40">
        <v>0.58333333333333337</v>
      </c>
      <c r="D2290" s="41">
        <v>5918.933</v>
      </c>
      <c r="E2290" s="41">
        <v>5930.4229999999998</v>
      </c>
      <c r="F2290" s="41">
        <v>5911.6220000000003</v>
      </c>
      <c r="G2290" s="41">
        <v>5928.3339999999998</v>
      </c>
      <c r="H2290" s="41">
        <v>5514800139.8100004</v>
      </c>
      <c r="I2290" s="42">
        <v>18625</v>
      </c>
    </row>
    <row r="2291" spans="1:9" x14ac:dyDescent="0.25">
      <c r="A2291" t="s">
        <v>9</v>
      </c>
      <c r="B2291" s="39">
        <v>45798</v>
      </c>
      <c r="C2291" s="40">
        <v>0.5625</v>
      </c>
      <c r="D2291" s="41">
        <v>5921.5450000000001</v>
      </c>
      <c r="E2291" s="41">
        <v>5922.5889999999999</v>
      </c>
      <c r="F2291" s="41">
        <v>5917.3670000000002</v>
      </c>
      <c r="G2291" s="41">
        <v>5918.933</v>
      </c>
      <c r="H2291" s="41">
        <v>2517468415.46</v>
      </c>
      <c r="I2291" s="42">
        <v>8505</v>
      </c>
    </row>
    <row r="2292" spans="1:9" x14ac:dyDescent="0.25">
      <c r="A2292" t="s">
        <v>9</v>
      </c>
      <c r="B2292" s="39">
        <v>45798</v>
      </c>
      <c r="C2292" s="40">
        <v>0.54166666666666663</v>
      </c>
      <c r="D2292" s="41">
        <v>5924.1559999999999</v>
      </c>
      <c r="E2292" s="41">
        <v>5924.6779999999999</v>
      </c>
      <c r="F2292" s="41">
        <v>5921.0230000000001</v>
      </c>
      <c r="G2292" s="41">
        <v>5922.067</v>
      </c>
      <c r="H2292" s="41">
        <v>2440255921.04</v>
      </c>
      <c r="I2292" s="42">
        <v>8240</v>
      </c>
    </row>
    <row r="2293" spans="1:9" x14ac:dyDescent="0.25">
      <c r="A2293" t="s">
        <v>9</v>
      </c>
      <c r="B2293" s="39">
        <v>45798</v>
      </c>
      <c r="C2293" s="40">
        <v>0.52083333333333337</v>
      </c>
      <c r="D2293" s="41">
        <v>5922.067</v>
      </c>
      <c r="E2293" s="41">
        <v>5930.4229999999998</v>
      </c>
      <c r="F2293" s="41">
        <v>5921.5450000000001</v>
      </c>
      <c r="G2293" s="41">
        <v>5924.6779999999999</v>
      </c>
      <c r="H2293" s="41">
        <v>3025392994.46</v>
      </c>
      <c r="I2293" s="42">
        <v>10210</v>
      </c>
    </row>
    <row r="2294" spans="1:9" x14ac:dyDescent="0.25">
      <c r="A2294" t="s">
        <v>9</v>
      </c>
      <c r="B2294" s="39">
        <v>45798</v>
      </c>
      <c r="C2294" s="40">
        <v>0.5</v>
      </c>
      <c r="D2294" s="41">
        <v>5911.6220000000003</v>
      </c>
      <c r="E2294" s="41">
        <v>5924.1559999999999</v>
      </c>
      <c r="F2294" s="41">
        <v>5911.6220000000003</v>
      </c>
      <c r="G2294" s="41">
        <v>5922.5889999999999</v>
      </c>
      <c r="H2294" s="41">
        <v>2809965857.5999999</v>
      </c>
      <c r="I2294" s="42">
        <v>9495</v>
      </c>
    </row>
    <row r="2295" spans="1:9" x14ac:dyDescent="0.25">
      <c r="A2295" t="s">
        <v>9</v>
      </c>
      <c r="B2295" s="39">
        <v>45798</v>
      </c>
      <c r="C2295" s="40">
        <v>0.47916666666666669</v>
      </c>
      <c r="D2295" s="41">
        <v>5925.723</v>
      </c>
      <c r="E2295" s="41">
        <v>5926.2449999999999</v>
      </c>
      <c r="F2295" s="41">
        <v>5909.5320000000002</v>
      </c>
      <c r="G2295" s="41">
        <v>5911.6220000000003</v>
      </c>
      <c r="H2295" s="41">
        <v>5300254601.7799997</v>
      </c>
      <c r="I2295" s="42">
        <v>17925</v>
      </c>
    </row>
    <row r="2296" spans="1:9" x14ac:dyDescent="0.25">
      <c r="A2296" t="s">
        <v>9</v>
      </c>
      <c r="B2296" s="39">
        <v>45798</v>
      </c>
      <c r="C2296" s="40">
        <v>0.45833333333333331</v>
      </c>
      <c r="D2296" s="41">
        <v>5921.5450000000001</v>
      </c>
      <c r="E2296" s="41">
        <v>5927.8119999999999</v>
      </c>
      <c r="F2296" s="41">
        <v>5919.9780000000001</v>
      </c>
      <c r="G2296" s="41">
        <v>5925.201</v>
      </c>
      <c r="H2296" s="41">
        <v>2843608933.1500001</v>
      </c>
      <c r="I2296" s="42">
        <v>9600</v>
      </c>
    </row>
    <row r="2297" spans="1:9" x14ac:dyDescent="0.25">
      <c r="A2297" t="s">
        <v>9</v>
      </c>
      <c r="B2297" s="39">
        <v>45798</v>
      </c>
      <c r="C2297" s="40">
        <v>0.4375</v>
      </c>
      <c r="D2297" s="41">
        <v>5929.9009999999998</v>
      </c>
      <c r="E2297" s="41">
        <v>5934.6019999999999</v>
      </c>
      <c r="F2297" s="41">
        <v>5920.5</v>
      </c>
      <c r="G2297" s="41">
        <v>5922.067</v>
      </c>
      <c r="H2297" s="41">
        <v>4878691977.6499996</v>
      </c>
      <c r="I2297" s="42">
        <v>16460</v>
      </c>
    </row>
    <row r="2298" spans="1:9" x14ac:dyDescent="0.25">
      <c r="A2298" t="s">
        <v>9</v>
      </c>
      <c r="B2298" s="39">
        <v>45798</v>
      </c>
      <c r="C2298" s="40">
        <v>0.41666666666666669</v>
      </c>
      <c r="D2298" s="41">
        <v>5923.1120000000001</v>
      </c>
      <c r="E2298" s="41">
        <v>5931.4679999999998</v>
      </c>
      <c r="F2298" s="41">
        <v>5921.5450000000001</v>
      </c>
      <c r="G2298" s="41">
        <v>5929.3789999999999</v>
      </c>
      <c r="H2298" s="41">
        <v>2714747176.96</v>
      </c>
      <c r="I2298" s="42">
        <v>9160</v>
      </c>
    </row>
    <row r="2299" spans="1:9" x14ac:dyDescent="0.25">
      <c r="A2299" t="s">
        <v>9</v>
      </c>
      <c r="B2299" s="39">
        <v>45798</v>
      </c>
      <c r="C2299" s="40">
        <v>0.39583333333333331</v>
      </c>
      <c r="D2299" s="41">
        <v>5921.0230000000001</v>
      </c>
      <c r="E2299" s="41">
        <v>5930.9459999999999</v>
      </c>
      <c r="F2299" s="41">
        <v>5915.2780000000002</v>
      </c>
      <c r="G2299" s="41">
        <v>5923.1120000000001</v>
      </c>
      <c r="H2299" s="41">
        <v>3400278668.2800002</v>
      </c>
      <c r="I2299" s="42">
        <v>11480</v>
      </c>
    </row>
    <row r="2300" spans="1:9" x14ac:dyDescent="0.25">
      <c r="A2300" t="s">
        <v>9</v>
      </c>
      <c r="B2300" s="39">
        <v>45798</v>
      </c>
      <c r="C2300" s="40">
        <v>0.375</v>
      </c>
      <c r="D2300" s="41">
        <v>5937.2129999999997</v>
      </c>
      <c r="E2300" s="41">
        <v>5944.5249999999996</v>
      </c>
      <c r="F2300" s="41">
        <v>5915.8</v>
      </c>
      <c r="G2300" s="41">
        <v>5919.9780000000001</v>
      </c>
      <c r="H2300" s="41">
        <v>7690174519.5</v>
      </c>
      <c r="I2300" s="42">
        <v>25935</v>
      </c>
    </row>
    <row r="2301" spans="1:9" x14ac:dyDescent="0.25">
      <c r="A2301" t="s">
        <v>9</v>
      </c>
      <c r="B2301" s="39">
        <v>45797</v>
      </c>
      <c r="C2301" s="40">
        <v>0.75</v>
      </c>
      <c r="D2301" s="41">
        <v>5936.1679999999997</v>
      </c>
      <c r="E2301" s="41">
        <v>5937.7349999999997</v>
      </c>
      <c r="F2301" s="41">
        <v>5928.857</v>
      </c>
      <c r="G2301" s="41">
        <v>5929.3789999999999</v>
      </c>
      <c r="H2301" s="41">
        <v>373825326.63</v>
      </c>
      <c r="I2301" s="42">
        <v>1260</v>
      </c>
    </row>
    <row r="2302" spans="1:9" x14ac:dyDescent="0.25">
      <c r="A2302" t="s">
        <v>9</v>
      </c>
      <c r="B2302" s="39">
        <v>45797</v>
      </c>
      <c r="C2302" s="40">
        <v>0.72916666666666663</v>
      </c>
      <c r="D2302" s="41">
        <v>5936.6909999999998</v>
      </c>
      <c r="E2302" s="41">
        <v>5938.2579999999998</v>
      </c>
      <c r="F2302" s="41">
        <v>5934.0789999999997</v>
      </c>
      <c r="G2302" s="41">
        <v>5936.1679999999997</v>
      </c>
      <c r="H2302" s="41">
        <v>461574180.63</v>
      </c>
      <c r="I2302" s="42">
        <v>1555</v>
      </c>
    </row>
    <row r="2303" spans="1:9" x14ac:dyDescent="0.25">
      <c r="A2303" t="s">
        <v>9</v>
      </c>
      <c r="B2303" s="39">
        <v>45797</v>
      </c>
      <c r="C2303" s="40">
        <v>0.70833333333333337</v>
      </c>
      <c r="D2303" s="41">
        <v>5936.1679999999997</v>
      </c>
      <c r="E2303" s="41">
        <v>5940.8689999999997</v>
      </c>
      <c r="F2303" s="41">
        <v>5933.5569999999998</v>
      </c>
      <c r="G2303" s="41">
        <v>5935.6459999999997</v>
      </c>
      <c r="H2303" s="41">
        <v>1214164633.78</v>
      </c>
      <c r="I2303" s="42">
        <v>4090</v>
      </c>
    </row>
    <row r="2304" spans="1:9" x14ac:dyDescent="0.25">
      <c r="A2304" t="s">
        <v>9</v>
      </c>
      <c r="B2304" s="39">
        <v>45797</v>
      </c>
      <c r="C2304" s="40">
        <v>0.6875</v>
      </c>
      <c r="D2304" s="41">
        <v>5939.3019999999997</v>
      </c>
      <c r="E2304" s="41">
        <v>5939.8239999999996</v>
      </c>
      <c r="F2304" s="41">
        <v>5933.5569999999998</v>
      </c>
      <c r="G2304" s="41">
        <v>5935.6459999999997</v>
      </c>
      <c r="H2304" s="41">
        <v>3147905071.5900002</v>
      </c>
      <c r="I2304" s="42">
        <v>10605</v>
      </c>
    </row>
    <row r="2305" spans="1:9" x14ac:dyDescent="0.25">
      <c r="A2305" t="s">
        <v>9</v>
      </c>
      <c r="B2305" s="39">
        <v>45797</v>
      </c>
      <c r="C2305" s="40">
        <v>0.66666666666666663</v>
      </c>
      <c r="D2305" s="41">
        <v>5948.7030000000004</v>
      </c>
      <c r="E2305" s="41">
        <v>5949.2250000000004</v>
      </c>
      <c r="F2305" s="41">
        <v>5938.2579999999998</v>
      </c>
      <c r="G2305" s="41">
        <v>5939.8239999999996</v>
      </c>
      <c r="H2305" s="41">
        <v>4768577123.0500002</v>
      </c>
      <c r="I2305" s="42">
        <v>16045</v>
      </c>
    </row>
    <row r="2306" spans="1:9" x14ac:dyDescent="0.25">
      <c r="A2306" t="s">
        <v>9</v>
      </c>
      <c r="B2306" s="39">
        <v>45797</v>
      </c>
      <c r="C2306" s="40">
        <v>0.64583333333333337</v>
      </c>
      <c r="D2306" s="41">
        <v>5942.9579999999996</v>
      </c>
      <c r="E2306" s="41">
        <v>5951.8370000000004</v>
      </c>
      <c r="F2306" s="41">
        <v>5942.4359999999997</v>
      </c>
      <c r="G2306" s="41">
        <v>5948.7030000000004</v>
      </c>
      <c r="H2306" s="41">
        <v>3711296736.71</v>
      </c>
      <c r="I2306" s="42">
        <v>12480</v>
      </c>
    </row>
    <row r="2307" spans="1:9" x14ac:dyDescent="0.25">
      <c r="A2307" t="s">
        <v>9</v>
      </c>
      <c r="B2307" s="39">
        <v>45797</v>
      </c>
      <c r="C2307" s="40">
        <v>0.625</v>
      </c>
      <c r="D2307" s="41">
        <v>5936.6909999999998</v>
      </c>
      <c r="E2307" s="41">
        <v>5945.0469999999996</v>
      </c>
      <c r="F2307" s="41">
        <v>5936.1679999999997</v>
      </c>
      <c r="G2307" s="41">
        <v>5942.9579999999996</v>
      </c>
      <c r="H2307" s="41">
        <v>2938005815.3499999</v>
      </c>
      <c r="I2307" s="42">
        <v>9890</v>
      </c>
    </row>
    <row r="2308" spans="1:9" x14ac:dyDescent="0.25">
      <c r="A2308" t="s">
        <v>9</v>
      </c>
      <c r="B2308" s="39">
        <v>45797</v>
      </c>
      <c r="C2308" s="40">
        <v>0.60416666666666663</v>
      </c>
      <c r="D2308" s="41">
        <v>5939.3019999999997</v>
      </c>
      <c r="E2308" s="41">
        <v>5941.9129999999996</v>
      </c>
      <c r="F2308" s="41">
        <v>5934.0789999999997</v>
      </c>
      <c r="G2308" s="41">
        <v>5937.2129999999997</v>
      </c>
      <c r="H2308" s="41">
        <v>5437276108.8299999</v>
      </c>
      <c r="I2308" s="42">
        <v>18315</v>
      </c>
    </row>
    <row r="2309" spans="1:9" x14ac:dyDescent="0.25">
      <c r="A2309" t="s">
        <v>9</v>
      </c>
      <c r="B2309" s="39">
        <v>45797</v>
      </c>
      <c r="C2309" s="40">
        <v>0.58333333333333337</v>
      </c>
      <c r="D2309" s="41">
        <v>5934.6019999999999</v>
      </c>
      <c r="E2309" s="41">
        <v>5941.9129999999996</v>
      </c>
      <c r="F2309" s="41">
        <v>5934.0789999999997</v>
      </c>
      <c r="G2309" s="41">
        <v>5939.3019999999997</v>
      </c>
      <c r="H2309" s="41">
        <v>2400470770.4000001</v>
      </c>
      <c r="I2309" s="42">
        <v>8085</v>
      </c>
    </row>
    <row r="2310" spans="1:9" x14ac:dyDescent="0.25">
      <c r="A2310" t="s">
        <v>9</v>
      </c>
      <c r="B2310" s="39">
        <v>45797</v>
      </c>
      <c r="C2310" s="40">
        <v>0.5625</v>
      </c>
      <c r="D2310" s="41">
        <v>5938.2579999999998</v>
      </c>
      <c r="E2310" s="41">
        <v>5940.8689999999997</v>
      </c>
      <c r="F2310" s="41">
        <v>5933.5569999999998</v>
      </c>
      <c r="G2310" s="41">
        <v>5935.1239999999998</v>
      </c>
      <c r="H2310" s="41">
        <v>2615148443.8000002</v>
      </c>
      <c r="I2310" s="42">
        <v>8810</v>
      </c>
    </row>
    <row r="2311" spans="1:9" x14ac:dyDescent="0.25">
      <c r="A2311" t="s">
        <v>9</v>
      </c>
      <c r="B2311" s="39">
        <v>45797</v>
      </c>
      <c r="C2311" s="40">
        <v>0.54166666666666663</v>
      </c>
      <c r="D2311" s="41">
        <v>5938.2579999999998</v>
      </c>
      <c r="E2311" s="41">
        <v>5942.9579999999996</v>
      </c>
      <c r="F2311" s="41">
        <v>5932.5129999999999</v>
      </c>
      <c r="G2311" s="41">
        <v>5937.2129999999997</v>
      </c>
      <c r="H2311" s="41">
        <v>2033300783.8099999</v>
      </c>
      <c r="I2311" s="42">
        <v>6850</v>
      </c>
    </row>
    <row r="2312" spans="1:9" x14ac:dyDescent="0.25">
      <c r="A2312" t="s">
        <v>9</v>
      </c>
      <c r="B2312" s="39">
        <v>45797</v>
      </c>
      <c r="C2312" s="40">
        <v>0.52083333333333337</v>
      </c>
      <c r="D2312" s="41">
        <v>5936.6909999999998</v>
      </c>
      <c r="E2312" s="41">
        <v>5938.78</v>
      </c>
      <c r="F2312" s="41">
        <v>5926.2449999999999</v>
      </c>
      <c r="G2312" s="41">
        <v>5937.2129999999997</v>
      </c>
      <c r="H2312" s="41">
        <v>3116139963.46</v>
      </c>
      <c r="I2312" s="42">
        <v>10505</v>
      </c>
    </row>
    <row r="2313" spans="1:9" x14ac:dyDescent="0.25">
      <c r="A2313" t="s">
        <v>9</v>
      </c>
      <c r="B2313" s="39">
        <v>45797</v>
      </c>
      <c r="C2313" s="40">
        <v>0.5</v>
      </c>
      <c r="D2313" s="41">
        <v>5935.6459999999997</v>
      </c>
      <c r="E2313" s="41">
        <v>5940.8689999999997</v>
      </c>
      <c r="F2313" s="41">
        <v>5930.9459999999999</v>
      </c>
      <c r="G2313" s="41">
        <v>5936.1679999999997</v>
      </c>
      <c r="H2313" s="41">
        <v>3556463721.1599998</v>
      </c>
      <c r="I2313" s="42">
        <v>11985</v>
      </c>
    </row>
    <row r="2314" spans="1:9" x14ac:dyDescent="0.25">
      <c r="A2314" t="s">
        <v>9</v>
      </c>
      <c r="B2314" s="39">
        <v>45797</v>
      </c>
      <c r="C2314" s="40">
        <v>0.47916666666666669</v>
      </c>
      <c r="D2314" s="41">
        <v>5935.6459999999997</v>
      </c>
      <c r="E2314" s="41">
        <v>5944.0029999999997</v>
      </c>
      <c r="F2314" s="41">
        <v>5929.9009999999998</v>
      </c>
      <c r="G2314" s="41">
        <v>5936.1679999999997</v>
      </c>
      <c r="H2314" s="41">
        <v>5413342763.3599997</v>
      </c>
      <c r="I2314" s="42">
        <v>18235</v>
      </c>
    </row>
    <row r="2315" spans="1:9" x14ac:dyDescent="0.25">
      <c r="A2315" t="s">
        <v>9</v>
      </c>
      <c r="B2315" s="39">
        <v>45797</v>
      </c>
      <c r="C2315" s="40">
        <v>0.45833333333333331</v>
      </c>
      <c r="D2315" s="41">
        <v>5931.4679999999998</v>
      </c>
      <c r="E2315" s="41">
        <v>5939.8239999999996</v>
      </c>
      <c r="F2315" s="41">
        <v>5924.1559999999999</v>
      </c>
      <c r="G2315" s="41">
        <v>5935.6459999999997</v>
      </c>
      <c r="H2315" s="41">
        <v>3235290814.4499998</v>
      </c>
      <c r="I2315" s="42">
        <v>10910</v>
      </c>
    </row>
    <row r="2316" spans="1:9" x14ac:dyDescent="0.25">
      <c r="A2316" t="s">
        <v>9</v>
      </c>
      <c r="B2316" s="39">
        <v>45797</v>
      </c>
      <c r="C2316" s="40">
        <v>0.4375</v>
      </c>
      <c r="D2316" s="41">
        <v>5931.4679999999998</v>
      </c>
      <c r="E2316" s="41">
        <v>5937.7349999999997</v>
      </c>
      <c r="F2316" s="41">
        <v>5926.768</v>
      </c>
      <c r="G2316" s="41">
        <v>5930.9459999999999</v>
      </c>
      <c r="H2316" s="41">
        <v>4468728541.0699997</v>
      </c>
      <c r="I2316" s="42">
        <v>15065</v>
      </c>
    </row>
    <row r="2317" spans="1:9" x14ac:dyDescent="0.25">
      <c r="A2317" t="s">
        <v>9</v>
      </c>
      <c r="B2317" s="39">
        <v>45797</v>
      </c>
      <c r="C2317" s="40">
        <v>0.41666666666666669</v>
      </c>
      <c r="D2317" s="41">
        <v>5918.933</v>
      </c>
      <c r="E2317" s="41">
        <v>5933.0349999999999</v>
      </c>
      <c r="F2317" s="41">
        <v>5909.5320000000002</v>
      </c>
      <c r="G2317" s="41">
        <v>5930.9459999999999</v>
      </c>
      <c r="H2317" s="41">
        <v>5388053202.3900003</v>
      </c>
      <c r="I2317" s="42">
        <v>18200</v>
      </c>
    </row>
    <row r="2318" spans="1:9" x14ac:dyDescent="0.25">
      <c r="A2318" t="s">
        <v>9</v>
      </c>
      <c r="B2318" s="39">
        <v>45797</v>
      </c>
      <c r="C2318" s="40">
        <v>0.39583333333333331</v>
      </c>
      <c r="D2318" s="41">
        <v>5926.768</v>
      </c>
      <c r="E2318" s="41">
        <v>5930.9459999999999</v>
      </c>
      <c r="F2318" s="41">
        <v>5910.0550000000003</v>
      </c>
      <c r="G2318" s="41">
        <v>5919.9780000000001</v>
      </c>
      <c r="H2318" s="41">
        <v>6394110372.1199999</v>
      </c>
      <c r="I2318" s="42">
        <v>21605</v>
      </c>
    </row>
    <row r="2319" spans="1:9" x14ac:dyDescent="0.25">
      <c r="A2319" t="s">
        <v>9</v>
      </c>
      <c r="B2319" s="39">
        <v>45797</v>
      </c>
      <c r="C2319" s="40">
        <v>0.375</v>
      </c>
      <c r="D2319" s="41">
        <v>5913.7110000000002</v>
      </c>
      <c r="E2319" s="41">
        <v>5932.5129999999999</v>
      </c>
      <c r="F2319" s="41">
        <v>5909.01</v>
      </c>
      <c r="G2319" s="41">
        <v>5927.8119999999999</v>
      </c>
      <c r="H2319" s="41">
        <v>3051289568.6199999</v>
      </c>
      <c r="I2319" s="42">
        <v>10310</v>
      </c>
    </row>
    <row r="2320" spans="1:9" x14ac:dyDescent="0.25">
      <c r="A2320" t="s">
        <v>9</v>
      </c>
      <c r="B2320" s="39">
        <v>45796</v>
      </c>
      <c r="C2320" s="40">
        <v>0.75</v>
      </c>
      <c r="D2320" s="41">
        <v>5921.0230000000001</v>
      </c>
      <c r="E2320" s="41">
        <v>5921.0230000000001</v>
      </c>
      <c r="F2320" s="41">
        <v>5916.3220000000001</v>
      </c>
      <c r="G2320" s="41">
        <v>5917.3670000000002</v>
      </c>
      <c r="H2320" s="41">
        <v>350728011.58999997</v>
      </c>
      <c r="I2320" s="42">
        <v>1185</v>
      </c>
    </row>
    <row r="2321" spans="1:9" x14ac:dyDescent="0.25">
      <c r="A2321" t="s">
        <v>9</v>
      </c>
      <c r="B2321" s="39">
        <v>45796</v>
      </c>
      <c r="C2321" s="40">
        <v>0.72916666666666663</v>
      </c>
      <c r="D2321" s="41">
        <v>5918.4110000000001</v>
      </c>
      <c r="E2321" s="41">
        <v>5922.067</v>
      </c>
      <c r="F2321" s="41">
        <v>5917.8890000000001</v>
      </c>
      <c r="G2321" s="41">
        <v>5922.067</v>
      </c>
      <c r="H2321" s="41">
        <v>1018147556.16</v>
      </c>
      <c r="I2321" s="42">
        <v>3440</v>
      </c>
    </row>
    <row r="2322" spans="1:9" x14ac:dyDescent="0.25">
      <c r="A2322" t="s">
        <v>9</v>
      </c>
      <c r="B2322" s="39">
        <v>45796</v>
      </c>
      <c r="C2322" s="40">
        <v>0.70833333333333337</v>
      </c>
      <c r="D2322" s="41">
        <v>5924.6779999999999</v>
      </c>
      <c r="E2322" s="41">
        <v>5925.201</v>
      </c>
      <c r="F2322" s="41">
        <v>5916.8440000000001</v>
      </c>
      <c r="G2322" s="41">
        <v>5917.3670000000002</v>
      </c>
      <c r="H2322" s="41">
        <v>1141180601.8</v>
      </c>
      <c r="I2322" s="42">
        <v>3855</v>
      </c>
    </row>
    <row r="2323" spans="1:9" x14ac:dyDescent="0.25">
      <c r="A2323" t="s">
        <v>9</v>
      </c>
      <c r="B2323" s="39">
        <v>45796</v>
      </c>
      <c r="C2323" s="40">
        <v>0.6875</v>
      </c>
      <c r="D2323" s="41">
        <v>5919.4560000000001</v>
      </c>
      <c r="E2323" s="41">
        <v>5925.723</v>
      </c>
      <c r="F2323" s="41">
        <v>5919.4560000000001</v>
      </c>
      <c r="G2323" s="41">
        <v>5924.1559999999999</v>
      </c>
      <c r="H2323" s="41">
        <v>2218458214.1300001</v>
      </c>
      <c r="I2323" s="42">
        <v>7490</v>
      </c>
    </row>
    <row r="2324" spans="1:9" x14ac:dyDescent="0.25">
      <c r="A2324" t="s">
        <v>9</v>
      </c>
      <c r="B2324" s="39">
        <v>45796</v>
      </c>
      <c r="C2324" s="40">
        <v>0.66666666666666663</v>
      </c>
      <c r="D2324" s="41">
        <v>5914.2330000000002</v>
      </c>
      <c r="E2324" s="41">
        <v>5919.4560000000001</v>
      </c>
      <c r="F2324" s="41">
        <v>5910.0550000000003</v>
      </c>
      <c r="G2324" s="41">
        <v>5918.933</v>
      </c>
      <c r="H2324" s="41">
        <v>2995289240.5500002</v>
      </c>
      <c r="I2324" s="42">
        <v>10130</v>
      </c>
    </row>
    <row r="2325" spans="1:9" x14ac:dyDescent="0.25">
      <c r="A2325" t="s">
        <v>9</v>
      </c>
      <c r="B2325" s="39">
        <v>45796</v>
      </c>
      <c r="C2325" s="40">
        <v>0.64583333333333337</v>
      </c>
      <c r="D2325" s="41">
        <v>5918.933</v>
      </c>
      <c r="E2325" s="41">
        <v>5919.4560000000001</v>
      </c>
      <c r="F2325" s="41">
        <v>5912.6660000000002</v>
      </c>
      <c r="G2325" s="41">
        <v>5914.2330000000002</v>
      </c>
      <c r="H2325" s="41">
        <v>2394997989.6999998</v>
      </c>
      <c r="I2325" s="42">
        <v>8095</v>
      </c>
    </row>
    <row r="2326" spans="1:9" x14ac:dyDescent="0.25">
      <c r="A2326" t="s">
        <v>9</v>
      </c>
      <c r="B2326" s="39">
        <v>45796</v>
      </c>
      <c r="C2326" s="40">
        <v>0.625</v>
      </c>
      <c r="D2326" s="41">
        <v>5916.3220000000001</v>
      </c>
      <c r="E2326" s="41">
        <v>5918.933</v>
      </c>
      <c r="F2326" s="41">
        <v>5915.8</v>
      </c>
      <c r="G2326" s="41">
        <v>5918.4110000000001</v>
      </c>
      <c r="H2326" s="41">
        <v>1587276533.8699999</v>
      </c>
      <c r="I2326" s="42">
        <v>5365</v>
      </c>
    </row>
    <row r="2327" spans="1:9" x14ac:dyDescent="0.25">
      <c r="A2327" t="s">
        <v>9</v>
      </c>
      <c r="B2327" s="39">
        <v>45796</v>
      </c>
      <c r="C2327" s="40">
        <v>0.60416666666666663</v>
      </c>
      <c r="D2327" s="41">
        <v>5917.3670000000002</v>
      </c>
      <c r="E2327" s="41">
        <v>5920.5</v>
      </c>
      <c r="F2327" s="41">
        <v>5915.8</v>
      </c>
      <c r="G2327" s="41">
        <v>5916.3220000000001</v>
      </c>
      <c r="H2327" s="41">
        <v>1481067637.3900001</v>
      </c>
      <c r="I2327" s="42">
        <v>5005</v>
      </c>
    </row>
    <row r="2328" spans="1:9" x14ac:dyDescent="0.25">
      <c r="A2328" t="s">
        <v>9</v>
      </c>
      <c r="B2328" s="39">
        <v>45796</v>
      </c>
      <c r="C2328" s="40">
        <v>0.58333333333333337</v>
      </c>
      <c r="D2328" s="41">
        <v>5915.8</v>
      </c>
      <c r="E2328" s="41">
        <v>5921.0230000000001</v>
      </c>
      <c r="F2328" s="41">
        <v>5910.0550000000003</v>
      </c>
      <c r="G2328" s="41">
        <v>5917.3670000000002</v>
      </c>
      <c r="H2328" s="41">
        <v>1563141982.27</v>
      </c>
      <c r="I2328" s="42">
        <v>5285</v>
      </c>
    </row>
    <row r="2329" spans="1:9" x14ac:dyDescent="0.25">
      <c r="A2329" t="s">
        <v>9</v>
      </c>
      <c r="B2329" s="39">
        <v>45796</v>
      </c>
      <c r="C2329" s="40">
        <v>0.5625</v>
      </c>
      <c r="D2329" s="41">
        <v>5906.3990000000003</v>
      </c>
      <c r="E2329" s="41">
        <v>5916.8440000000001</v>
      </c>
      <c r="F2329" s="41">
        <v>5906.3990000000003</v>
      </c>
      <c r="G2329" s="41">
        <v>5915.8</v>
      </c>
      <c r="H2329" s="41">
        <v>1046423742.11</v>
      </c>
      <c r="I2329" s="42">
        <v>3540</v>
      </c>
    </row>
    <row r="2330" spans="1:9" x14ac:dyDescent="0.25">
      <c r="A2330" t="s">
        <v>9</v>
      </c>
      <c r="B2330" s="39">
        <v>45796</v>
      </c>
      <c r="C2330" s="40">
        <v>0.54166666666666663</v>
      </c>
      <c r="D2330" s="41">
        <v>5912.6660000000002</v>
      </c>
      <c r="E2330" s="41">
        <v>5914.2330000000002</v>
      </c>
      <c r="F2330" s="41">
        <v>5906.3990000000003</v>
      </c>
      <c r="G2330" s="41">
        <v>5906.3990000000003</v>
      </c>
      <c r="H2330" s="41">
        <v>9902716542.1499996</v>
      </c>
      <c r="I2330" s="42">
        <v>33510</v>
      </c>
    </row>
    <row r="2331" spans="1:9" x14ac:dyDescent="0.25">
      <c r="A2331" t="s">
        <v>9</v>
      </c>
      <c r="B2331" s="39">
        <v>45796</v>
      </c>
      <c r="C2331" s="40">
        <v>0.52083333333333337</v>
      </c>
      <c r="D2331" s="41">
        <v>5907.9660000000003</v>
      </c>
      <c r="E2331" s="41">
        <v>5915.8</v>
      </c>
      <c r="F2331" s="41">
        <v>5905.8770000000004</v>
      </c>
      <c r="G2331" s="41">
        <v>5913.1880000000001</v>
      </c>
      <c r="H2331" s="41">
        <v>1578306605.1700001</v>
      </c>
      <c r="I2331" s="42">
        <v>5340</v>
      </c>
    </row>
    <row r="2332" spans="1:9" x14ac:dyDescent="0.25">
      <c r="A2332" t="s">
        <v>9</v>
      </c>
      <c r="B2332" s="39">
        <v>45796</v>
      </c>
      <c r="C2332" s="40">
        <v>0.5</v>
      </c>
      <c r="D2332" s="41">
        <v>5922.5889999999999</v>
      </c>
      <c r="E2332" s="41">
        <v>5922.5889999999999</v>
      </c>
      <c r="F2332" s="41">
        <v>5902.2209999999995</v>
      </c>
      <c r="G2332" s="41">
        <v>5907.9660000000003</v>
      </c>
      <c r="H2332" s="41">
        <v>4279716204.9299998</v>
      </c>
      <c r="I2332" s="42">
        <v>14480</v>
      </c>
    </row>
    <row r="2333" spans="1:9" x14ac:dyDescent="0.25">
      <c r="A2333" t="s">
        <v>9</v>
      </c>
      <c r="B2333" s="39">
        <v>45796</v>
      </c>
      <c r="C2333" s="40">
        <v>0.47916666666666669</v>
      </c>
      <c r="D2333" s="41">
        <v>5937.2129999999997</v>
      </c>
      <c r="E2333" s="41">
        <v>5937.7349999999997</v>
      </c>
      <c r="F2333" s="41">
        <v>5919.4560000000001</v>
      </c>
      <c r="G2333" s="41">
        <v>5923.1120000000001</v>
      </c>
      <c r="H2333" s="41">
        <v>2886204963.4899998</v>
      </c>
      <c r="I2333" s="42">
        <v>9740</v>
      </c>
    </row>
    <row r="2334" spans="1:9" x14ac:dyDescent="0.25">
      <c r="A2334" t="s">
        <v>9</v>
      </c>
      <c r="B2334" s="39">
        <v>45796</v>
      </c>
      <c r="C2334" s="40">
        <v>0.45833333333333331</v>
      </c>
      <c r="D2334" s="41">
        <v>5932.5129999999999</v>
      </c>
      <c r="E2334" s="41">
        <v>5938.2579999999998</v>
      </c>
      <c r="F2334" s="41">
        <v>5928.857</v>
      </c>
      <c r="G2334" s="41">
        <v>5936.6909999999998</v>
      </c>
      <c r="H2334" s="41">
        <v>5310767720.1499996</v>
      </c>
      <c r="I2334" s="42">
        <v>17900</v>
      </c>
    </row>
    <row r="2335" spans="1:9" x14ac:dyDescent="0.25">
      <c r="A2335" t="s">
        <v>9</v>
      </c>
      <c r="B2335" s="39">
        <v>45796</v>
      </c>
      <c r="C2335" s="40">
        <v>0.4375</v>
      </c>
      <c r="D2335" s="41">
        <v>5941.9129999999996</v>
      </c>
      <c r="E2335" s="41">
        <v>5951.3140000000003</v>
      </c>
      <c r="F2335" s="41">
        <v>5929.3789999999999</v>
      </c>
      <c r="G2335" s="41">
        <v>5932.5129999999999</v>
      </c>
      <c r="H2335" s="41">
        <v>3523321767.6900001</v>
      </c>
      <c r="I2335" s="42">
        <v>11870</v>
      </c>
    </row>
    <row r="2336" spans="1:9" x14ac:dyDescent="0.25">
      <c r="A2336" t="s">
        <v>9</v>
      </c>
      <c r="B2336" s="39">
        <v>45796</v>
      </c>
      <c r="C2336" s="40">
        <v>0.41666666666666669</v>
      </c>
      <c r="D2336" s="41">
        <v>5952.8810000000003</v>
      </c>
      <c r="E2336" s="41">
        <v>5958.1040000000003</v>
      </c>
      <c r="F2336" s="41">
        <v>5941.3909999999996</v>
      </c>
      <c r="G2336" s="41">
        <v>5941.9129999999996</v>
      </c>
      <c r="H2336" s="41">
        <v>3405730296.8699999</v>
      </c>
      <c r="I2336" s="42">
        <v>11445</v>
      </c>
    </row>
    <row r="2337" spans="1:9" x14ac:dyDescent="0.25">
      <c r="A2337" t="s">
        <v>9</v>
      </c>
      <c r="B2337" s="39">
        <v>45796</v>
      </c>
      <c r="C2337" s="40">
        <v>0.39583333333333331</v>
      </c>
      <c r="D2337" s="41">
        <v>5954.97</v>
      </c>
      <c r="E2337" s="41">
        <v>5962.8040000000001</v>
      </c>
      <c r="F2337" s="41">
        <v>5948.7030000000004</v>
      </c>
      <c r="G2337" s="41">
        <v>5952.3590000000004</v>
      </c>
      <c r="H2337" s="41">
        <v>3734129781.02</v>
      </c>
      <c r="I2337" s="42">
        <v>12540</v>
      </c>
    </row>
    <row r="2338" spans="1:9" x14ac:dyDescent="0.25">
      <c r="A2338" t="s">
        <v>9</v>
      </c>
      <c r="B2338" s="39">
        <v>45796</v>
      </c>
      <c r="C2338" s="40">
        <v>0.375</v>
      </c>
      <c r="D2338" s="41">
        <v>5934.0789999999997</v>
      </c>
      <c r="E2338" s="41">
        <v>5958.1040000000003</v>
      </c>
      <c r="F2338" s="41">
        <v>5925.201</v>
      </c>
      <c r="G2338" s="41">
        <v>5956.0150000000003</v>
      </c>
      <c r="H2338" s="41">
        <v>3087753185.9499998</v>
      </c>
      <c r="I2338" s="42">
        <v>10395</v>
      </c>
    </row>
    <row r="2339" spans="1:9" x14ac:dyDescent="0.25">
      <c r="A2339" t="s">
        <v>9</v>
      </c>
      <c r="B2339" s="39">
        <v>45793</v>
      </c>
      <c r="C2339" s="40">
        <v>0.75</v>
      </c>
      <c r="D2339" s="41">
        <v>5936.1679999999997</v>
      </c>
      <c r="E2339" s="41">
        <v>5941.9129999999996</v>
      </c>
      <c r="F2339" s="41">
        <v>5934.6019999999999</v>
      </c>
      <c r="G2339" s="41">
        <v>5941.9129999999996</v>
      </c>
      <c r="H2339" s="41">
        <v>417110889.48000002</v>
      </c>
      <c r="I2339" s="42">
        <v>1405</v>
      </c>
    </row>
    <row r="2340" spans="1:9" x14ac:dyDescent="0.25">
      <c r="A2340" t="s">
        <v>9</v>
      </c>
      <c r="B2340" s="39">
        <v>45793</v>
      </c>
      <c r="C2340" s="40">
        <v>0.72916666666666663</v>
      </c>
      <c r="D2340" s="41">
        <v>5938.2579999999998</v>
      </c>
      <c r="E2340" s="41">
        <v>5939.3019999999997</v>
      </c>
      <c r="F2340" s="41">
        <v>5934.0789999999997</v>
      </c>
      <c r="G2340" s="41">
        <v>5936.1679999999997</v>
      </c>
      <c r="H2340" s="41">
        <v>960213769.02999997</v>
      </c>
      <c r="I2340" s="42">
        <v>3235</v>
      </c>
    </row>
    <row r="2341" spans="1:9" x14ac:dyDescent="0.25">
      <c r="A2341" t="s">
        <v>9</v>
      </c>
      <c r="B2341" s="39">
        <v>45793</v>
      </c>
      <c r="C2341" s="40">
        <v>0.70833333333333337</v>
      </c>
      <c r="D2341" s="41">
        <v>5941.3909999999996</v>
      </c>
      <c r="E2341" s="41">
        <v>5944.5249999999996</v>
      </c>
      <c r="F2341" s="41">
        <v>5936.1679999999997</v>
      </c>
      <c r="G2341" s="41">
        <v>5937.7349999999997</v>
      </c>
      <c r="H2341" s="41">
        <v>2391818514.98</v>
      </c>
      <c r="I2341" s="42">
        <v>8055</v>
      </c>
    </row>
    <row r="2342" spans="1:9" x14ac:dyDescent="0.25">
      <c r="A2342" t="s">
        <v>9</v>
      </c>
      <c r="B2342" s="39">
        <v>45793</v>
      </c>
      <c r="C2342" s="40">
        <v>0.6875</v>
      </c>
      <c r="D2342" s="41">
        <v>5939.8239999999996</v>
      </c>
      <c r="E2342" s="41">
        <v>5942.4359999999997</v>
      </c>
      <c r="F2342" s="41">
        <v>5938.2579999999998</v>
      </c>
      <c r="G2342" s="41">
        <v>5941.3909999999996</v>
      </c>
      <c r="H2342" s="41">
        <v>1859549691.29</v>
      </c>
      <c r="I2342" s="42">
        <v>6260</v>
      </c>
    </row>
    <row r="2343" spans="1:9" x14ac:dyDescent="0.25">
      <c r="A2343" t="s">
        <v>9</v>
      </c>
      <c r="B2343" s="39">
        <v>45793</v>
      </c>
      <c r="C2343" s="40">
        <v>0.66666666666666663</v>
      </c>
      <c r="D2343" s="41">
        <v>5941.9129999999996</v>
      </c>
      <c r="E2343" s="41">
        <v>5941.9129999999996</v>
      </c>
      <c r="F2343" s="41">
        <v>5933.5569999999998</v>
      </c>
      <c r="G2343" s="41">
        <v>5938.78</v>
      </c>
      <c r="H2343" s="41">
        <v>1711534965.3299999</v>
      </c>
      <c r="I2343" s="42">
        <v>5765</v>
      </c>
    </row>
    <row r="2344" spans="1:9" x14ac:dyDescent="0.25">
      <c r="A2344" t="s">
        <v>9</v>
      </c>
      <c r="B2344" s="39">
        <v>45793</v>
      </c>
      <c r="C2344" s="40">
        <v>0.64583333333333337</v>
      </c>
      <c r="D2344" s="41">
        <v>5941.9129999999996</v>
      </c>
      <c r="E2344" s="41">
        <v>5944.0029999999997</v>
      </c>
      <c r="F2344" s="41">
        <v>5933.0349999999999</v>
      </c>
      <c r="G2344" s="41">
        <v>5942.9579999999996</v>
      </c>
      <c r="H2344" s="41">
        <v>4367650074.5500002</v>
      </c>
      <c r="I2344" s="42">
        <v>14705</v>
      </c>
    </row>
    <row r="2345" spans="1:9" x14ac:dyDescent="0.25">
      <c r="A2345" t="s">
        <v>9</v>
      </c>
      <c r="B2345" s="39">
        <v>45793</v>
      </c>
      <c r="C2345" s="40">
        <v>0.625</v>
      </c>
      <c r="D2345" s="41">
        <v>5950.27</v>
      </c>
      <c r="E2345" s="41">
        <v>5950.7920000000004</v>
      </c>
      <c r="F2345" s="41">
        <v>5936.6909999999998</v>
      </c>
      <c r="G2345" s="41">
        <v>5941.9129999999996</v>
      </c>
      <c r="H2345" s="41">
        <v>2112895501.4000001</v>
      </c>
      <c r="I2345" s="42">
        <v>7110</v>
      </c>
    </row>
    <row r="2346" spans="1:9" x14ac:dyDescent="0.25">
      <c r="A2346" t="s">
        <v>9</v>
      </c>
      <c r="B2346" s="39">
        <v>45793</v>
      </c>
      <c r="C2346" s="40">
        <v>0.60416666666666663</v>
      </c>
      <c r="D2346" s="41">
        <v>5948.7030000000004</v>
      </c>
      <c r="E2346" s="41">
        <v>5951.8370000000004</v>
      </c>
      <c r="F2346" s="41">
        <v>5944.0029999999997</v>
      </c>
      <c r="G2346" s="41">
        <v>5950.7920000000004</v>
      </c>
      <c r="H2346" s="41">
        <v>2065638043.3099999</v>
      </c>
      <c r="I2346" s="42">
        <v>6945</v>
      </c>
    </row>
    <row r="2347" spans="1:9" x14ac:dyDescent="0.25">
      <c r="A2347" t="s">
        <v>9</v>
      </c>
      <c r="B2347" s="39">
        <v>45793</v>
      </c>
      <c r="C2347" s="40">
        <v>0.58333333333333337</v>
      </c>
      <c r="D2347" s="41">
        <v>5947.6589999999997</v>
      </c>
      <c r="E2347" s="41">
        <v>5952.3590000000004</v>
      </c>
      <c r="F2347" s="41">
        <v>5945.0469999999996</v>
      </c>
      <c r="G2347" s="41">
        <v>5949.2250000000004</v>
      </c>
      <c r="H2347" s="41">
        <v>2875142673.8099999</v>
      </c>
      <c r="I2347" s="42">
        <v>9665</v>
      </c>
    </row>
    <row r="2348" spans="1:9" x14ac:dyDescent="0.25">
      <c r="A2348" t="s">
        <v>9</v>
      </c>
      <c r="B2348" s="39">
        <v>45793</v>
      </c>
      <c r="C2348" s="40">
        <v>0.5625</v>
      </c>
      <c r="D2348" s="41">
        <v>5948.7030000000004</v>
      </c>
      <c r="E2348" s="41">
        <v>5948.7030000000004</v>
      </c>
      <c r="F2348" s="41">
        <v>5940.3469999999998</v>
      </c>
      <c r="G2348" s="41">
        <v>5947.6589999999997</v>
      </c>
      <c r="H2348" s="41">
        <v>2564733315.9499998</v>
      </c>
      <c r="I2348" s="42">
        <v>8630</v>
      </c>
    </row>
    <row r="2349" spans="1:9" x14ac:dyDescent="0.25">
      <c r="A2349" t="s">
        <v>9</v>
      </c>
      <c r="B2349" s="39">
        <v>45793</v>
      </c>
      <c r="C2349" s="40">
        <v>0.54166666666666663</v>
      </c>
      <c r="D2349" s="41">
        <v>5951.3140000000003</v>
      </c>
      <c r="E2349" s="41">
        <v>5952.8810000000003</v>
      </c>
      <c r="F2349" s="41">
        <v>5941.3909999999996</v>
      </c>
      <c r="G2349" s="41">
        <v>5948.1809999999996</v>
      </c>
      <c r="H2349" s="41">
        <v>2974883073.8499999</v>
      </c>
      <c r="I2349" s="42">
        <v>10005</v>
      </c>
    </row>
    <row r="2350" spans="1:9" x14ac:dyDescent="0.25">
      <c r="A2350" t="s">
        <v>9</v>
      </c>
      <c r="B2350" s="39">
        <v>45793</v>
      </c>
      <c r="C2350" s="40">
        <v>0.52083333333333337</v>
      </c>
      <c r="D2350" s="41">
        <v>5953.9260000000004</v>
      </c>
      <c r="E2350" s="41">
        <v>5959.6710000000003</v>
      </c>
      <c r="F2350" s="41">
        <v>5950.7920000000004</v>
      </c>
      <c r="G2350" s="41">
        <v>5950.7920000000004</v>
      </c>
      <c r="H2350" s="41">
        <v>1868413337.1900001</v>
      </c>
      <c r="I2350" s="42">
        <v>6275</v>
      </c>
    </row>
    <row r="2351" spans="1:9" x14ac:dyDescent="0.25">
      <c r="A2351" t="s">
        <v>9</v>
      </c>
      <c r="B2351" s="39">
        <v>45793</v>
      </c>
      <c r="C2351" s="40">
        <v>0.5</v>
      </c>
      <c r="D2351" s="41">
        <v>5971.683</v>
      </c>
      <c r="E2351" s="41">
        <v>5973.7719999999999</v>
      </c>
      <c r="F2351" s="41">
        <v>5952.8810000000003</v>
      </c>
      <c r="G2351" s="41">
        <v>5954.4480000000003</v>
      </c>
      <c r="H2351" s="41">
        <v>3882973878.4099998</v>
      </c>
      <c r="I2351" s="42">
        <v>13020</v>
      </c>
    </row>
    <row r="2352" spans="1:9" x14ac:dyDescent="0.25">
      <c r="A2352" t="s">
        <v>9</v>
      </c>
      <c r="B2352" s="39">
        <v>45793</v>
      </c>
      <c r="C2352" s="40">
        <v>0.47916666666666669</v>
      </c>
      <c r="D2352" s="41">
        <v>5969.5940000000001</v>
      </c>
      <c r="E2352" s="41">
        <v>5976.9059999999999</v>
      </c>
      <c r="F2352" s="41">
        <v>5966.46</v>
      </c>
      <c r="G2352" s="41">
        <v>5971.683</v>
      </c>
      <c r="H2352" s="41">
        <v>2695314007.0799999</v>
      </c>
      <c r="I2352" s="42">
        <v>9025</v>
      </c>
    </row>
    <row r="2353" spans="1:9" x14ac:dyDescent="0.25">
      <c r="A2353" t="s">
        <v>9</v>
      </c>
      <c r="B2353" s="39">
        <v>45793</v>
      </c>
      <c r="C2353" s="40">
        <v>0.45833333333333331</v>
      </c>
      <c r="D2353" s="41">
        <v>5964.3710000000001</v>
      </c>
      <c r="E2353" s="41">
        <v>5972.7280000000001</v>
      </c>
      <c r="F2353" s="41">
        <v>5959.1490000000003</v>
      </c>
      <c r="G2353" s="41">
        <v>5969.0720000000001</v>
      </c>
      <c r="H2353" s="41">
        <v>5277155458.7700005</v>
      </c>
      <c r="I2353" s="42">
        <v>17690</v>
      </c>
    </row>
    <row r="2354" spans="1:9" x14ac:dyDescent="0.25">
      <c r="A2354" t="s">
        <v>9</v>
      </c>
      <c r="B2354" s="39">
        <v>45793</v>
      </c>
      <c r="C2354" s="40">
        <v>0.4375</v>
      </c>
      <c r="D2354" s="41">
        <v>5976.9059999999999</v>
      </c>
      <c r="E2354" s="41">
        <v>5980.04</v>
      </c>
      <c r="F2354" s="41">
        <v>5963.3270000000002</v>
      </c>
      <c r="G2354" s="41">
        <v>5964.3710000000001</v>
      </c>
      <c r="H2354" s="41">
        <v>2904408830.4899998</v>
      </c>
      <c r="I2354" s="42">
        <v>9725</v>
      </c>
    </row>
    <row r="2355" spans="1:9" x14ac:dyDescent="0.25">
      <c r="A2355" t="s">
        <v>9</v>
      </c>
      <c r="B2355" s="39">
        <v>45793</v>
      </c>
      <c r="C2355" s="40">
        <v>0.41666666666666669</v>
      </c>
      <c r="D2355" s="41">
        <v>5970.116</v>
      </c>
      <c r="E2355" s="41">
        <v>5989.44</v>
      </c>
      <c r="F2355" s="41">
        <v>5970.116</v>
      </c>
      <c r="G2355" s="41">
        <v>5977.4279999999999</v>
      </c>
      <c r="H2355" s="41">
        <v>5388654992.8299999</v>
      </c>
      <c r="I2355" s="42">
        <v>18025</v>
      </c>
    </row>
    <row r="2356" spans="1:9" x14ac:dyDescent="0.25">
      <c r="A2356" t="s">
        <v>9</v>
      </c>
      <c r="B2356" s="39">
        <v>45793</v>
      </c>
      <c r="C2356" s="40">
        <v>0.39583333333333331</v>
      </c>
      <c r="D2356" s="41">
        <v>5973.25</v>
      </c>
      <c r="E2356" s="41">
        <v>5977.4279999999999</v>
      </c>
      <c r="F2356" s="41">
        <v>5963.3270000000002</v>
      </c>
      <c r="G2356" s="41">
        <v>5970.116</v>
      </c>
      <c r="H2356" s="41">
        <v>4968783100.8299999</v>
      </c>
      <c r="I2356" s="42">
        <v>16650</v>
      </c>
    </row>
    <row r="2357" spans="1:9" x14ac:dyDescent="0.25">
      <c r="A2357" t="s">
        <v>9</v>
      </c>
      <c r="B2357" s="39">
        <v>45793</v>
      </c>
      <c r="C2357" s="40">
        <v>0.375</v>
      </c>
      <c r="D2357" s="41">
        <v>5947.1360000000004</v>
      </c>
      <c r="E2357" s="41">
        <v>5982.6509999999998</v>
      </c>
      <c r="F2357" s="41">
        <v>5941.9129999999996</v>
      </c>
      <c r="G2357" s="41">
        <v>5974.2939999999999</v>
      </c>
      <c r="H2357" s="41">
        <v>6618014410.8500004</v>
      </c>
      <c r="I2357" s="42">
        <v>22185</v>
      </c>
    </row>
    <row r="2358" spans="1:9" x14ac:dyDescent="0.25">
      <c r="A2358" t="s">
        <v>9</v>
      </c>
      <c r="B2358" s="39">
        <v>45792</v>
      </c>
      <c r="C2358" s="40">
        <v>0.75</v>
      </c>
      <c r="D2358" s="41">
        <v>5957.0590000000002</v>
      </c>
      <c r="E2358" s="41">
        <v>5962.2820000000002</v>
      </c>
      <c r="F2358" s="41">
        <v>5954.4480000000003</v>
      </c>
      <c r="G2358" s="41">
        <v>5957.5820000000003</v>
      </c>
      <c r="H2358" s="41">
        <v>1101124521.4200001</v>
      </c>
      <c r="I2358" s="42">
        <v>3695</v>
      </c>
    </row>
    <row r="2359" spans="1:9" x14ac:dyDescent="0.25">
      <c r="A2359" t="s">
        <v>9</v>
      </c>
      <c r="B2359" s="39">
        <v>45792</v>
      </c>
      <c r="C2359" s="40">
        <v>0.72916666666666663</v>
      </c>
      <c r="D2359" s="41">
        <v>5953.4040000000005</v>
      </c>
      <c r="E2359" s="41">
        <v>5960.1930000000002</v>
      </c>
      <c r="F2359" s="41">
        <v>5952.3590000000004</v>
      </c>
      <c r="G2359" s="41">
        <v>5957.5820000000003</v>
      </c>
      <c r="H2359" s="41">
        <v>957406284.10000002</v>
      </c>
      <c r="I2359" s="42">
        <v>3215</v>
      </c>
    </row>
    <row r="2360" spans="1:9" x14ac:dyDescent="0.25">
      <c r="A2360" t="s">
        <v>9</v>
      </c>
      <c r="B2360" s="39">
        <v>45792</v>
      </c>
      <c r="C2360" s="40">
        <v>0.70833333333333337</v>
      </c>
      <c r="D2360" s="41">
        <v>5954.97</v>
      </c>
      <c r="E2360" s="41">
        <v>5956.5370000000003</v>
      </c>
      <c r="F2360" s="41">
        <v>5947.6589999999997</v>
      </c>
      <c r="G2360" s="41">
        <v>5952.8810000000003</v>
      </c>
      <c r="H2360" s="41">
        <v>1581860289.3499999</v>
      </c>
      <c r="I2360" s="42">
        <v>5315</v>
      </c>
    </row>
    <row r="2361" spans="1:9" x14ac:dyDescent="0.25">
      <c r="A2361" t="s">
        <v>9</v>
      </c>
      <c r="B2361" s="39">
        <v>45792</v>
      </c>
      <c r="C2361" s="40">
        <v>0.6875</v>
      </c>
      <c r="D2361" s="41">
        <v>5959.1490000000003</v>
      </c>
      <c r="E2361" s="41">
        <v>5960.7150000000001</v>
      </c>
      <c r="F2361" s="41">
        <v>5953.9260000000004</v>
      </c>
      <c r="G2361" s="41">
        <v>5954.97</v>
      </c>
      <c r="H2361" s="41">
        <v>2308553515.5100002</v>
      </c>
      <c r="I2361" s="42">
        <v>7750</v>
      </c>
    </row>
    <row r="2362" spans="1:9" x14ac:dyDescent="0.25">
      <c r="A2362" t="s">
        <v>9</v>
      </c>
      <c r="B2362" s="39">
        <v>45792</v>
      </c>
      <c r="C2362" s="40">
        <v>0.66666666666666663</v>
      </c>
      <c r="D2362" s="41">
        <v>5957.5820000000003</v>
      </c>
      <c r="E2362" s="41">
        <v>5967.5050000000001</v>
      </c>
      <c r="F2362" s="41">
        <v>5956.5370000000003</v>
      </c>
      <c r="G2362" s="41">
        <v>5960.1930000000002</v>
      </c>
      <c r="H2362" s="41">
        <v>2537893253.46</v>
      </c>
      <c r="I2362" s="42">
        <v>8515</v>
      </c>
    </row>
    <row r="2363" spans="1:9" x14ac:dyDescent="0.25">
      <c r="A2363" t="s">
        <v>9</v>
      </c>
      <c r="B2363" s="39">
        <v>45792</v>
      </c>
      <c r="C2363" s="40">
        <v>0.64583333333333337</v>
      </c>
      <c r="D2363" s="41">
        <v>5964.8940000000002</v>
      </c>
      <c r="E2363" s="41">
        <v>5973.7719999999999</v>
      </c>
      <c r="F2363" s="41">
        <v>5956.5370000000003</v>
      </c>
      <c r="G2363" s="41">
        <v>5956.5370000000003</v>
      </c>
      <c r="H2363" s="41">
        <v>6484022094.1199999</v>
      </c>
      <c r="I2363" s="42">
        <v>21745</v>
      </c>
    </row>
    <row r="2364" spans="1:9" x14ac:dyDescent="0.25">
      <c r="A2364" t="s">
        <v>9</v>
      </c>
      <c r="B2364" s="39">
        <v>45792</v>
      </c>
      <c r="C2364" s="40">
        <v>0.625</v>
      </c>
      <c r="D2364" s="41">
        <v>5953.9260000000004</v>
      </c>
      <c r="E2364" s="41">
        <v>5970.116</v>
      </c>
      <c r="F2364" s="41">
        <v>5933.0349999999999</v>
      </c>
      <c r="G2364" s="41">
        <v>5964.8940000000002</v>
      </c>
      <c r="H2364" s="41">
        <v>8005979230.9200001</v>
      </c>
      <c r="I2364" s="42">
        <v>26895</v>
      </c>
    </row>
    <row r="2365" spans="1:9" x14ac:dyDescent="0.25">
      <c r="A2365" t="s">
        <v>9</v>
      </c>
      <c r="B2365" s="39">
        <v>45792</v>
      </c>
      <c r="C2365" s="40">
        <v>0.60416666666666663</v>
      </c>
      <c r="D2365" s="41">
        <v>5935.6459999999997</v>
      </c>
      <c r="E2365" s="41">
        <v>5966.46</v>
      </c>
      <c r="F2365" s="41">
        <v>5926.2449999999999</v>
      </c>
      <c r="G2365" s="41">
        <v>5953.9260000000004</v>
      </c>
      <c r="H2365" s="41">
        <v>6890876954.6999998</v>
      </c>
      <c r="I2365" s="42">
        <v>23170</v>
      </c>
    </row>
    <row r="2366" spans="1:9" x14ac:dyDescent="0.25">
      <c r="A2366" t="s">
        <v>9</v>
      </c>
      <c r="B2366" s="39">
        <v>45792</v>
      </c>
      <c r="C2366" s="40">
        <v>0.58333333333333337</v>
      </c>
      <c r="D2366" s="41">
        <v>5907.9660000000003</v>
      </c>
      <c r="E2366" s="41">
        <v>5943.48</v>
      </c>
      <c r="F2366" s="41">
        <v>5907.9660000000003</v>
      </c>
      <c r="G2366" s="41">
        <v>5936.1679999999997</v>
      </c>
      <c r="H2366" s="41">
        <v>4991678295.7700005</v>
      </c>
      <c r="I2366" s="42">
        <v>16845</v>
      </c>
    </row>
    <row r="2367" spans="1:9" x14ac:dyDescent="0.25">
      <c r="A2367" t="s">
        <v>9</v>
      </c>
      <c r="B2367" s="39">
        <v>45792</v>
      </c>
      <c r="C2367" s="40">
        <v>0.5625</v>
      </c>
      <c r="D2367" s="41">
        <v>5910.0550000000003</v>
      </c>
      <c r="E2367" s="41">
        <v>5914.7550000000001</v>
      </c>
      <c r="F2367" s="41">
        <v>5906.3990000000003</v>
      </c>
      <c r="G2367" s="41">
        <v>5907.4430000000002</v>
      </c>
      <c r="H2367" s="41">
        <v>3433905814.4699998</v>
      </c>
      <c r="I2367" s="42">
        <v>11620</v>
      </c>
    </row>
    <row r="2368" spans="1:9" x14ac:dyDescent="0.25">
      <c r="A2368" t="s">
        <v>9</v>
      </c>
      <c r="B2368" s="39">
        <v>45792</v>
      </c>
      <c r="C2368" s="40">
        <v>0.54166666666666663</v>
      </c>
      <c r="D2368" s="41">
        <v>5910.5770000000002</v>
      </c>
      <c r="E2368" s="41">
        <v>5913.7110000000002</v>
      </c>
      <c r="F2368" s="41">
        <v>5906.9210000000003</v>
      </c>
      <c r="G2368" s="41">
        <v>5909.5320000000002</v>
      </c>
      <c r="H2368" s="41">
        <v>1988701179.0999999</v>
      </c>
      <c r="I2368" s="42">
        <v>6730</v>
      </c>
    </row>
    <row r="2369" spans="1:9" x14ac:dyDescent="0.25">
      <c r="A2369" t="s">
        <v>9</v>
      </c>
      <c r="B2369" s="39">
        <v>45792</v>
      </c>
      <c r="C2369" s="40">
        <v>0.52083333333333337</v>
      </c>
      <c r="D2369" s="41">
        <v>5923.634</v>
      </c>
      <c r="E2369" s="41">
        <v>5923.634</v>
      </c>
      <c r="F2369" s="41">
        <v>5909.5320000000002</v>
      </c>
      <c r="G2369" s="41">
        <v>5909.5320000000002</v>
      </c>
      <c r="H2369" s="41">
        <v>2385825288.0500002</v>
      </c>
      <c r="I2369" s="42">
        <v>8065</v>
      </c>
    </row>
    <row r="2370" spans="1:9" x14ac:dyDescent="0.25">
      <c r="A2370" t="s">
        <v>9</v>
      </c>
      <c r="B2370" s="39">
        <v>45792</v>
      </c>
      <c r="C2370" s="40">
        <v>0.5</v>
      </c>
      <c r="D2370" s="41">
        <v>5917.8890000000001</v>
      </c>
      <c r="E2370" s="41">
        <v>5926.768</v>
      </c>
      <c r="F2370" s="41">
        <v>5913.7110000000002</v>
      </c>
      <c r="G2370" s="41">
        <v>5923.1120000000001</v>
      </c>
      <c r="H2370" s="41">
        <v>4043220004.8400002</v>
      </c>
      <c r="I2370" s="42">
        <v>13660</v>
      </c>
    </row>
    <row r="2371" spans="1:9" x14ac:dyDescent="0.25">
      <c r="A2371" t="s">
        <v>9</v>
      </c>
      <c r="B2371" s="39">
        <v>45792</v>
      </c>
      <c r="C2371" s="40">
        <v>0.47916666666666669</v>
      </c>
      <c r="D2371" s="41">
        <v>5899.0870000000004</v>
      </c>
      <c r="E2371" s="41">
        <v>5920.5</v>
      </c>
      <c r="F2371" s="41">
        <v>5899.0870000000004</v>
      </c>
      <c r="G2371" s="41">
        <v>5918.4110000000001</v>
      </c>
      <c r="H2371" s="41">
        <v>3373431946.8000002</v>
      </c>
      <c r="I2371" s="42">
        <v>11410</v>
      </c>
    </row>
    <row r="2372" spans="1:9" x14ac:dyDescent="0.25">
      <c r="A2372" t="s">
        <v>9</v>
      </c>
      <c r="B2372" s="39">
        <v>45792</v>
      </c>
      <c r="C2372" s="40">
        <v>0.45833333333333331</v>
      </c>
      <c r="D2372" s="41">
        <v>5901.6980000000003</v>
      </c>
      <c r="E2372" s="41">
        <v>5904.8320000000003</v>
      </c>
      <c r="F2372" s="41">
        <v>5892.82</v>
      </c>
      <c r="G2372" s="41">
        <v>5899.6090000000004</v>
      </c>
      <c r="H2372" s="41">
        <v>3896706164.3400002</v>
      </c>
      <c r="I2372" s="42">
        <v>13210</v>
      </c>
    </row>
    <row r="2373" spans="1:9" x14ac:dyDescent="0.25">
      <c r="A2373" t="s">
        <v>9</v>
      </c>
      <c r="B2373" s="39">
        <v>45792</v>
      </c>
      <c r="C2373" s="40">
        <v>0.4375</v>
      </c>
      <c r="D2373" s="41">
        <v>5891.2529999999997</v>
      </c>
      <c r="E2373" s="41">
        <v>5901.6980000000003</v>
      </c>
      <c r="F2373" s="41">
        <v>5888.6419999999998</v>
      </c>
      <c r="G2373" s="41">
        <v>5901.6980000000003</v>
      </c>
      <c r="H2373" s="41">
        <v>3466436054.29</v>
      </c>
      <c r="I2373" s="42">
        <v>11760</v>
      </c>
    </row>
    <row r="2374" spans="1:9" x14ac:dyDescent="0.25">
      <c r="A2374" t="s">
        <v>9</v>
      </c>
      <c r="B2374" s="39">
        <v>45792</v>
      </c>
      <c r="C2374" s="40">
        <v>0.41666666666666669</v>
      </c>
      <c r="D2374" s="41">
        <v>5893.8639999999996</v>
      </c>
      <c r="E2374" s="41">
        <v>5902.2209999999995</v>
      </c>
      <c r="F2374" s="41">
        <v>5887.0749999999998</v>
      </c>
      <c r="G2374" s="41">
        <v>5890.7309999999998</v>
      </c>
      <c r="H2374" s="41">
        <v>4662676890.6099997</v>
      </c>
      <c r="I2374" s="42">
        <v>15820</v>
      </c>
    </row>
    <row r="2375" spans="1:9" x14ac:dyDescent="0.25">
      <c r="A2375" t="s">
        <v>9</v>
      </c>
      <c r="B2375" s="39">
        <v>45792</v>
      </c>
      <c r="C2375" s="40">
        <v>0.39583333333333331</v>
      </c>
      <c r="D2375" s="41">
        <v>5893.8639999999996</v>
      </c>
      <c r="E2375" s="41">
        <v>5899.6090000000004</v>
      </c>
      <c r="F2375" s="41">
        <v>5886.03</v>
      </c>
      <c r="G2375" s="41">
        <v>5893.3419999999996</v>
      </c>
      <c r="H2375" s="41">
        <v>3014819292.29</v>
      </c>
      <c r="I2375" s="42">
        <v>10235</v>
      </c>
    </row>
    <row r="2376" spans="1:9" x14ac:dyDescent="0.25">
      <c r="A2376" t="s">
        <v>9</v>
      </c>
      <c r="B2376" s="39">
        <v>45792</v>
      </c>
      <c r="C2376" s="40">
        <v>0.375</v>
      </c>
      <c r="D2376" s="41">
        <v>5903.2650000000003</v>
      </c>
      <c r="E2376" s="41">
        <v>5912.1440000000002</v>
      </c>
      <c r="F2376" s="41">
        <v>5890.2079999999996</v>
      </c>
      <c r="G2376" s="41">
        <v>5894.3869999999997</v>
      </c>
      <c r="H2376" s="41">
        <v>4100922293.9400001</v>
      </c>
      <c r="I2376" s="42">
        <v>13900</v>
      </c>
    </row>
    <row r="2377" spans="1:9" x14ac:dyDescent="0.25">
      <c r="A2377" t="s">
        <v>9</v>
      </c>
      <c r="B2377" s="39">
        <v>45791</v>
      </c>
      <c r="C2377" s="40">
        <v>0.75</v>
      </c>
      <c r="D2377" s="41">
        <v>5911.6220000000003</v>
      </c>
      <c r="E2377" s="41">
        <v>5917.3670000000002</v>
      </c>
      <c r="F2377" s="41">
        <v>5910.0550000000003</v>
      </c>
      <c r="G2377" s="41">
        <v>5915.2780000000002</v>
      </c>
      <c r="H2377" s="41">
        <v>245459730.91999999</v>
      </c>
      <c r="I2377">
        <v>830</v>
      </c>
    </row>
    <row r="2378" spans="1:9" x14ac:dyDescent="0.25">
      <c r="A2378" t="s">
        <v>9</v>
      </c>
      <c r="B2378" s="39">
        <v>45791</v>
      </c>
      <c r="C2378" s="40">
        <v>0.72916666666666663</v>
      </c>
      <c r="D2378" s="41">
        <v>5909.5320000000002</v>
      </c>
      <c r="E2378" s="41">
        <v>5913.1880000000001</v>
      </c>
      <c r="F2378" s="41">
        <v>5909.01</v>
      </c>
      <c r="G2378" s="41">
        <v>5913.1880000000001</v>
      </c>
      <c r="H2378" s="41">
        <v>1047721854.62</v>
      </c>
      <c r="I2378" s="42">
        <v>3545</v>
      </c>
    </row>
    <row r="2379" spans="1:9" x14ac:dyDescent="0.25">
      <c r="A2379" t="s">
        <v>9</v>
      </c>
      <c r="B2379" s="39">
        <v>45791</v>
      </c>
      <c r="C2379" s="40">
        <v>0.70833333333333337</v>
      </c>
      <c r="D2379" s="41">
        <v>5906.3990000000003</v>
      </c>
      <c r="E2379" s="41">
        <v>5911.0990000000002</v>
      </c>
      <c r="F2379" s="41">
        <v>5905.8770000000004</v>
      </c>
      <c r="G2379" s="41">
        <v>5909.01</v>
      </c>
      <c r="H2379" s="41">
        <v>1316060851.1199999</v>
      </c>
      <c r="I2379" s="42">
        <v>4455</v>
      </c>
    </row>
    <row r="2380" spans="1:9" x14ac:dyDescent="0.25">
      <c r="A2380" t="s">
        <v>9</v>
      </c>
      <c r="B2380" s="39">
        <v>45791</v>
      </c>
      <c r="C2380" s="40">
        <v>0.6875</v>
      </c>
      <c r="D2380" s="41">
        <v>5901.6980000000003</v>
      </c>
      <c r="E2380" s="41">
        <v>5906.9210000000003</v>
      </c>
      <c r="F2380" s="41">
        <v>5899.0870000000004</v>
      </c>
      <c r="G2380" s="41">
        <v>5906.3990000000003</v>
      </c>
      <c r="H2380" s="41">
        <v>3206746701.8400002</v>
      </c>
      <c r="I2380" s="42">
        <v>10865</v>
      </c>
    </row>
    <row r="2381" spans="1:9" x14ac:dyDescent="0.25">
      <c r="A2381" t="s">
        <v>9</v>
      </c>
      <c r="B2381" s="39">
        <v>45791</v>
      </c>
      <c r="C2381" s="40">
        <v>0.66666666666666663</v>
      </c>
      <c r="D2381" s="41">
        <v>5895.4309999999996</v>
      </c>
      <c r="E2381" s="41">
        <v>5903.2650000000003</v>
      </c>
      <c r="F2381" s="41">
        <v>5894.9089999999997</v>
      </c>
      <c r="G2381" s="41">
        <v>5901.1760000000004</v>
      </c>
      <c r="H2381" s="41">
        <v>3116774787.7399998</v>
      </c>
      <c r="I2381" s="42">
        <v>10565</v>
      </c>
    </row>
    <row r="2382" spans="1:9" x14ac:dyDescent="0.25">
      <c r="A2382" t="s">
        <v>9</v>
      </c>
      <c r="B2382" s="39">
        <v>45791</v>
      </c>
      <c r="C2382" s="40">
        <v>0.64583333333333337</v>
      </c>
      <c r="D2382" s="41">
        <v>5897.52</v>
      </c>
      <c r="E2382" s="41">
        <v>5898.0420000000004</v>
      </c>
      <c r="F2382" s="41">
        <v>5889.6859999999997</v>
      </c>
      <c r="G2382" s="41">
        <v>5895.4309999999996</v>
      </c>
      <c r="H2382" s="41">
        <v>2064154915.1800001</v>
      </c>
      <c r="I2382" s="42">
        <v>7005</v>
      </c>
    </row>
    <row r="2383" spans="1:9" x14ac:dyDescent="0.25">
      <c r="A2383" t="s">
        <v>9</v>
      </c>
      <c r="B2383" s="39">
        <v>45791</v>
      </c>
      <c r="C2383" s="40">
        <v>0.625</v>
      </c>
      <c r="D2383" s="41">
        <v>5890.2079999999996</v>
      </c>
      <c r="E2383" s="41">
        <v>5909.5320000000002</v>
      </c>
      <c r="F2383" s="41">
        <v>5890.2079999999996</v>
      </c>
      <c r="G2383" s="41">
        <v>5897.52</v>
      </c>
      <c r="H2383" s="41">
        <v>5071435048.9200001</v>
      </c>
      <c r="I2383" s="42">
        <v>17190</v>
      </c>
    </row>
    <row r="2384" spans="1:9" x14ac:dyDescent="0.25">
      <c r="A2384" t="s">
        <v>9</v>
      </c>
      <c r="B2384" s="39">
        <v>45791</v>
      </c>
      <c r="C2384" s="40">
        <v>0.60416666666666663</v>
      </c>
      <c r="D2384" s="41">
        <v>5892.2969999999996</v>
      </c>
      <c r="E2384" s="41">
        <v>5894.9089999999997</v>
      </c>
      <c r="F2384" s="41">
        <v>5888.6419999999998</v>
      </c>
      <c r="G2384" s="41">
        <v>5890.2079999999996</v>
      </c>
      <c r="H2384" s="41">
        <v>1400569385.45</v>
      </c>
      <c r="I2384" s="42">
        <v>4755</v>
      </c>
    </row>
    <row r="2385" spans="1:9" x14ac:dyDescent="0.25">
      <c r="A2385" t="s">
        <v>9</v>
      </c>
      <c r="B2385" s="39">
        <v>45791</v>
      </c>
      <c r="C2385" s="40">
        <v>0.58333333333333337</v>
      </c>
      <c r="D2385" s="41">
        <v>5884.9859999999999</v>
      </c>
      <c r="E2385" s="41">
        <v>5898.0420000000004</v>
      </c>
      <c r="F2385" s="41">
        <v>5883.9409999999998</v>
      </c>
      <c r="G2385" s="41">
        <v>5892.82</v>
      </c>
      <c r="H2385" s="41">
        <v>2416716892.5900002</v>
      </c>
      <c r="I2385" s="42">
        <v>8205</v>
      </c>
    </row>
    <row r="2386" spans="1:9" x14ac:dyDescent="0.25">
      <c r="A2386" t="s">
        <v>9</v>
      </c>
      <c r="B2386" s="39">
        <v>45791</v>
      </c>
      <c r="C2386" s="40">
        <v>0.5625</v>
      </c>
      <c r="D2386" s="41">
        <v>5889.6859999999997</v>
      </c>
      <c r="E2386" s="41">
        <v>5889.6859999999997</v>
      </c>
      <c r="F2386" s="41">
        <v>5881.8519999999999</v>
      </c>
      <c r="G2386" s="41">
        <v>5883.9409999999998</v>
      </c>
      <c r="H2386" s="41">
        <v>1547793518.8599999</v>
      </c>
      <c r="I2386" s="42">
        <v>5260</v>
      </c>
    </row>
    <row r="2387" spans="1:9" x14ac:dyDescent="0.25">
      <c r="A2387" t="s">
        <v>9</v>
      </c>
      <c r="B2387" s="39">
        <v>45791</v>
      </c>
      <c r="C2387" s="40">
        <v>0.54166666666666663</v>
      </c>
      <c r="D2387" s="41">
        <v>5886.5519999999997</v>
      </c>
      <c r="E2387" s="41">
        <v>5890.2079999999996</v>
      </c>
      <c r="F2387" s="41">
        <v>5883.9409999999998</v>
      </c>
      <c r="G2387" s="41">
        <v>5888.1189999999997</v>
      </c>
      <c r="H2387" s="41">
        <v>3380815206.5</v>
      </c>
      <c r="I2387" s="42">
        <v>11485</v>
      </c>
    </row>
    <row r="2388" spans="1:9" x14ac:dyDescent="0.25">
      <c r="A2388" t="s">
        <v>9</v>
      </c>
      <c r="B2388" s="39">
        <v>45791</v>
      </c>
      <c r="C2388" s="40">
        <v>0.52083333333333337</v>
      </c>
      <c r="D2388" s="41">
        <v>5883.4189999999999</v>
      </c>
      <c r="E2388" s="41">
        <v>5893.8639999999996</v>
      </c>
      <c r="F2388" s="41">
        <v>5876.6289999999999</v>
      </c>
      <c r="G2388" s="41">
        <v>5887.0749999999998</v>
      </c>
      <c r="H2388" s="41">
        <v>3160602732.3400002</v>
      </c>
      <c r="I2388" s="42">
        <v>10740</v>
      </c>
    </row>
    <row r="2389" spans="1:9" x14ac:dyDescent="0.25">
      <c r="A2389" t="s">
        <v>9</v>
      </c>
      <c r="B2389" s="39">
        <v>45791</v>
      </c>
      <c r="C2389" s="40">
        <v>0.5</v>
      </c>
      <c r="D2389" s="41">
        <v>5887.0749999999998</v>
      </c>
      <c r="E2389" s="41">
        <v>5894.9089999999997</v>
      </c>
      <c r="F2389" s="41">
        <v>5881.33</v>
      </c>
      <c r="G2389" s="41">
        <v>5882.8969999999999</v>
      </c>
      <c r="H2389" s="41">
        <v>4603769323.2399998</v>
      </c>
      <c r="I2389" s="42">
        <v>15635</v>
      </c>
    </row>
    <row r="2390" spans="1:9" x14ac:dyDescent="0.25">
      <c r="A2390" t="s">
        <v>9</v>
      </c>
      <c r="B2390" s="39">
        <v>45791</v>
      </c>
      <c r="C2390" s="40">
        <v>0.47916666666666669</v>
      </c>
      <c r="D2390" s="41">
        <v>5879.7629999999999</v>
      </c>
      <c r="E2390" s="41">
        <v>5890.2079999999996</v>
      </c>
      <c r="F2390" s="41">
        <v>5879.7629999999999</v>
      </c>
      <c r="G2390" s="41">
        <v>5886.5519999999997</v>
      </c>
      <c r="H2390" s="41">
        <v>3366566391.3899999</v>
      </c>
      <c r="I2390" s="42">
        <v>11440</v>
      </c>
    </row>
    <row r="2391" spans="1:9" x14ac:dyDescent="0.25">
      <c r="A2391" t="s">
        <v>9</v>
      </c>
      <c r="B2391" s="39">
        <v>45791</v>
      </c>
      <c r="C2391" s="40">
        <v>0.45833333333333331</v>
      </c>
      <c r="D2391" s="41">
        <v>5875.585</v>
      </c>
      <c r="E2391" s="41">
        <v>5882.3739999999998</v>
      </c>
      <c r="F2391" s="41">
        <v>5867.7510000000002</v>
      </c>
      <c r="G2391" s="41">
        <v>5877.674</v>
      </c>
      <c r="H2391" s="41">
        <v>4216948770.1399999</v>
      </c>
      <c r="I2391" s="42">
        <v>14355</v>
      </c>
    </row>
    <row r="2392" spans="1:9" x14ac:dyDescent="0.25">
      <c r="A2392" t="s">
        <v>9</v>
      </c>
      <c r="B2392" s="39">
        <v>45791</v>
      </c>
      <c r="C2392" s="40">
        <v>0.4375</v>
      </c>
      <c r="D2392" s="41">
        <v>5874.54</v>
      </c>
      <c r="E2392" s="41">
        <v>5883.9409999999998</v>
      </c>
      <c r="F2392" s="41">
        <v>5867.7510000000002</v>
      </c>
      <c r="G2392" s="41">
        <v>5874.018</v>
      </c>
      <c r="H2392" s="41">
        <v>5563487323.4899998</v>
      </c>
      <c r="I2392" s="42">
        <v>18940</v>
      </c>
    </row>
    <row r="2393" spans="1:9" x14ac:dyDescent="0.25">
      <c r="A2393" t="s">
        <v>9</v>
      </c>
      <c r="B2393" s="39">
        <v>45791</v>
      </c>
      <c r="C2393" s="40">
        <v>0.41666666666666669</v>
      </c>
      <c r="D2393" s="41">
        <v>5868.7950000000001</v>
      </c>
      <c r="E2393" s="41">
        <v>5885.5079999999998</v>
      </c>
      <c r="F2393" s="41">
        <v>5867.7510000000002</v>
      </c>
      <c r="G2393" s="41">
        <v>5874.54</v>
      </c>
      <c r="H2393" s="41">
        <v>5820746403.5500002</v>
      </c>
      <c r="I2393" s="42">
        <v>19810</v>
      </c>
    </row>
    <row r="2394" spans="1:9" x14ac:dyDescent="0.25">
      <c r="A2394" t="s">
        <v>9</v>
      </c>
      <c r="B2394" s="39">
        <v>45791</v>
      </c>
      <c r="C2394" s="40">
        <v>0.39583333333333331</v>
      </c>
      <c r="D2394" s="41">
        <v>5866.7060000000001</v>
      </c>
      <c r="E2394" s="41">
        <v>5870.884</v>
      </c>
      <c r="F2394" s="41">
        <v>5854.1710000000003</v>
      </c>
      <c r="G2394" s="41">
        <v>5868.2730000000001</v>
      </c>
      <c r="H2394" s="41">
        <v>5939421201.6099997</v>
      </c>
      <c r="I2394" s="42">
        <v>20260</v>
      </c>
    </row>
    <row r="2395" spans="1:9" x14ac:dyDescent="0.25">
      <c r="A2395" t="s">
        <v>9</v>
      </c>
      <c r="B2395" s="39">
        <v>45791</v>
      </c>
      <c r="C2395" s="40">
        <v>0.375</v>
      </c>
      <c r="D2395" s="41">
        <v>5877.674</v>
      </c>
      <c r="E2395" s="41">
        <v>5890.2079999999996</v>
      </c>
      <c r="F2395" s="41">
        <v>5865.6610000000001</v>
      </c>
      <c r="G2395" s="41">
        <v>5867.2280000000001</v>
      </c>
      <c r="H2395" s="41">
        <v>5021716112.5699997</v>
      </c>
      <c r="I2395" s="42">
        <v>17080</v>
      </c>
    </row>
    <row r="2396" spans="1:9" x14ac:dyDescent="0.25">
      <c r="A2396" t="s">
        <v>9</v>
      </c>
      <c r="B2396" s="39">
        <v>45790</v>
      </c>
      <c r="C2396" s="40">
        <v>0.75</v>
      </c>
      <c r="D2396" s="41">
        <v>5884.4629999999997</v>
      </c>
      <c r="E2396" s="41">
        <v>5890.2079999999996</v>
      </c>
      <c r="F2396" s="41">
        <v>5882.8969999999999</v>
      </c>
      <c r="G2396" s="41">
        <v>5890.2079999999996</v>
      </c>
      <c r="H2396" s="41">
        <v>618092183.29999995</v>
      </c>
      <c r="I2396" s="42">
        <v>2100</v>
      </c>
    </row>
    <row r="2397" spans="1:9" x14ac:dyDescent="0.25">
      <c r="A2397" t="s">
        <v>9</v>
      </c>
      <c r="B2397" s="39">
        <v>45790</v>
      </c>
      <c r="C2397" s="40">
        <v>0.72916666666666663</v>
      </c>
      <c r="D2397" s="41">
        <v>5881.33</v>
      </c>
      <c r="E2397" s="41">
        <v>5884.9859999999999</v>
      </c>
      <c r="F2397" s="41">
        <v>5878.7179999999998</v>
      </c>
      <c r="G2397" s="41">
        <v>5883.9409999999998</v>
      </c>
      <c r="H2397" s="41">
        <v>1501357859.22</v>
      </c>
      <c r="I2397" s="42">
        <v>5105</v>
      </c>
    </row>
    <row r="2398" spans="1:9" x14ac:dyDescent="0.25">
      <c r="A2398" t="s">
        <v>9</v>
      </c>
      <c r="B2398" s="39">
        <v>45790</v>
      </c>
      <c r="C2398" s="40">
        <v>0.70833333333333337</v>
      </c>
      <c r="D2398" s="41">
        <v>5882.8969999999999</v>
      </c>
      <c r="E2398" s="41">
        <v>5884.4629999999997</v>
      </c>
      <c r="F2398" s="41">
        <v>5878.7179999999998</v>
      </c>
      <c r="G2398" s="41">
        <v>5881.8519999999999</v>
      </c>
      <c r="H2398" s="41">
        <v>1413153582.1300001</v>
      </c>
      <c r="I2398" s="42">
        <v>4805</v>
      </c>
    </row>
    <row r="2399" spans="1:9" x14ac:dyDescent="0.25">
      <c r="A2399" t="s">
        <v>9</v>
      </c>
      <c r="B2399" s="39">
        <v>45790</v>
      </c>
      <c r="C2399" s="40">
        <v>0.6875</v>
      </c>
      <c r="D2399" s="41">
        <v>5875.585</v>
      </c>
      <c r="E2399" s="41">
        <v>5882.8969999999999</v>
      </c>
      <c r="F2399" s="41">
        <v>5875.585</v>
      </c>
      <c r="G2399" s="41">
        <v>5882.8969999999999</v>
      </c>
      <c r="H2399" s="41">
        <v>1319743406.45</v>
      </c>
      <c r="I2399" s="42">
        <v>4490</v>
      </c>
    </row>
    <row r="2400" spans="1:9" x14ac:dyDescent="0.25">
      <c r="A2400" t="s">
        <v>9</v>
      </c>
      <c r="B2400" s="39">
        <v>45790</v>
      </c>
      <c r="C2400" s="40">
        <v>0.66666666666666663</v>
      </c>
      <c r="D2400" s="41">
        <v>5870.884</v>
      </c>
      <c r="E2400" s="41">
        <v>5878.1959999999999</v>
      </c>
      <c r="F2400" s="41">
        <v>5869.317</v>
      </c>
      <c r="G2400" s="41">
        <v>5875.585</v>
      </c>
      <c r="H2400" s="41">
        <v>4420103377.4499998</v>
      </c>
      <c r="I2400" s="42">
        <v>15045</v>
      </c>
    </row>
    <row r="2401" spans="1:9" x14ac:dyDescent="0.25">
      <c r="A2401" t="s">
        <v>9</v>
      </c>
      <c r="B2401" s="39">
        <v>45790</v>
      </c>
      <c r="C2401" s="40">
        <v>0.64583333333333337</v>
      </c>
      <c r="D2401" s="41">
        <v>5874.54</v>
      </c>
      <c r="E2401" s="41">
        <v>5877.674</v>
      </c>
      <c r="F2401" s="41">
        <v>5869.317</v>
      </c>
      <c r="G2401" s="41">
        <v>5870.884</v>
      </c>
      <c r="H2401" s="41">
        <v>4540465773.9899998</v>
      </c>
      <c r="I2401" s="42">
        <v>15460</v>
      </c>
    </row>
    <row r="2402" spans="1:9" x14ac:dyDescent="0.25">
      <c r="A2402" t="s">
        <v>9</v>
      </c>
      <c r="B2402" s="39">
        <v>45790</v>
      </c>
      <c r="C2402" s="40">
        <v>0.625</v>
      </c>
      <c r="D2402" s="41">
        <v>5886.03</v>
      </c>
      <c r="E2402" s="41">
        <v>5889.1639999999998</v>
      </c>
      <c r="F2402" s="41">
        <v>5872.451</v>
      </c>
      <c r="G2402" s="41">
        <v>5874.018</v>
      </c>
      <c r="H2402" s="41">
        <v>5175560201.9399996</v>
      </c>
      <c r="I2402" s="42">
        <v>17600</v>
      </c>
    </row>
    <row r="2403" spans="1:9" x14ac:dyDescent="0.25">
      <c r="A2403" t="s">
        <v>9</v>
      </c>
      <c r="B2403" s="39">
        <v>45790</v>
      </c>
      <c r="C2403" s="40">
        <v>0.60416666666666663</v>
      </c>
      <c r="D2403" s="41">
        <v>5883.4189999999999</v>
      </c>
      <c r="E2403" s="41">
        <v>5888.1189999999997</v>
      </c>
      <c r="F2403" s="41">
        <v>5881.33</v>
      </c>
      <c r="G2403" s="41">
        <v>5886.5519999999997</v>
      </c>
      <c r="H2403" s="41">
        <v>2399522059.3299999</v>
      </c>
      <c r="I2403" s="42">
        <v>8155</v>
      </c>
    </row>
    <row r="2404" spans="1:9" x14ac:dyDescent="0.25">
      <c r="A2404" t="s">
        <v>9</v>
      </c>
      <c r="B2404" s="39">
        <v>45790</v>
      </c>
      <c r="C2404" s="40">
        <v>0.58333333333333337</v>
      </c>
      <c r="D2404" s="41">
        <v>5884.9859999999999</v>
      </c>
      <c r="E2404" s="41">
        <v>5892.82</v>
      </c>
      <c r="F2404" s="41">
        <v>5883.4189999999999</v>
      </c>
      <c r="G2404" s="41">
        <v>5883.9409999999998</v>
      </c>
      <c r="H2404" s="41">
        <v>2791158894.48</v>
      </c>
      <c r="I2404" s="42">
        <v>9480</v>
      </c>
    </row>
    <row r="2405" spans="1:9" x14ac:dyDescent="0.25">
      <c r="A2405" t="s">
        <v>9</v>
      </c>
      <c r="B2405" s="39">
        <v>45790</v>
      </c>
      <c r="C2405" s="40">
        <v>0.5625</v>
      </c>
      <c r="D2405" s="41">
        <v>5888.6419999999998</v>
      </c>
      <c r="E2405" s="41">
        <v>5890.2079999999996</v>
      </c>
      <c r="F2405" s="41">
        <v>5880.2849999999999</v>
      </c>
      <c r="G2405" s="41">
        <v>5886.03</v>
      </c>
      <c r="H2405" s="41">
        <v>3003889137.98</v>
      </c>
      <c r="I2405" s="42">
        <v>10210</v>
      </c>
    </row>
    <row r="2406" spans="1:9" x14ac:dyDescent="0.25">
      <c r="A2406" t="s">
        <v>9</v>
      </c>
      <c r="B2406" s="39">
        <v>45790</v>
      </c>
      <c r="C2406" s="40">
        <v>0.54166666666666663</v>
      </c>
      <c r="D2406" s="41">
        <v>5878.7179999999998</v>
      </c>
      <c r="E2406" s="41">
        <v>5890.2079999999996</v>
      </c>
      <c r="F2406" s="41">
        <v>5875.585</v>
      </c>
      <c r="G2406" s="41">
        <v>5888.6419999999998</v>
      </c>
      <c r="H2406" s="41">
        <v>3270528915.3899999</v>
      </c>
      <c r="I2406" s="42">
        <v>11120</v>
      </c>
    </row>
    <row r="2407" spans="1:9" x14ac:dyDescent="0.25">
      <c r="A2407" t="s">
        <v>9</v>
      </c>
      <c r="B2407" s="39">
        <v>45790</v>
      </c>
      <c r="C2407" s="40">
        <v>0.52083333333333337</v>
      </c>
      <c r="D2407" s="41">
        <v>5887.0749999999998</v>
      </c>
      <c r="E2407" s="41">
        <v>5887.5969999999998</v>
      </c>
      <c r="F2407" s="41">
        <v>5875.0619999999999</v>
      </c>
      <c r="G2407" s="41">
        <v>5878.1959999999999</v>
      </c>
      <c r="H2407" s="41">
        <v>3521514568.4099998</v>
      </c>
      <c r="I2407" s="42">
        <v>11980</v>
      </c>
    </row>
    <row r="2408" spans="1:9" x14ac:dyDescent="0.25">
      <c r="A2408" t="s">
        <v>9</v>
      </c>
      <c r="B2408" s="39">
        <v>45790</v>
      </c>
      <c r="C2408" s="40">
        <v>0.5</v>
      </c>
      <c r="D2408" s="41">
        <v>5904.8320000000003</v>
      </c>
      <c r="E2408" s="41">
        <v>5906.3990000000003</v>
      </c>
      <c r="F2408" s="41">
        <v>5882.3739999999998</v>
      </c>
      <c r="G2408" s="41">
        <v>5886.03</v>
      </c>
      <c r="H2408" s="41">
        <v>5272188239.4899998</v>
      </c>
      <c r="I2408" s="42">
        <v>17890</v>
      </c>
    </row>
    <row r="2409" spans="1:9" x14ac:dyDescent="0.25">
      <c r="A2409" t="s">
        <v>9</v>
      </c>
      <c r="B2409" s="39">
        <v>45790</v>
      </c>
      <c r="C2409" s="40">
        <v>0.47916666666666669</v>
      </c>
      <c r="D2409" s="41">
        <v>5901.1760000000004</v>
      </c>
      <c r="E2409" s="41">
        <v>5907.9660000000003</v>
      </c>
      <c r="F2409" s="41">
        <v>5899.0870000000004</v>
      </c>
      <c r="G2409" s="41">
        <v>5906.3990000000003</v>
      </c>
      <c r="H2409" s="41">
        <v>3398774126.9000001</v>
      </c>
      <c r="I2409" s="42">
        <v>11515</v>
      </c>
    </row>
    <row r="2410" spans="1:9" x14ac:dyDescent="0.25">
      <c r="A2410" t="s">
        <v>9</v>
      </c>
      <c r="B2410" s="39">
        <v>45790</v>
      </c>
      <c r="C2410" s="40">
        <v>0.45833333333333331</v>
      </c>
      <c r="D2410" s="41">
        <v>5910.5770000000002</v>
      </c>
      <c r="E2410" s="41">
        <v>5917.3670000000002</v>
      </c>
      <c r="F2410" s="41">
        <v>5900.1319999999996</v>
      </c>
      <c r="G2410" s="41">
        <v>5901.6980000000003</v>
      </c>
      <c r="H2410" s="41">
        <v>6631215282.7799997</v>
      </c>
      <c r="I2410" s="42">
        <v>22435</v>
      </c>
    </row>
    <row r="2411" spans="1:9" x14ac:dyDescent="0.25">
      <c r="A2411" t="s">
        <v>9</v>
      </c>
      <c r="B2411" s="39">
        <v>45790</v>
      </c>
      <c r="C2411" s="40">
        <v>0.4375</v>
      </c>
      <c r="D2411" s="41">
        <v>5911.0990000000002</v>
      </c>
      <c r="E2411" s="41">
        <v>5914.7550000000001</v>
      </c>
      <c r="F2411" s="41">
        <v>5898.5649999999996</v>
      </c>
      <c r="G2411" s="41">
        <v>5910.5770000000002</v>
      </c>
      <c r="H2411" s="41">
        <v>6083838633.5100002</v>
      </c>
      <c r="I2411" s="42">
        <v>20600</v>
      </c>
    </row>
    <row r="2412" spans="1:9" x14ac:dyDescent="0.25">
      <c r="A2412" t="s">
        <v>9</v>
      </c>
      <c r="B2412" s="39">
        <v>45790</v>
      </c>
      <c r="C2412" s="40">
        <v>0.41666666666666669</v>
      </c>
      <c r="D2412" s="41">
        <v>5915.8</v>
      </c>
      <c r="E2412" s="41">
        <v>5919.9780000000001</v>
      </c>
      <c r="F2412" s="41">
        <v>5907.9660000000003</v>
      </c>
      <c r="G2412" s="41">
        <v>5911.6220000000003</v>
      </c>
      <c r="H2412" s="41">
        <v>8996219587.8500004</v>
      </c>
      <c r="I2412" s="42">
        <v>30420</v>
      </c>
    </row>
    <row r="2413" spans="1:9" x14ac:dyDescent="0.25">
      <c r="A2413" t="s">
        <v>9</v>
      </c>
      <c r="B2413" s="39">
        <v>45790</v>
      </c>
      <c r="C2413" s="40">
        <v>0.39583333333333331</v>
      </c>
      <c r="D2413" s="41">
        <v>5928.857</v>
      </c>
      <c r="E2413" s="41">
        <v>5931.4679999999998</v>
      </c>
      <c r="F2413" s="41">
        <v>5915.2780000000002</v>
      </c>
      <c r="G2413" s="41">
        <v>5916.3220000000001</v>
      </c>
      <c r="H2413" s="41">
        <v>7094075563.6099997</v>
      </c>
      <c r="I2413" s="42">
        <v>23955</v>
      </c>
    </row>
    <row r="2414" spans="1:9" x14ac:dyDescent="0.25">
      <c r="A2414" t="s">
        <v>9</v>
      </c>
      <c r="B2414" s="39">
        <v>45790</v>
      </c>
      <c r="C2414" s="40">
        <v>0.375</v>
      </c>
      <c r="D2414" s="41">
        <v>5943.48</v>
      </c>
      <c r="E2414" s="41">
        <v>5952.8810000000003</v>
      </c>
      <c r="F2414" s="41">
        <v>5927.29</v>
      </c>
      <c r="G2414" s="41">
        <v>5934.0789999999997</v>
      </c>
      <c r="H2414" s="41">
        <v>4143372609.7800002</v>
      </c>
      <c r="I2414" s="42">
        <v>13955</v>
      </c>
    </row>
    <row r="2415" spans="1:9" x14ac:dyDescent="0.25">
      <c r="A2415" t="s">
        <v>9</v>
      </c>
      <c r="B2415" s="39">
        <v>45789</v>
      </c>
      <c r="C2415" s="40">
        <v>0.75</v>
      </c>
      <c r="D2415" s="41">
        <v>5956.0150000000003</v>
      </c>
      <c r="E2415" s="41">
        <v>5956.5370000000003</v>
      </c>
      <c r="F2415" s="41">
        <v>5949.2250000000004</v>
      </c>
      <c r="G2415" s="41">
        <v>5951.8370000000004</v>
      </c>
      <c r="H2415" s="41">
        <v>503120962.11000001</v>
      </c>
      <c r="I2415" s="42">
        <v>1690</v>
      </c>
    </row>
    <row r="2416" spans="1:9" x14ac:dyDescent="0.25">
      <c r="A2416" t="s">
        <v>9</v>
      </c>
      <c r="B2416" s="39">
        <v>45789</v>
      </c>
      <c r="C2416" s="40">
        <v>0.72916666666666663</v>
      </c>
      <c r="D2416" s="41">
        <v>5959.6710000000003</v>
      </c>
      <c r="E2416" s="41">
        <v>5962.2820000000002</v>
      </c>
      <c r="F2416" s="41">
        <v>5955.4930000000004</v>
      </c>
      <c r="G2416" s="41">
        <v>5956.0150000000003</v>
      </c>
      <c r="H2416" s="41">
        <v>1090613622.72</v>
      </c>
      <c r="I2416" s="42">
        <v>3660</v>
      </c>
    </row>
    <row r="2417" spans="1:9" x14ac:dyDescent="0.25">
      <c r="A2417" t="s">
        <v>9</v>
      </c>
      <c r="B2417" s="39">
        <v>45789</v>
      </c>
      <c r="C2417" s="40">
        <v>0.70833333333333337</v>
      </c>
      <c r="D2417" s="41">
        <v>5963.3270000000002</v>
      </c>
      <c r="E2417" s="41">
        <v>5965.9380000000001</v>
      </c>
      <c r="F2417" s="41">
        <v>5959.6710000000003</v>
      </c>
      <c r="G2417" s="41">
        <v>5960.7150000000001</v>
      </c>
      <c r="H2417" s="41">
        <v>1989998377.6199999</v>
      </c>
      <c r="I2417" s="42">
        <v>6675</v>
      </c>
    </row>
    <row r="2418" spans="1:9" x14ac:dyDescent="0.25">
      <c r="A2418" t="s">
        <v>9</v>
      </c>
      <c r="B2418" s="39">
        <v>45789</v>
      </c>
      <c r="C2418" s="40">
        <v>0.6875</v>
      </c>
      <c r="D2418" s="41">
        <v>5966.46</v>
      </c>
      <c r="E2418" s="41">
        <v>5968.027</v>
      </c>
      <c r="F2418" s="41">
        <v>5958.6260000000002</v>
      </c>
      <c r="G2418" s="41">
        <v>5963.8490000000002</v>
      </c>
      <c r="H2418" s="41">
        <v>3031708072.8699999</v>
      </c>
      <c r="I2418" s="42">
        <v>10170</v>
      </c>
    </row>
    <row r="2419" spans="1:9" x14ac:dyDescent="0.25">
      <c r="A2419" t="s">
        <v>9</v>
      </c>
      <c r="B2419" s="39">
        <v>45789</v>
      </c>
      <c r="C2419" s="40">
        <v>0.66666666666666663</v>
      </c>
      <c r="D2419" s="41">
        <v>5973.7719999999999</v>
      </c>
      <c r="E2419" s="41">
        <v>5975.3389999999999</v>
      </c>
      <c r="F2419" s="41">
        <v>5965.9380000000001</v>
      </c>
      <c r="G2419" s="41">
        <v>5966.46</v>
      </c>
      <c r="H2419" s="41">
        <v>1959242172.6700001</v>
      </c>
      <c r="I2419" s="42">
        <v>6565</v>
      </c>
    </row>
    <row r="2420" spans="1:9" x14ac:dyDescent="0.25">
      <c r="A2420" t="s">
        <v>9</v>
      </c>
      <c r="B2420" s="39">
        <v>45789</v>
      </c>
      <c r="C2420" s="40">
        <v>0.64583333333333337</v>
      </c>
      <c r="D2420" s="41">
        <v>5983.1729999999998</v>
      </c>
      <c r="E2420" s="41">
        <v>5985.7849999999999</v>
      </c>
      <c r="F2420" s="41">
        <v>5971.683</v>
      </c>
      <c r="G2420" s="41">
        <v>5974.2939999999999</v>
      </c>
      <c r="H2420" s="41">
        <v>3811465662.7199998</v>
      </c>
      <c r="I2420" s="42">
        <v>12750</v>
      </c>
    </row>
    <row r="2421" spans="1:9" x14ac:dyDescent="0.25">
      <c r="A2421" t="s">
        <v>9</v>
      </c>
      <c r="B2421" s="39">
        <v>45789</v>
      </c>
      <c r="C2421" s="40">
        <v>0.625</v>
      </c>
      <c r="D2421" s="41">
        <v>5981.6059999999998</v>
      </c>
      <c r="E2421" s="41">
        <v>5988.3959999999997</v>
      </c>
      <c r="F2421" s="41">
        <v>5981.0839999999998</v>
      </c>
      <c r="G2421" s="41">
        <v>5982.6509999999998</v>
      </c>
      <c r="H2421" s="41">
        <v>2098893852.5599999</v>
      </c>
      <c r="I2421" s="42">
        <v>7015</v>
      </c>
    </row>
    <row r="2422" spans="1:9" x14ac:dyDescent="0.25">
      <c r="A2422" t="s">
        <v>9</v>
      </c>
      <c r="B2422" s="39">
        <v>45789</v>
      </c>
      <c r="C2422" s="40">
        <v>0.60416666666666663</v>
      </c>
      <c r="D2422" s="41">
        <v>5977.4279999999999</v>
      </c>
      <c r="E2422" s="41">
        <v>5983.6949999999997</v>
      </c>
      <c r="F2422" s="41">
        <v>5977.4279999999999</v>
      </c>
      <c r="G2422" s="41">
        <v>5982.1289999999999</v>
      </c>
      <c r="H2422" s="41">
        <v>3356022850.5500002</v>
      </c>
      <c r="I2422" s="42">
        <v>11225</v>
      </c>
    </row>
    <row r="2423" spans="1:9" x14ac:dyDescent="0.25">
      <c r="A2423" t="s">
        <v>9</v>
      </c>
      <c r="B2423" s="39">
        <v>45789</v>
      </c>
      <c r="C2423" s="40">
        <v>0.58333333333333337</v>
      </c>
      <c r="D2423" s="41">
        <v>5973.25</v>
      </c>
      <c r="E2423" s="41">
        <v>5977.4279999999999</v>
      </c>
      <c r="F2423" s="41">
        <v>5971.683</v>
      </c>
      <c r="G2423" s="41">
        <v>5976.9059999999999</v>
      </c>
      <c r="H2423" s="41">
        <v>1743064919.5</v>
      </c>
      <c r="I2423" s="42">
        <v>5835</v>
      </c>
    </row>
    <row r="2424" spans="1:9" x14ac:dyDescent="0.25">
      <c r="A2424" t="s">
        <v>9</v>
      </c>
      <c r="B2424" s="39">
        <v>45789</v>
      </c>
      <c r="C2424" s="40">
        <v>0.5625</v>
      </c>
      <c r="D2424" s="41">
        <v>5969.0720000000001</v>
      </c>
      <c r="E2424" s="41">
        <v>5974.2939999999999</v>
      </c>
      <c r="F2424" s="41">
        <v>5962.2820000000002</v>
      </c>
      <c r="G2424" s="41">
        <v>5973.7719999999999</v>
      </c>
      <c r="H2424" s="41">
        <v>3391046819.0799999</v>
      </c>
      <c r="I2424" s="42">
        <v>11365</v>
      </c>
    </row>
    <row r="2425" spans="1:9" x14ac:dyDescent="0.25">
      <c r="A2425" t="s">
        <v>9</v>
      </c>
      <c r="B2425" s="39">
        <v>45789</v>
      </c>
      <c r="C2425" s="40">
        <v>0.54166666666666663</v>
      </c>
      <c r="D2425" s="41">
        <v>5965.4160000000002</v>
      </c>
      <c r="E2425" s="41">
        <v>5971.1610000000001</v>
      </c>
      <c r="F2425" s="41">
        <v>5964.8940000000002</v>
      </c>
      <c r="G2425" s="41">
        <v>5969.0720000000001</v>
      </c>
      <c r="H2425" s="41">
        <v>1177341169.53</v>
      </c>
      <c r="I2425" s="42">
        <v>3945</v>
      </c>
    </row>
    <row r="2426" spans="1:9" x14ac:dyDescent="0.25">
      <c r="A2426" t="s">
        <v>9</v>
      </c>
      <c r="B2426" s="39">
        <v>45789</v>
      </c>
      <c r="C2426" s="40">
        <v>0.52083333333333337</v>
      </c>
      <c r="D2426" s="41">
        <v>5971.683</v>
      </c>
      <c r="E2426" s="41">
        <v>5972.7280000000001</v>
      </c>
      <c r="F2426" s="41">
        <v>5964.3710000000001</v>
      </c>
      <c r="G2426" s="41">
        <v>5966.46</v>
      </c>
      <c r="H2426" s="41">
        <v>2179942450.9299998</v>
      </c>
      <c r="I2426" s="42">
        <v>7305</v>
      </c>
    </row>
    <row r="2427" spans="1:9" x14ac:dyDescent="0.25">
      <c r="A2427" t="s">
        <v>9</v>
      </c>
      <c r="B2427" s="39">
        <v>45789</v>
      </c>
      <c r="C2427" s="40">
        <v>0.5</v>
      </c>
      <c r="D2427" s="41">
        <v>5963.8490000000002</v>
      </c>
      <c r="E2427" s="41">
        <v>5973.25</v>
      </c>
      <c r="F2427" s="41">
        <v>5961.76</v>
      </c>
      <c r="G2427" s="41">
        <v>5973.25</v>
      </c>
      <c r="H2427" s="41">
        <v>4755954278.0699997</v>
      </c>
      <c r="I2427" s="42">
        <v>15940</v>
      </c>
    </row>
    <row r="2428" spans="1:9" x14ac:dyDescent="0.25">
      <c r="A2428" t="s">
        <v>9</v>
      </c>
      <c r="B2428" s="39">
        <v>45789</v>
      </c>
      <c r="C2428" s="40">
        <v>0.47916666666666669</v>
      </c>
      <c r="D2428" s="41">
        <v>5977.4279999999999</v>
      </c>
      <c r="E2428" s="41">
        <v>5977.95</v>
      </c>
      <c r="F2428" s="41">
        <v>5962.8040000000001</v>
      </c>
      <c r="G2428" s="41">
        <v>5963.8490000000002</v>
      </c>
      <c r="H2428" s="41">
        <v>4746278495.8100004</v>
      </c>
      <c r="I2428" s="42">
        <v>15900</v>
      </c>
    </row>
    <row r="2429" spans="1:9" x14ac:dyDescent="0.25">
      <c r="A2429" t="s">
        <v>9</v>
      </c>
      <c r="B2429" s="39">
        <v>45789</v>
      </c>
      <c r="C2429" s="40">
        <v>0.45833333333333331</v>
      </c>
      <c r="D2429" s="41">
        <v>5957.5820000000003</v>
      </c>
      <c r="E2429" s="41">
        <v>5977.4279999999999</v>
      </c>
      <c r="F2429" s="41">
        <v>5953.9260000000004</v>
      </c>
      <c r="G2429" s="41">
        <v>5976.9059999999999</v>
      </c>
      <c r="H2429" s="41">
        <v>4320830412.8199997</v>
      </c>
      <c r="I2429" s="42">
        <v>14485</v>
      </c>
    </row>
    <row r="2430" spans="1:9" x14ac:dyDescent="0.25">
      <c r="A2430" t="s">
        <v>9</v>
      </c>
      <c r="B2430" s="39">
        <v>45789</v>
      </c>
      <c r="C2430" s="40">
        <v>0.4375</v>
      </c>
      <c r="D2430" s="41">
        <v>5954.97</v>
      </c>
      <c r="E2430" s="41">
        <v>5964.3710000000001</v>
      </c>
      <c r="F2430" s="41">
        <v>5940.3469999999998</v>
      </c>
      <c r="G2430" s="41">
        <v>5957.5820000000003</v>
      </c>
      <c r="H2430" s="41">
        <v>3979172998.2800002</v>
      </c>
      <c r="I2430" s="42">
        <v>13370</v>
      </c>
    </row>
    <row r="2431" spans="1:9" x14ac:dyDescent="0.25">
      <c r="A2431" t="s">
        <v>9</v>
      </c>
      <c r="B2431" s="39">
        <v>45789</v>
      </c>
      <c r="C2431" s="40">
        <v>0.41666666666666669</v>
      </c>
      <c r="D2431" s="41">
        <v>5957.0590000000002</v>
      </c>
      <c r="E2431" s="41">
        <v>5959.6710000000003</v>
      </c>
      <c r="F2431" s="41">
        <v>5946.6139999999996</v>
      </c>
      <c r="G2431" s="41">
        <v>5954.4480000000003</v>
      </c>
      <c r="H2431" s="41">
        <v>3009216595.8800001</v>
      </c>
      <c r="I2431" s="42">
        <v>10110</v>
      </c>
    </row>
    <row r="2432" spans="1:9" x14ac:dyDescent="0.25">
      <c r="A2432" t="s">
        <v>9</v>
      </c>
      <c r="B2432" s="39">
        <v>45789</v>
      </c>
      <c r="C2432" s="40">
        <v>0.39583333333333331</v>
      </c>
      <c r="D2432" s="41">
        <v>5974.2939999999999</v>
      </c>
      <c r="E2432" s="41">
        <v>5976.384</v>
      </c>
      <c r="F2432" s="41">
        <v>5954.97</v>
      </c>
      <c r="G2432" s="41">
        <v>5957.0590000000002</v>
      </c>
      <c r="H2432" s="41">
        <v>4764799644.3800001</v>
      </c>
      <c r="I2432" s="42">
        <v>15980</v>
      </c>
    </row>
    <row r="2433" spans="1:9" x14ac:dyDescent="0.25">
      <c r="A2433" t="s">
        <v>9</v>
      </c>
      <c r="B2433" s="39">
        <v>45789</v>
      </c>
      <c r="C2433" s="40">
        <v>0.375</v>
      </c>
      <c r="D2433" s="41">
        <v>5953.9260000000004</v>
      </c>
      <c r="E2433" s="41">
        <v>5980.04</v>
      </c>
      <c r="F2433" s="41">
        <v>5942.9579999999996</v>
      </c>
      <c r="G2433" s="41">
        <v>5974.817</v>
      </c>
      <c r="H2433" s="41">
        <v>4788723458.3400002</v>
      </c>
      <c r="I2433" s="42">
        <v>16065</v>
      </c>
    </row>
    <row r="2434" spans="1:9" x14ac:dyDescent="0.25">
      <c r="A2434" t="s">
        <v>9</v>
      </c>
      <c r="B2434" s="39">
        <v>45786</v>
      </c>
      <c r="C2434" s="40">
        <v>0.75</v>
      </c>
      <c r="D2434" s="41">
        <v>5937.2129999999997</v>
      </c>
      <c r="E2434" s="41">
        <v>5937.2129999999997</v>
      </c>
      <c r="F2434" s="41">
        <v>5927.29</v>
      </c>
      <c r="G2434" s="41">
        <v>5927.29</v>
      </c>
      <c r="H2434" s="41">
        <v>959870112.61000001</v>
      </c>
      <c r="I2434" s="42">
        <v>3235</v>
      </c>
    </row>
    <row r="2435" spans="1:9" x14ac:dyDescent="0.25">
      <c r="A2435" t="s">
        <v>9</v>
      </c>
      <c r="B2435" s="39">
        <v>45786</v>
      </c>
      <c r="C2435" s="40">
        <v>0.72916666666666663</v>
      </c>
      <c r="D2435" s="41">
        <v>5935.6459999999997</v>
      </c>
      <c r="E2435" s="41">
        <v>5938.2579999999998</v>
      </c>
      <c r="F2435" s="41">
        <v>5934.0789999999997</v>
      </c>
      <c r="G2435" s="41">
        <v>5938.2579999999998</v>
      </c>
      <c r="H2435" s="41">
        <v>592001714.85000002</v>
      </c>
      <c r="I2435" s="42">
        <v>1995</v>
      </c>
    </row>
    <row r="2436" spans="1:9" x14ac:dyDescent="0.25">
      <c r="A2436" t="s">
        <v>9</v>
      </c>
      <c r="B2436" s="39">
        <v>45786</v>
      </c>
      <c r="C2436" s="40">
        <v>0.70833333333333337</v>
      </c>
      <c r="D2436" s="41">
        <v>5936.6909999999998</v>
      </c>
      <c r="E2436" s="41">
        <v>5939.3019999999997</v>
      </c>
      <c r="F2436" s="41">
        <v>5934.0789999999997</v>
      </c>
      <c r="G2436" s="41">
        <v>5935.6459999999997</v>
      </c>
      <c r="H2436" s="41">
        <v>869753920.26999998</v>
      </c>
      <c r="I2436" s="42">
        <v>2930</v>
      </c>
    </row>
    <row r="2437" spans="1:9" x14ac:dyDescent="0.25">
      <c r="A2437" t="s">
        <v>9</v>
      </c>
      <c r="B2437" s="39">
        <v>45786</v>
      </c>
      <c r="C2437" s="40">
        <v>0.6875</v>
      </c>
      <c r="D2437" s="41">
        <v>5937.2129999999997</v>
      </c>
      <c r="E2437" s="41">
        <v>5937.2129999999997</v>
      </c>
      <c r="F2437" s="41">
        <v>5931.4679999999998</v>
      </c>
      <c r="G2437" s="41">
        <v>5937.2129999999997</v>
      </c>
      <c r="H2437" s="41">
        <v>3539425047.8800001</v>
      </c>
      <c r="I2437" s="42">
        <v>11930</v>
      </c>
    </row>
    <row r="2438" spans="1:9" x14ac:dyDescent="0.25">
      <c r="A2438" t="s">
        <v>9</v>
      </c>
      <c r="B2438" s="39">
        <v>45786</v>
      </c>
      <c r="C2438" s="40">
        <v>0.66666666666666663</v>
      </c>
      <c r="D2438" s="41">
        <v>5932.5129999999999</v>
      </c>
      <c r="E2438" s="41">
        <v>5938.78</v>
      </c>
      <c r="F2438" s="41">
        <v>5931.99</v>
      </c>
      <c r="G2438" s="41">
        <v>5936.6909999999998</v>
      </c>
      <c r="H2438" s="41">
        <v>3068891775.75</v>
      </c>
      <c r="I2438" s="42">
        <v>10340</v>
      </c>
    </row>
    <row r="2439" spans="1:9" x14ac:dyDescent="0.25">
      <c r="A2439" t="s">
        <v>9</v>
      </c>
      <c r="B2439" s="39">
        <v>45786</v>
      </c>
      <c r="C2439" s="40">
        <v>0.64583333333333337</v>
      </c>
      <c r="D2439" s="41">
        <v>5925.201</v>
      </c>
      <c r="E2439" s="41">
        <v>5936.1679999999997</v>
      </c>
      <c r="F2439" s="41">
        <v>5923.1120000000001</v>
      </c>
      <c r="G2439" s="41">
        <v>5932.5129999999999</v>
      </c>
      <c r="H2439" s="41">
        <v>3711149847.0999999</v>
      </c>
      <c r="I2439" s="42">
        <v>12520</v>
      </c>
    </row>
    <row r="2440" spans="1:9" x14ac:dyDescent="0.25">
      <c r="A2440" t="s">
        <v>9</v>
      </c>
      <c r="B2440" s="39">
        <v>45786</v>
      </c>
      <c r="C2440" s="40">
        <v>0.625</v>
      </c>
      <c r="D2440" s="41">
        <v>5933.5569999999998</v>
      </c>
      <c r="E2440" s="41">
        <v>5934.0789999999997</v>
      </c>
      <c r="F2440" s="41">
        <v>5925.201</v>
      </c>
      <c r="G2440" s="41">
        <v>5925.723</v>
      </c>
      <c r="H2440" s="41">
        <v>3929618839.4299998</v>
      </c>
      <c r="I2440" s="42">
        <v>13250</v>
      </c>
    </row>
    <row r="2441" spans="1:9" x14ac:dyDescent="0.25">
      <c r="A2441" t="s">
        <v>9</v>
      </c>
      <c r="B2441" s="39">
        <v>45786</v>
      </c>
      <c r="C2441" s="40">
        <v>0.60416666666666663</v>
      </c>
      <c r="D2441" s="41">
        <v>5933.0349999999999</v>
      </c>
      <c r="E2441" s="41">
        <v>5938.78</v>
      </c>
      <c r="F2441" s="41">
        <v>5928.857</v>
      </c>
      <c r="G2441" s="41">
        <v>5933.5569999999998</v>
      </c>
      <c r="H2441" s="41">
        <v>1372221386.8</v>
      </c>
      <c r="I2441" s="42">
        <v>4625</v>
      </c>
    </row>
    <row r="2442" spans="1:9" x14ac:dyDescent="0.25">
      <c r="A2442" t="s">
        <v>9</v>
      </c>
      <c r="B2442" s="39">
        <v>45786</v>
      </c>
      <c r="C2442" s="40">
        <v>0.58333333333333337</v>
      </c>
      <c r="D2442" s="41">
        <v>5930.4229999999998</v>
      </c>
      <c r="E2442" s="41">
        <v>5937.2129999999997</v>
      </c>
      <c r="F2442" s="41">
        <v>5929.3789999999999</v>
      </c>
      <c r="G2442" s="41">
        <v>5933.0349999999999</v>
      </c>
      <c r="H2442" s="41">
        <v>3342324904.1599998</v>
      </c>
      <c r="I2442" s="42">
        <v>11270</v>
      </c>
    </row>
    <row r="2443" spans="1:9" x14ac:dyDescent="0.25">
      <c r="A2443" t="s">
        <v>9</v>
      </c>
      <c r="B2443" s="39">
        <v>45786</v>
      </c>
      <c r="C2443" s="40">
        <v>0.5625</v>
      </c>
      <c r="D2443" s="41">
        <v>5927.29</v>
      </c>
      <c r="E2443" s="41">
        <v>5935.1239999999998</v>
      </c>
      <c r="F2443" s="41">
        <v>5927.29</v>
      </c>
      <c r="G2443" s="41">
        <v>5930.4229999999998</v>
      </c>
      <c r="H2443" s="41">
        <v>1973589175.3199999</v>
      </c>
      <c r="I2443" s="42">
        <v>6655</v>
      </c>
    </row>
    <row r="2444" spans="1:9" x14ac:dyDescent="0.25">
      <c r="A2444" t="s">
        <v>9</v>
      </c>
      <c r="B2444" s="39">
        <v>45786</v>
      </c>
      <c r="C2444" s="40">
        <v>0.54166666666666663</v>
      </c>
      <c r="D2444" s="41">
        <v>5926.2449999999999</v>
      </c>
      <c r="E2444" s="41">
        <v>5931.99</v>
      </c>
      <c r="F2444" s="41">
        <v>5924.6779999999999</v>
      </c>
      <c r="G2444" s="41">
        <v>5927.29</v>
      </c>
      <c r="H2444" s="41">
        <v>2043939900.8299999</v>
      </c>
      <c r="I2444" s="42">
        <v>6895</v>
      </c>
    </row>
    <row r="2445" spans="1:9" x14ac:dyDescent="0.25">
      <c r="A2445" t="s">
        <v>9</v>
      </c>
      <c r="B2445" s="39">
        <v>45786</v>
      </c>
      <c r="C2445" s="40">
        <v>0.52083333333333337</v>
      </c>
      <c r="D2445" s="41">
        <v>5922.067</v>
      </c>
      <c r="E2445" s="41">
        <v>5928.857</v>
      </c>
      <c r="F2445" s="41">
        <v>5921.5450000000001</v>
      </c>
      <c r="G2445" s="41">
        <v>5926.2449999999999</v>
      </c>
      <c r="H2445" s="41">
        <v>2128972145.6099999</v>
      </c>
      <c r="I2445" s="42">
        <v>7185</v>
      </c>
    </row>
    <row r="2446" spans="1:9" x14ac:dyDescent="0.25">
      <c r="A2446" t="s">
        <v>9</v>
      </c>
      <c r="B2446" s="39">
        <v>45786</v>
      </c>
      <c r="C2446" s="40">
        <v>0.5</v>
      </c>
      <c r="D2446" s="41">
        <v>5928.3339999999998</v>
      </c>
      <c r="E2446" s="41">
        <v>5939.3019999999997</v>
      </c>
      <c r="F2446" s="41">
        <v>5918.933</v>
      </c>
      <c r="G2446" s="41">
        <v>5922.5889999999999</v>
      </c>
      <c r="H2446" s="41">
        <v>8129812400.6099997</v>
      </c>
      <c r="I2446" s="42">
        <v>27425</v>
      </c>
    </row>
    <row r="2447" spans="1:9" x14ac:dyDescent="0.25">
      <c r="A2447" t="s">
        <v>9</v>
      </c>
      <c r="B2447" s="39">
        <v>45786</v>
      </c>
      <c r="C2447" s="40">
        <v>0.47916666666666669</v>
      </c>
      <c r="D2447" s="41">
        <v>5934.0789999999997</v>
      </c>
      <c r="E2447" s="41">
        <v>5939.3019999999997</v>
      </c>
      <c r="F2447" s="41">
        <v>5927.29</v>
      </c>
      <c r="G2447" s="41">
        <v>5928.3339999999998</v>
      </c>
      <c r="H2447" s="41">
        <v>3659950002.27</v>
      </c>
      <c r="I2447" s="42">
        <v>12335</v>
      </c>
    </row>
    <row r="2448" spans="1:9" x14ac:dyDescent="0.25">
      <c r="A2448" t="s">
        <v>9</v>
      </c>
      <c r="B2448" s="39">
        <v>45786</v>
      </c>
      <c r="C2448" s="40">
        <v>0.45833333333333331</v>
      </c>
      <c r="D2448" s="41">
        <v>5937.7349999999997</v>
      </c>
      <c r="E2448" s="41">
        <v>5942.9579999999996</v>
      </c>
      <c r="F2448" s="41">
        <v>5929.9009999999998</v>
      </c>
      <c r="G2448" s="41">
        <v>5934.0789999999997</v>
      </c>
      <c r="H2448" s="41">
        <v>4084145932.8800001</v>
      </c>
      <c r="I2448" s="42">
        <v>13760</v>
      </c>
    </row>
    <row r="2449" spans="1:9" x14ac:dyDescent="0.25">
      <c r="A2449" t="s">
        <v>9</v>
      </c>
      <c r="B2449" s="39">
        <v>45786</v>
      </c>
      <c r="C2449" s="40">
        <v>0.4375</v>
      </c>
      <c r="D2449" s="41">
        <v>5947.6589999999997</v>
      </c>
      <c r="E2449" s="41">
        <v>5950.7920000000004</v>
      </c>
      <c r="F2449" s="41">
        <v>5934.6019999999999</v>
      </c>
      <c r="G2449" s="41">
        <v>5938.2579999999998</v>
      </c>
      <c r="H2449" s="41">
        <v>2958463295.4899998</v>
      </c>
      <c r="I2449" s="42">
        <v>9960</v>
      </c>
    </row>
    <row r="2450" spans="1:9" x14ac:dyDescent="0.25">
      <c r="A2450" t="s">
        <v>9</v>
      </c>
      <c r="B2450" s="39">
        <v>45786</v>
      </c>
      <c r="C2450" s="40">
        <v>0.41666666666666669</v>
      </c>
      <c r="D2450" s="41">
        <v>5938.78</v>
      </c>
      <c r="E2450" s="41">
        <v>5951.3140000000003</v>
      </c>
      <c r="F2450" s="41">
        <v>5935.1239999999998</v>
      </c>
      <c r="G2450" s="41">
        <v>5948.1809999999996</v>
      </c>
      <c r="H2450" s="41">
        <v>3245700391.96</v>
      </c>
      <c r="I2450" s="42">
        <v>10920</v>
      </c>
    </row>
    <row r="2451" spans="1:9" x14ac:dyDescent="0.25">
      <c r="A2451" t="s">
        <v>9</v>
      </c>
      <c r="B2451" s="39">
        <v>45786</v>
      </c>
      <c r="C2451" s="40">
        <v>0.39583333333333331</v>
      </c>
      <c r="D2451" s="41">
        <v>5945.5690000000004</v>
      </c>
      <c r="E2451" s="41">
        <v>5951.3140000000003</v>
      </c>
      <c r="F2451" s="41">
        <v>5927.8119999999999</v>
      </c>
      <c r="G2451" s="41">
        <v>5939.3019999999997</v>
      </c>
      <c r="H2451" s="41">
        <v>6447841679.96</v>
      </c>
      <c r="I2451" s="42">
        <v>21715</v>
      </c>
    </row>
    <row r="2452" spans="1:9" x14ac:dyDescent="0.25">
      <c r="A2452" t="s">
        <v>9</v>
      </c>
      <c r="B2452" s="39">
        <v>45786</v>
      </c>
      <c r="C2452" s="40">
        <v>0.375</v>
      </c>
      <c r="D2452" s="41">
        <v>5953.9260000000004</v>
      </c>
      <c r="E2452" s="41">
        <v>5953.9260000000004</v>
      </c>
      <c r="F2452" s="41">
        <v>5932.5129999999999</v>
      </c>
      <c r="G2452" s="41">
        <v>5946.0919999999996</v>
      </c>
      <c r="H2452" s="41">
        <v>4429365387.9899998</v>
      </c>
      <c r="I2452" s="42">
        <v>14905</v>
      </c>
    </row>
    <row r="2453" spans="1:9" x14ac:dyDescent="0.25">
      <c r="A2453" t="s">
        <v>9</v>
      </c>
      <c r="B2453" s="39">
        <v>45785</v>
      </c>
      <c r="C2453" s="40">
        <v>0.75</v>
      </c>
      <c r="D2453" s="41">
        <v>5948.1809999999996</v>
      </c>
      <c r="E2453" s="41">
        <v>5949.7479999999996</v>
      </c>
      <c r="F2453" s="41">
        <v>5942.4359999999997</v>
      </c>
      <c r="G2453" s="41">
        <v>5942.4359999999997</v>
      </c>
      <c r="H2453" s="41">
        <v>597684319.21000004</v>
      </c>
      <c r="I2453" s="42">
        <v>2010</v>
      </c>
    </row>
    <row r="2454" spans="1:9" x14ac:dyDescent="0.25">
      <c r="A2454" t="s">
        <v>9</v>
      </c>
      <c r="B2454" s="39">
        <v>45785</v>
      </c>
      <c r="C2454" s="40">
        <v>0.72916666666666663</v>
      </c>
      <c r="D2454" s="41">
        <v>5952.3590000000004</v>
      </c>
      <c r="E2454" s="41">
        <v>5957.0590000000002</v>
      </c>
      <c r="F2454" s="41">
        <v>5947.1360000000004</v>
      </c>
      <c r="G2454" s="41">
        <v>5947.1360000000004</v>
      </c>
      <c r="H2454" s="41">
        <v>1599963357.4300001</v>
      </c>
      <c r="I2454" s="42">
        <v>5375</v>
      </c>
    </row>
    <row r="2455" spans="1:9" x14ac:dyDescent="0.25">
      <c r="A2455" t="s">
        <v>9</v>
      </c>
      <c r="B2455" s="39">
        <v>45785</v>
      </c>
      <c r="C2455" s="40">
        <v>0.70833333333333337</v>
      </c>
      <c r="D2455" s="41">
        <v>5946.6139999999996</v>
      </c>
      <c r="E2455" s="41">
        <v>5952.8810000000003</v>
      </c>
      <c r="F2455" s="41">
        <v>5943.48</v>
      </c>
      <c r="G2455" s="41">
        <v>5951.8370000000004</v>
      </c>
      <c r="H2455" s="41">
        <v>2891687667.4000001</v>
      </c>
      <c r="I2455" s="42">
        <v>9720</v>
      </c>
    </row>
    <row r="2456" spans="1:9" x14ac:dyDescent="0.25">
      <c r="A2456" t="s">
        <v>9</v>
      </c>
      <c r="B2456" s="39">
        <v>45785</v>
      </c>
      <c r="C2456" s="40">
        <v>0.6875</v>
      </c>
      <c r="D2456" s="41">
        <v>5953.4040000000005</v>
      </c>
      <c r="E2456" s="41">
        <v>5957.0590000000002</v>
      </c>
      <c r="F2456" s="41">
        <v>5946.0919999999996</v>
      </c>
      <c r="G2456" s="41">
        <v>5946.6139999999996</v>
      </c>
      <c r="H2456" s="41">
        <v>3286241273.3499999</v>
      </c>
      <c r="I2456" s="42">
        <v>11040</v>
      </c>
    </row>
    <row r="2457" spans="1:9" x14ac:dyDescent="0.25">
      <c r="A2457" t="s">
        <v>9</v>
      </c>
      <c r="B2457" s="39">
        <v>45785</v>
      </c>
      <c r="C2457" s="40">
        <v>0.66666666666666663</v>
      </c>
      <c r="D2457" s="41">
        <v>5961.76</v>
      </c>
      <c r="E2457" s="41">
        <v>5963.3270000000002</v>
      </c>
      <c r="F2457" s="41">
        <v>5951.8370000000004</v>
      </c>
      <c r="G2457" s="41">
        <v>5952.3590000000004</v>
      </c>
      <c r="H2457" s="41">
        <v>4232310159.8400002</v>
      </c>
      <c r="I2457" s="42">
        <v>14205</v>
      </c>
    </row>
    <row r="2458" spans="1:9" x14ac:dyDescent="0.25">
      <c r="A2458" t="s">
        <v>9</v>
      </c>
      <c r="B2458" s="39">
        <v>45785</v>
      </c>
      <c r="C2458" s="40">
        <v>0.64583333333333337</v>
      </c>
      <c r="D2458" s="41">
        <v>5961.76</v>
      </c>
      <c r="E2458" s="41">
        <v>5966.9830000000002</v>
      </c>
      <c r="F2458" s="41">
        <v>5960.7150000000001</v>
      </c>
      <c r="G2458" s="41">
        <v>5961.2380000000003</v>
      </c>
      <c r="H2458" s="41">
        <v>3101391201.3899999</v>
      </c>
      <c r="I2458" s="42">
        <v>10400</v>
      </c>
    </row>
    <row r="2459" spans="1:9" x14ac:dyDescent="0.25">
      <c r="A2459" t="s">
        <v>9</v>
      </c>
      <c r="B2459" s="39">
        <v>45785</v>
      </c>
      <c r="C2459" s="40">
        <v>0.625</v>
      </c>
      <c r="D2459" s="41">
        <v>5968.027</v>
      </c>
      <c r="E2459" s="41">
        <v>5969.0720000000001</v>
      </c>
      <c r="F2459" s="41">
        <v>5961.2380000000003</v>
      </c>
      <c r="G2459" s="41">
        <v>5962.2820000000002</v>
      </c>
      <c r="H2459" s="41">
        <v>3879084763.6300001</v>
      </c>
      <c r="I2459" s="42">
        <v>13005</v>
      </c>
    </row>
    <row r="2460" spans="1:9" x14ac:dyDescent="0.25">
      <c r="A2460" t="s">
        <v>9</v>
      </c>
      <c r="B2460" s="39">
        <v>45785</v>
      </c>
      <c r="C2460" s="40">
        <v>0.60416666666666663</v>
      </c>
      <c r="D2460" s="41">
        <v>5962.8040000000001</v>
      </c>
      <c r="E2460" s="41">
        <v>5969.5940000000001</v>
      </c>
      <c r="F2460" s="41">
        <v>5960.1930000000002</v>
      </c>
      <c r="G2460" s="41">
        <v>5967.5050000000001</v>
      </c>
      <c r="H2460" s="41">
        <v>2298532640.5700002</v>
      </c>
      <c r="I2460" s="42">
        <v>7705</v>
      </c>
    </row>
    <row r="2461" spans="1:9" x14ac:dyDescent="0.25">
      <c r="A2461" t="s">
        <v>9</v>
      </c>
      <c r="B2461" s="39">
        <v>45785</v>
      </c>
      <c r="C2461" s="40">
        <v>0.58333333333333337</v>
      </c>
      <c r="D2461" s="41">
        <v>5961.2380000000003</v>
      </c>
      <c r="E2461" s="41">
        <v>5965.9380000000001</v>
      </c>
      <c r="F2461" s="41">
        <v>5959.6710000000003</v>
      </c>
      <c r="G2461" s="41">
        <v>5963.8490000000002</v>
      </c>
      <c r="H2461" s="41">
        <v>1671424960.1400001</v>
      </c>
      <c r="I2461" s="42">
        <v>5605</v>
      </c>
    </row>
    <row r="2462" spans="1:9" x14ac:dyDescent="0.25">
      <c r="A2462" t="s">
        <v>9</v>
      </c>
      <c r="B2462" s="39">
        <v>45785</v>
      </c>
      <c r="C2462" s="40">
        <v>0.5625</v>
      </c>
      <c r="D2462" s="41">
        <v>5969.5940000000001</v>
      </c>
      <c r="E2462" s="41">
        <v>5969.5940000000001</v>
      </c>
      <c r="F2462" s="41">
        <v>5955.4930000000004</v>
      </c>
      <c r="G2462" s="41">
        <v>5961.2380000000003</v>
      </c>
      <c r="H2462" s="41">
        <v>2407009643.3000002</v>
      </c>
      <c r="I2462" s="42">
        <v>8075</v>
      </c>
    </row>
    <row r="2463" spans="1:9" x14ac:dyDescent="0.25">
      <c r="A2463" t="s">
        <v>9</v>
      </c>
      <c r="B2463" s="39">
        <v>45785</v>
      </c>
      <c r="C2463" s="40">
        <v>0.54166666666666663</v>
      </c>
      <c r="D2463" s="41">
        <v>5966.46</v>
      </c>
      <c r="E2463" s="41">
        <v>5973.7719999999999</v>
      </c>
      <c r="F2463" s="41">
        <v>5964.8940000000002</v>
      </c>
      <c r="G2463" s="41">
        <v>5970.116</v>
      </c>
      <c r="H2463" s="41">
        <v>3112391993.2800002</v>
      </c>
      <c r="I2463" s="42">
        <v>10430</v>
      </c>
    </row>
    <row r="2464" spans="1:9" x14ac:dyDescent="0.25">
      <c r="A2464" t="s">
        <v>9</v>
      </c>
      <c r="B2464" s="39">
        <v>45785</v>
      </c>
      <c r="C2464" s="40">
        <v>0.52083333333333337</v>
      </c>
      <c r="D2464" s="41">
        <v>5957.5820000000003</v>
      </c>
      <c r="E2464" s="41">
        <v>5966.46</v>
      </c>
      <c r="F2464" s="41">
        <v>5945.5690000000004</v>
      </c>
      <c r="G2464" s="41">
        <v>5966.46</v>
      </c>
      <c r="H2464" s="41">
        <v>4366095003.1499996</v>
      </c>
      <c r="I2464" s="42">
        <v>14665</v>
      </c>
    </row>
    <row r="2465" spans="1:9" x14ac:dyDescent="0.25">
      <c r="A2465" t="s">
        <v>9</v>
      </c>
      <c r="B2465" s="39">
        <v>45785</v>
      </c>
      <c r="C2465" s="40">
        <v>0.5</v>
      </c>
      <c r="D2465" s="41">
        <v>5962.8040000000001</v>
      </c>
      <c r="E2465" s="41">
        <v>5967.5050000000001</v>
      </c>
      <c r="F2465" s="41">
        <v>5954.4480000000003</v>
      </c>
      <c r="G2465" s="41">
        <v>5957.0590000000002</v>
      </c>
      <c r="H2465" s="41">
        <v>3533743618.6399999</v>
      </c>
      <c r="I2465" s="42">
        <v>11855</v>
      </c>
    </row>
    <row r="2466" spans="1:9" x14ac:dyDescent="0.25">
      <c r="A2466" t="s">
        <v>9</v>
      </c>
      <c r="B2466" s="39">
        <v>45785</v>
      </c>
      <c r="C2466" s="40">
        <v>0.47916666666666669</v>
      </c>
      <c r="D2466" s="41">
        <v>5959.1490000000003</v>
      </c>
      <c r="E2466" s="41">
        <v>5968.027</v>
      </c>
      <c r="F2466" s="41">
        <v>5956.0150000000003</v>
      </c>
      <c r="G2466" s="41">
        <v>5962.8040000000001</v>
      </c>
      <c r="H2466" s="41">
        <v>5651992561.0900002</v>
      </c>
      <c r="I2466" s="42">
        <v>18960</v>
      </c>
    </row>
    <row r="2467" spans="1:9" x14ac:dyDescent="0.25">
      <c r="A2467" t="s">
        <v>9</v>
      </c>
      <c r="B2467" s="39">
        <v>45785</v>
      </c>
      <c r="C2467" s="40">
        <v>0.45833333333333331</v>
      </c>
      <c r="D2467" s="41">
        <v>5969.0720000000001</v>
      </c>
      <c r="E2467" s="41">
        <v>5974.817</v>
      </c>
      <c r="F2467" s="41">
        <v>5956.5370000000003</v>
      </c>
      <c r="G2467" s="41">
        <v>5959.1490000000003</v>
      </c>
      <c r="H2467" s="41">
        <v>5789157040.6899996</v>
      </c>
      <c r="I2467" s="42">
        <v>19410</v>
      </c>
    </row>
    <row r="2468" spans="1:9" x14ac:dyDescent="0.25">
      <c r="A2468" t="s">
        <v>9</v>
      </c>
      <c r="B2468" s="39">
        <v>45785</v>
      </c>
      <c r="C2468" s="40">
        <v>0.4375</v>
      </c>
      <c r="D2468" s="41">
        <v>5986.8289999999997</v>
      </c>
      <c r="E2468" s="41">
        <v>5989.44</v>
      </c>
      <c r="F2468" s="41">
        <v>5965.9380000000001</v>
      </c>
      <c r="G2468" s="41">
        <v>5968.549</v>
      </c>
      <c r="H2468" s="41">
        <v>7254299493.3900003</v>
      </c>
      <c r="I2468" s="42">
        <v>24290</v>
      </c>
    </row>
    <row r="2469" spans="1:9" x14ac:dyDescent="0.25">
      <c r="A2469" t="s">
        <v>9</v>
      </c>
      <c r="B2469" s="39">
        <v>45785</v>
      </c>
      <c r="C2469" s="40">
        <v>0.41666666666666669</v>
      </c>
      <c r="D2469" s="41">
        <v>5987.8739999999998</v>
      </c>
      <c r="E2469" s="41">
        <v>5989.9629999999997</v>
      </c>
      <c r="F2469" s="41">
        <v>5976.384</v>
      </c>
      <c r="G2469" s="41">
        <v>5986.3069999999998</v>
      </c>
      <c r="H2469" s="41">
        <v>6123818200.71</v>
      </c>
      <c r="I2469" s="42">
        <v>20465</v>
      </c>
    </row>
    <row r="2470" spans="1:9" x14ac:dyDescent="0.25">
      <c r="A2470" t="s">
        <v>9</v>
      </c>
      <c r="B2470" s="39">
        <v>45785</v>
      </c>
      <c r="C2470" s="40">
        <v>0.39583333333333331</v>
      </c>
      <c r="D2470" s="41">
        <v>6009.2870000000003</v>
      </c>
      <c r="E2470" s="41">
        <v>6013.9870000000001</v>
      </c>
      <c r="F2470" s="41">
        <v>5983.6949999999997</v>
      </c>
      <c r="G2470" s="41">
        <v>5987.8739999999998</v>
      </c>
      <c r="H2470" s="41">
        <v>5749321098.8999996</v>
      </c>
      <c r="I2470" s="42">
        <v>19175</v>
      </c>
    </row>
    <row r="2471" spans="1:9" x14ac:dyDescent="0.25">
      <c r="A2471" t="s">
        <v>9</v>
      </c>
      <c r="B2471" s="39">
        <v>45785</v>
      </c>
      <c r="C2471" s="40">
        <v>0.375</v>
      </c>
      <c r="D2471" s="41">
        <v>6007.72</v>
      </c>
      <c r="E2471" s="41">
        <v>6038.5339999999997</v>
      </c>
      <c r="F2471" s="41">
        <v>6002.4970000000003</v>
      </c>
      <c r="G2471" s="41">
        <v>6009.8090000000002</v>
      </c>
      <c r="H2471" s="41">
        <v>6242031308.3800001</v>
      </c>
      <c r="I2471" s="42">
        <v>20750</v>
      </c>
    </row>
    <row r="2472" spans="1:9" x14ac:dyDescent="0.25">
      <c r="A2472" t="s">
        <v>9</v>
      </c>
      <c r="B2472" s="39">
        <v>45784</v>
      </c>
      <c r="C2472" s="40">
        <v>0.75</v>
      </c>
      <c r="D2472" s="41">
        <v>6034.8779999999997</v>
      </c>
      <c r="E2472" s="41">
        <v>6036.4449999999997</v>
      </c>
      <c r="F2472" s="41">
        <v>6026.5219999999999</v>
      </c>
      <c r="G2472" s="41">
        <v>6028.0889999999999</v>
      </c>
      <c r="H2472" s="41">
        <v>348380911.36000001</v>
      </c>
      <c r="I2472" s="42">
        <v>1155</v>
      </c>
    </row>
    <row r="2473" spans="1:9" x14ac:dyDescent="0.25">
      <c r="A2473" t="s">
        <v>9</v>
      </c>
      <c r="B2473" s="39">
        <v>45784</v>
      </c>
      <c r="C2473" s="40">
        <v>0.72916666666666663</v>
      </c>
      <c r="D2473" s="41">
        <v>6033.8339999999998</v>
      </c>
      <c r="E2473" s="41">
        <v>6036.9669999999996</v>
      </c>
      <c r="F2473" s="41">
        <v>6031.7449999999999</v>
      </c>
      <c r="G2473" s="41">
        <v>6034.8779999999997</v>
      </c>
      <c r="H2473" s="41">
        <v>1638170848.29</v>
      </c>
      <c r="I2473" s="42">
        <v>5430</v>
      </c>
    </row>
    <row r="2474" spans="1:9" x14ac:dyDescent="0.25">
      <c r="A2474" t="s">
        <v>9</v>
      </c>
      <c r="B2474" s="39">
        <v>45784</v>
      </c>
      <c r="C2474" s="40">
        <v>0.70833333333333337</v>
      </c>
      <c r="D2474" s="41">
        <v>6033.8339999999998</v>
      </c>
      <c r="E2474" s="41">
        <v>6039.0559999999996</v>
      </c>
      <c r="F2474" s="41">
        <v>6027.5659999999998</v>
      </c>
      <c r="G2474" s="41">
        <v>6033.8339999999998</v>
      </c>
      <c r="H2474" s="41">
        <v>2689675796.0300002</v>
      </c>
      <c r="I2474" s="42">
        <v>8915</v>
      </c>
    </row>
    <row r="2475" spans="1:9" x14ac:dyDescent="0.25">
      <c r="A2475" t="s">
        <v>9</v>
      </c>
      <c r="B2475" s="39">
        <v>45784</v>
      </c>
      <c r="C2475" s="40">
        <v>0.6875</v>
      </c>
      <c r="D2475" s="41">
        <v>6048.98</v>
      </c>
      <c r="E2475" s="41">
        <v>6052.1130000000003</v>
      </c>
      <c r="F2475" s="41">
        <v>6033.3109999999997</v>
      </c>
      <c r="G2475" s="41">
        <v>6033.8339999999998</v>
      </c>
      <c r="H2475" s="41">
        <v>3890929681.1900001</v>
      </c>
      <c r="I2475" s="42">
        <v>12880</v>
      </c>
    </row>
    <row r="2476" spans="1:9" x14ac:dyDescent="0.25">
      <c r="A2476" t="s">
        <v>9</v>
      </c>
      <c r="B2476" s="39">
        <v>45784</v>
      </c>
      <c r="C2476" s="40">
        <v>0.66666666666666663</v>
      </c>
      <c r="D2476" s="41">
        <v>6036.9669999999996</v>
      </c>
      <c r="E2476" s="41">
        <v>6053.68</v>
      </c>
      <c r="F2476" s="41">
        <v>6035.9229999999998</v>
      </c>
      <c r="G2476" s="41">
        <v>6048.98</v>
      </c>
      <c r="H2476" s="41">
        <v>3793611719.4299998</v>
      </c>
      <c r="I2476" s="42">
        <v>12550</v>
      </c>
    </row>
    <row r="2477" spans="1:9" x14ac:dyDescent="0.25">
      <c r="A2477" t="s">
        <v>9</v>
      </c>
      <c r="B2477" s="39">
        <v>45784</v>
      </c>
      <c r="C2477" s="40">
        <v>0.64583333333333337</v>
      </c>
      <c r="D2477" s="41">
        <v>6035.9229999999998</v>
      </c>
      <c r="E2477" s="41">
        <v>6043.7569999999996</v>
      </c>
      <c r="F2477" s="41">
        <v>6024.433</v>
      </c>
      <c r="G2477" s="41">
        <v>6036.9669999999996</v>
      </c>
      <c r="H2477" s="41">
        <v>8100821221.3000002</v>
      </c>
      <c r="I2477" s="42">
        <v>26850</v>
      </c>
    </row>
    <row r="2478" spans="1:9" x14ac:dyDescent="0.25">
      <c r="A2478" t="s">
        <v>9</v>
      </c>
      <c r="B2478" s="39">
        <v>45784</v>
      </c>
      <c r="C2478" s="40">
        <v>0.625</v>
      </c>
      <c r="D2478" s="41">
        <v>6032.2669999999998</v>
      </c>
      <c r="E2478" s="41">
        <v>6039.5789999999997</v>
      </c>
      <c r="F2478" s="41">
        <v>6024.9549999999999</v>
      </c>
      <c r="G2478" s="41">
        <v>6035.4009999999998</v>
      </c>
      <c r="H2478" s="41">
        <v>3157678519.1300001</v>
      </c>
      <c r="I2478" s="42">
        <v>10470</v>
      </c>
    </row>
    <row r="2479" spans="1:9" x14ac:dyDescent="0.25">
      <c r="A2479" t="s">
        <v>9</v>
      </c>
      <c r="B2479" s="39">
        <v>45784</v>
      </c>
      <c r="C2479" s="40">
        <v>0.60416666666666663</v>
      </c>
      <c r="D2479" s="41">
        <v>6029.1329999999998</v>
      </c>
      <c r="E2479" s="41">
        <v>6036.4449999999997</v>
      </c>
      <c r="F2479" s="41">
        <v>6027.0439999999999</v>
      </c>
      <c r="G2479" s="41">
        <v>6032.2669999999998</v>
      </c>
      <c r="H2479" s="41">
        <v>4821182799.4300003</v>
      </c>
      <c r="I2479" s="42">
        <v>15990</v>
      </c>
    </row>
    <row r="2480" spans="1:9" x14ac:dyDescent="0.25">
      <c r="A2480" t="s">
        <v>9</v>
      </c>
      <c r="B2480" s="39">
        <v>45784</v>
      </c>
      <c r="C2480" s="40">
        <v>0.58333333333333337</v>
      </c>
      <c r="D2480" s="41">
        <v>6031.2219999999998</v>
      </c>
      <c r="E2480" s="41">
        <v>6032.2669999999998</v>
      </c>
      <c r="F2480" s="41">
        <v>6024.9549999999999</v>
      </c>
      <c r="G2480" s="41">
        <v>6029.1329999999998</v>
      </c>
      <c r="H2480" s="41">
        <v>3175437408.52</v>
      </c>
      <c r="I2480" s="42">
        <v>10535</v>
      </c>
    </row>
    <row r="2481" spans="1:9" x14ac:dyDescent="0.25">
      <c r="A2481" t="s">
        <v>9</v>
      </c>
      <c r="B2481" s="39">
        <v>45784</v>
      </c>
      <c r="C2481" s="40">
        <v>0.5625</v>
      </c>
      <c r="D2481" s="41">
        <v>6036.9669999999996</v>
      </c>
      <c r="E2481" s="41">
        <v>6040.1009999999997</v>
      </c>
      <c r="F2481" s="41">
        <v>6028.0889999999999</v>
      </c>
      <c r="G2481" s="41">
        <v>6030.7</v>
      </c>
      <c r="H2481" s="41">
        <v>2821780222.1199999</v>
      </c>
      <c r="I2481" s="42">
        <v>9350</v>
      </c>
    </row>
    <row r="2482" spans="1:9" x14ac:dyDescent="0.25">
      <c r="A2482" t="s">
        <v>9</v>
      </c>
      <c r="B2482" s="39">
        <v>45784</v>
      </c>
      <c r="C2482" s="40">
        <v>0.54166666666666663</v>
      </c>
      <c r="D2482" s="41">
        <v>6034.8779999999997</v>
      </c>
      <c r="E2482" s="41">
        <v>6039.0559999999996</v>
      </c>
      <c r="F2482" s="41">
        <v>6030.1779999999999</v>
      </c>
      <c r="G2482" s="41">
        <v>6038.5339999999997</v>
      </c>
      <c r="H2482" s="41">
        <v>4045201251.9899998</v>
      </c>
      <c r="I2482" s="42">
        <v>13405</v>
      </c>
    </row>
    <row r="2483" spans="1:9" x14ac:dyDescent="0.25">
      <c r="A2483" t="s">
        <v>9</v>
      </c>
      <c r="B2483" s="39">
        <v>45784</v>
      </c>
      <c r="C2483" s="40">
        <v>0.52083333333333337</v>
      </c>
      <c r="D2483" s="41">
        <v>6031.2219999999998</v>
      </c>
      <c r="E2483" s="41">
        <v>6038.0119999999997</v>
      </c>
      <c r="F2483" s="41">
        <v>6029.1329999999998</v>
      </c>
      <c r="G2483" s="41">
        <v>6034.8779999999997</v>
      </c>
      <c r="H2483" s="41">
        <v>3557858846.0900002</v>
      </c>
      <c r="I2483" s="42">
        <v>11795</v>
      </c>
    </row>
    <row r="2484" spans="1:9" x14ac:dyDescent="0.25">
      <c r="A2484" t="s">
        <v>9</v>
      </c>
      <c r="B2484" s="39">
        <v>45784</v>
      </c>
      <c r="C2484" s="40">
        <v>0.5</v>
      </c>
      <c r="D2484" s="41">
        <v>6029.1329999999998</v>
      </c>
      <c r="E2484" s="41">
        <v>6037.49</v>
      </c>
      <c r="F2484" s="41">
        <v>6017.643</v>
      </c>
      <c r="G2484" s="41">
        <v>6030.1779999999999</v>
      </c>
      <c r="H2484" s="41">
        <v>5737051833.5500002</v>
      </c>
      <c r="I2484" s="42">
        <v>19035</v>
      </c>
    </row>
    <row r="2485" spans="1:9" x14ac:dyDescent="0.25">
      <c r="A2485" t="s">
        <v>9</v>
      </c>
      <c r="B2485" s="39">
        <v>45784</v>
      </c>
      <c r="C2485" s="40">
        <v>0.47916666666666669</v>
      </c>
      <c r="D2485" s="41">
        <v>6022.3440000000001</v>
      </c>
      <c r="E2485" s="41">
        <v>6034.3559999999998</v>
      </c>
      <c r="F2485" s="41">
        <v>6020.2550000000001</v>
      </c>
      <c r="G2485" s="41">
        <v>6028.0889999999999</v>
      </c>
      <c r="H2485" s="41">
        <v>5203542739.2200003</v>
      </c>
      <c r="I2485" s="42">
        <v>17265</v>
      </c>
    </row>
    <row r="2486" spans="1:9" x14ac:dyDescent="0.25">
      <c r="A2486" t="s">
        <v>9</v>
      </c>
      <c r="B2486" s="39">
        <v>45784</v>
      </c>
      <c r="C2486" s="40">
        <v>0.45833333333333331</v>
      </c>
      <c r="D2486" s="41">
        <v>6031.2219999999998</v>
      </c>
      <c r="E2486" s="41">
        <v>6031.7449999999999</v>
      </c>
      <c r="F2486" s="41">
        <v>6016.5990000000002</v>
      </c>
      <c r="G2486" s="41">
        <v>6021.8209999999999</v>
      </c>
      <c r="H2486" s="41">
        <v>4742617745.4200001</v>
      </c>
      <c r="I2486" s="42">
        <v>15750</v>
      </c>
    </row>
    <row r="2487" spans="1:9" x14ac:dyDescent="0.25">
      <c r="A2487" t="s">
        <v>9</v>
      </c>
      <c r="B2487" s="39">
        <v>45784</v>
      </c>
      <c r="C2487" s="40">
        <v>0.4375</v>
      </c>
      <c r="D2487" s="41">
        <v>6017.643</v>
      </c>
      <c r="E2487" s="41">
        <v>6031.7449999999999</v>
      </c>
      <c r="F2487" s="41">
        <v>6015.0320000000002</v>
      </c>
      <c r="G2487" s="41">
        <v>6031.7449999999999</v>
      </c>
      <c r="H2487" s="41">
        <v>4415168408.6000004</v>
      </c>
      <c r="I2487" s="42">
        <v>14660</v>
      </c>
    </row>
    <row r="2488" spans="1:9" x14ac:dyDescent="0.25">
      <c r="A2488" t="s">
        <v>9</v>
      </c>
      <c r="B2488" s="39">
        <v>45784</v>
      </c>
      <c r="C2488" s="40">
        <v>0.41666666666666669</v>
      </c>
      <c r="D2488" s="41">
        <v>6018.6880000000001</v>
      </c>
      <c r="E2488" s="41">
        <v>6028.6109999999999</v>
      </c>
      <c r="F2488" s="41">
        <v>6016.076</v>
      </c>
      <c r="G2488" s="41">
        <v>6017.1210000000001</v>
      </c>
      <c r="H2488" s="41">
        <v>8155433344.5600004</v>
      </c>
      <c r="I2488" s="42">
        <v>27080</v>
      </c>
    </row>
    <row r="2489" spans="1:9" x14ac:dyDescent="0.25">
      <c r="A2489" t="s">
        <v>9</v>
      </c>
      <c r="B2489" s="39">
        <v>45784</v>
      </c>
      <c r="C2489" s="40">
        <v>0.39583333333333331</v>
      </c>
      <c r="D2489" s="41">
        <v>5998.3190000000004</v>
      </c>
      <c r="E2489" s="41">
        <v>6018.6880000000001</v>
      </c>
      <c r="F2489" s="41">
        <v>5997.2749999999996</v>
      </c>
      <c r="G2489" s="41">
        <v>6018.6880000000001</v>
      </c>
      <c r="H2489" s="41">
        <v>4123221182.3200002</v>
      </c>
      <c r="I2489" s="42">
        <v>13720</v>
      </c>
    </row>
    <row r="2490" spans="1:9" x14ac:dyDescent="0.25">
      <c r="A2490" t="s">
        <v>9</v>
      </c>
      <c r="B2490" s="39">
        <v>45784</v>
      </c>
      <c r="C2490" s="40">
        <v>0.375</v>
      </c>
      <c r="D2490" s="41">
        <v>5995.7079999999996</v>
      </c>
      <c r="E2490" s="41">
        <v>5999.8860000000004</v>
      </c>
      <c r="F2490" s="41">
        <v>5985.2619999999997</v>
      </c>
      <c r="G2490" s="41">
        <v>5997.7969999999996</v>
      </c>
      <c r="H2490" s="41">
        <v>5086120224.1099997</v>
      </c>
      <c r="I2490" s="42">
        <v>16970</v>
      </c>
    </row>
    <row r="2491" spans="1:9" x14ac:dyDescent="0.25">
      <c r="A2491" t="s">
        <v>9</v>
      </c>
      <c r="B2491" s="39">
        <v>45783</v>
      </c>
      <c r="C2491" s="40">
        <v>0.75</v>
      </c>
      <c r="D2491" s="41">
        <v>6003.5420000000004</v>
      </c>
      <c r="E2491" s="41">
        <v>6006.1530000000002</v>
      </c>
      <c r="F2491" s="41">
        <v>5999.8860000000004</v>
      </c>
      <c r="G2491" s="41">
        <v>6005.6310000000003</v>
      </c>
      <c r="H2491" s="41">
        <v>705559139.79999995</v>
      </c>
      <c r="I2491" s="42">
        <v>2350</v>
      </c>
    </row>
    <row r="2492" spans="1:9" x14ac:dyDescent="0.25">
      <c r="A2492" t="s">
        <v>9</v>
      </c>
      <c r="B2492" s="39">
        <v>45783</v>
      </c>
      <c r="C2492" s="40">
        <v>0.72916666666666663</v>
      </c>
      <c r="D2492" s="41">
        <v>6009.8090000000002</v>
      </c>
      <c r="E2492" s="41">
        <v>6015.0320000000002</v>
      </c>
      <c r="F2492" s="41">
        <v>6003.02</v>
      </c>
      <c r="G2492" s="41">
        <v>6003.5420000000004</v>
      </c>
      <c r="H2492" s="41">
        <v>1317182826.6500001</v>
      </c>
      <c r="I2492" s="42">
        <v>4385</v>
      </c>
    </row>
    <row r="2493" spans="1:9" x14ac:dyDescent="0.25">
      <c r="A2493" t="s">
        <v>9</v>
      </c>
      <c r="B2493" s="39">
        <v>45783</v>
      </c>
      <c r="C2493" s="40">
        <v>0.70833333333333337</v>
      </c>
      <c r="D2493" s="41">
        <v>6000.4080000000004</v>
      </c>
      <c r="E2493" s="41">
        <v>6009.8090000000002</v>
      </c>
      <c r="F2493" s="41">
        <v>5999.8860000000004</v>
      </c>
      <c r="G2493" s="41">
        <v>6009.2870000000003</v>
      </c>
      <c r="H2493" s="41">
        <v>2078696595.53</v>
      </c>
      <c r="I2493" s="42">
        <v>6925</v>
      </c>
    </row>
    <row r="2494" spans="1:9" x14ac:dyDescent="0.25">
      <c r="A2494" t="s">
        <v>9</v>
      </c>
      <c r="B2494" s="39">
        <v>45783</v>
      </c>
      <c r="C2494" s="40">
        <v>0.6875</v>
      </c>
      <c r="D2494" s="41">
        <v>5995.7079999999996</v>
      </c>
      <c r="E2494" s="41">
        <v>6000.93</v>
      </c>
      <c r="F2494" s="41">
        <v>5995.1850000000004</v>
      </c>
      <c r="G2494" s="41">
        <v>6000.4080000000004</v>
      </c>
      <c r="H2494" s="41">
        <v>1727259988.4400001</v>
      </c>
      <c r="I2494" s="42">
        <v>5760</v>
      </c>
    </row>
    <row r="2495" spans="1:9" x14ac:dyDescent="0.25">
      <c r="A2495" t="s">
        <v>9</v>
      </c>
      <c r="B2495" s="39">
        <v>45783</v>
      </c>
      <c r="C2495" s="40">
        <v>0.66666666666666663</v>
      </c>
      <c r="D2495" s="41">
        <v>5997.2749999999996</v>
      </c>
      <c r="E2495" s="41">
        <v>5998.3190000000004</v>
      </c>
      <c r="F2495" s="41">
        <v>5993.0959999999995</v>
      </c>
      <c r="G2495" s="41">
        <v>5995.7079999999996</v>
      </c>
      <c r="H2495" s="41">
        <v>1396948066.76</v>
      </c>
      <c r="I2495" s="42">
        <v>4660</v>
      </c>
    </row>
    <row r="2496" spans="1:9" x14ac:dyDescent="0.25">
      <c r="A2496" t="s">
        <v>9</v>
      </c>
      <c r="B2496" s="39">
        <v>45783</v>
      </c>
      <c r="C2496" s="40">
        <v>0.64583333333333337</v>
      </c>
      <c r="D2496" s="41">
        <v>5989.44</v>
      </c>
      <c r="E2496" s="41">
        <v>6001.9750000000004</v>
      </c>
      <c r="F2496" s="41">
        <v>5988.9179999999997</v>
      </c>
      <c r="G2496" s="41">
        <v>5997.7969999999996</v>
      </c>
      <c r="H2496" s="41">
        <v>1826998299.3699999</v>
      </c>
      <c r="I2496" s="42">
        <v>6095</v>
      </c>
    </row>
    <row r="2497" spans="1:9" x14ac:dyDescent="0.25">
      <c r="A2497" t="s">
        <v>9</v>
      </c>
      <c r="B2497" s="39">
        <v>45783</v>
      </c>
      <c r="C2497" s="40">
        <v>0.625</v>
      </c>
      <c r="D2497" s="41">
        <v>5989.9629999999997</v>
      </c>
      <c r="E2497" s="41">
        <v>5996.7520000000004</v>
      </c>
      <c r="F2497" s="41">
        <v>5985.7849999999999</v>
      </c>
      <c r="G2497" s="41">
        <v>5990.4849999999997</v>
      </c>
      <c r="H2497" s="41">
        <v>4631711384.2700005</v>
      </c>
      <c r="I2497" s="42">
        <v>15460</v>
      </c>
    </row>
    <row r="2498" spans="1:9" x14ac:dyDescent="0.25">
      <c r="A2498" t="s">
        <v>9</v>
      </c>
      <c r="B2498" s="39">
        <v>45783</v>
      </c>
      <c r="C2498" s="40">
        <v>0.60416666666666663</v>
      </c>
      <c r="D2498" s="41">
        <v>5992.5739999999996</v>
      </c>
      <c r="E2498" s="41">
        <v>5995.1850000000004</v>
      </c>
      <c r="F2498" s="41">
        <v>5988.3959999999997</v>
      </c>
      <c r="G2498" s="41">
        <v>5991.0069999999996</v>
      </c>
      <c r="H2498" s="41">
        <v>3297620714.04</v>
      </c>
      <c r="I2498" s="42">
        <v>11005</v>
      </c>
    </row>
    <row r="2499" spans="1:9" x14ac:dyDescent="0.25">
      <c r="A2499" t="s">
        <v>9</v>
      </c>
      <c r="B2499" s="39">
        <v>45783</v>
      </c>
      <c r="C2499" s="40">
        <v>0.58333333333333337</v>
      </c>
      <c r="D2499" s="41">
        <v>6001.4530000000004</v>
      </c>
      <c r="E2499" s="41">
        <v>6002.4970000000003</v>
      </c>
      <c r="F2499" s="41">
        <v>5991.53</v>
      </c>
      <c r="G2499" s="41">
        <v>5992.0519999999997</v>
      </c>
      <c r="H2499" s="41">
        <v>3835349522.71</v>
      </c>
      <c r="I2499" s="42">
        <v>12790</v>
      </c>
    </row>
    <row r="2500" spans="1:9" x14ac:dyDescent="0.25">
      <c r="A2500" t="s">
        <v>9</v>
      </c>
      <c r="B2500" s="39">
        <v>45783</v>
      </c>
      <c r="C2500" s="40">
        <v>0.5625</v>
      </c>
      <c r="D2500" s="41">
        <v>6008.2420000000002</v>
      </c>
      <c r="E2500" s="41">
        <v>6009.8090000000002</v>
      </c>
      <c r="F2500" s="41">
        <v>5998.3190000000004</v>
      </c>
      <c r="G2500" s="41">
        <v>6001.4530000000004</v>
      </c>
      <c r="H2500" s="41">
        <v>3111575287.02</v>
      </c>
      <c r="I2500" s="42">
        <v>10365</v>
      </c>
    </row>
    <row r="2501" spans="1:9" x14ac:dyDescent="0.25">
      <c r="A2501" t="s">
        <v>9</v>
      </c>
      <c r="B2501" s="39">
        <v>45783</v>
      </c>
      <c r="C2501" s="40">
        <v>0.54166666666666663</v>
      </c>
      <c r="D2501" s="41">
        <v>6011.8980000000001</v>
      </c>
      <c r="E2501" s="41">
        <v>6018.1660000000002</v>
      </c>
      <c r="F2501" s="41">
        <v>6000.93</v>
      </c>
      <c r="G2501" s="41">
        <v>6007.72</v>
      </c>
      <c r="H2501" s="41">
        <v>3187426343.1900001</v>
      </c>
      <c r="I2501" s="42">
        <v>10605</v>
      </c>
    </row>
    <row r="2502" spans="1:9" x14ac:dyDescent="0.25">
      <c r="A2502" t="s">
        <v>9</v>
      </c>
      <c r="B2502" s="39">
        <v>45783</v>
      </c>
      <c r="C2502" s="40">
        <v>0.52083333333333337</v>
      </c>
      <c r="D2502" s="41">
        <v>5998.8410000000003</v>
      </c>
      <c r="E2502" s="41">
        <v>6012.4210000000003</v>
      </c>
      <c r="F2502" s="41">
        <v>5995.7079999999996</v>
      </c>
      <c r="G2502" s="41">
        <v>6012.4210000000003</v>
      </c>
      <c r="H2502" s="41">
        <v>1668930056.3199999</v>
      </c>
      <c r="I2502" s="42">
        <v>5560</v>
      </c>
    </row>
    <row r="2503" spans="1:9" x14ac:dyDescent="0.25">
      <c r="A2503" t="s">
        <v>9</v>
      </c>
      <c r="B2503" s="39">
        <v>45783</v>
      </c>
      <c r="C2503" s="40">
        <v>0.5</v>
      </c>
      <c r="D2503" s="41">
        <v>6007.72</v>
      </c>
      <c r="E2503" s="41">
        <v>6008.7650000000003</v>
      </c>
      <c r="F2503" s="41">
        <v>5996.23</v>
      </c>
      <c r="G2503" s="41">
        <v>5998.3190000000004</v>
      </c>
      <c r="H2503" s="41">
        <v>2636477338.4299998</v>
      </c>
      <c r="I2503" s="42">
        <v>8785</v>
      </c>
    </row>
    <row r="2504" spans="1:9" x14ac:dyDescent="0.25">
      <c r="A2504" t="s">
        <v>9</v>
      </c>
      <c r="B2504" s="39">
        <v>45783</v>
      </c>
      <c r="C2504" s="40">
        <v>0.47916666666666669</v>
      </c>
      <c r="D2504" s="41">
        <v>6020.777</v>
      </c>
      <c r="E2504" s="41">
        <v>6020.777</v>
      </c>
      <c r="F2504" s="41">
        <v>6007.1980000000003</v>
      </c>
      <c r="G2504" s="41">
        <v>6008.2420000000002</v>
      </c>
      <c r="H2504" s="41">
        <v>4317683841.3699999</v>
      </c>
      <c r="I2504" s="42">
        <v>14360</v>
      </c>
    </row>
    <row r="2505" spans="1:9" x14ac:dyDescent="0.25">
      <c r="A2505" t="s">
        <v>9</v>
      </c>
      <c r="B2505" s="39">
        <v>45783</v>
      </c>
      <c r="C2505" s="40">
        <v>0.45833333333333331</v>
      </c>
      <c r="D2505" s="41">
        <v>6021.8209999999999</v>
      </c>
      <c r="E2505" s="41">
        <v>6023.9110000000001</v>
      </c>
      <c r="F2505" s="41">
        <v>6011.3760000000002</v>
      </c>
      <c r="G2505" s="41">
        <v>6020.777</v>
      </c>
      <c r="H2505" s="41">
        <v>6194890839.7200003</v>
      </c>
      <c r="I2505" s="42">
        <v>20590</v>
      </c>
    </row>
    <row r="2506" spans="1:9" x14ac:dyDescent="0.25">
      <c r="A2506" t="s">
        <v>9</v>
      </c>
      <c r="B2506" s="39">
        <v>45783</v>
      </c>
      <c r="C2506" s="40">
        <v>0.4375</v>
      </c>
      <c r="D2506" s="41">
        <v>6008.2420000000002</v>
      </c>
      <c r="E2506" s="41">
        <v>6029.1329999999998</v>
      </c>
      <c r="F2506" s="41">
        <v>6008.2420000000002</v>
      </c>
      <c r="G2506" s="41">
        <v>6021.8209999999999</v>
      </c>
      <c r="H2506" s="41">
        <v>5921984163.6999998</v>
      </c>
      <c r="I2506" s="42">
        <v>19675</v>
      </c>
    </row>
    <row r="2507" spans="1:9" x14ac:dyDescent="0.25">
      <c r="A2507" t="s">
        <v>9</v>
      </c>
      <c r="B2507" s="39">
        <v>45783</v>
      </c>
      <c r="C2507" s="40">
        <v>0.41666666666666669</v>
      </c>
      <c r="D2507" s="41">
        <v>5995.7079999999996</v>
      </c>
      <c r="E2507" s="41">
        <v>6009.8090000000002</v>
      </c>
      <c r="F2507" s="41">
        <v>5994.6629999999996</v>
      </c>
      <c r="G2507" s="41">
        <v>6008.2420000000002</v>
      </c>
      <c r="H2507" s="41">
        <v>4653797968.1899996</v>
      </c>
      <c r="I2507" s="42">
        <v>15505</v>
      </c>
    </row>
    <row r="2508" spans="1:9" x14ac:dyDescent="0.25">
      <c r="A2508" t="s">
        <v>9</v>
      </c>
      <c r="B2508" s="39">
        <v>45783</v>
      </c>
      <c r="C2508" s="40">
        <v>0.39583333333333331</v>
      </c>
      <c r="D2508" s="41">
        <v>5989.44</v>
      </c>
      <c r="E2508" s="41">
        <v>6003.02</v>
      </c>
      <c r="F2508" s="41">
        <v>5981.6059999999998</v>
      </c>
      <c r="G2508" s="41">
        <v>5995.7079999999996</v>
      </c>
      <c r="H2508" s="41">
        <v>4122032094.5500002</v>
      </c>
      <c r="I2508" s="42">
        <v>13760</v>
      </c>
    </row>
    <row r="2509" spans="1:9" x14ac:dyDescent="0.25">
      <c r="A2509" t="s">
        <v>9</v>
      </c>
      <c r="B2509" s="39">
        <v>45783</v>
      </c>
      <c r="C2509" s="40">
        <v>0.375</v>
      </c>
      <c r="D2509" s="41">
        <v>5986.3069999999998</v>
      </c>
      <c r="E2509" s="41">
        <v>6003.02</v>
      </c>
      <c r="F2509" s="41">
        <v>5983.1729999999998</v>
      </c>
      <c r="G2509" s="41">
        <v>5989.9629999999997</v>
      </c>
      <c r="H2509" s="41">
        <v>3423029062.6999998</v>
      </c>
      <c r="I2509" s="42">
        <v>11425</v>
      </c>
    </row>
    <row r="2510" spans="1:9" x14ac:dyDescent="0.25">
      <c r="A2510" t="s">
        <v>9</v>
      </c>
      <c r="B2510" s="39">
        <v>45782</v>
      </c>
      <c r="C2510" s="40">
        <v>0.75</v>
      </c>
      <c r="D2510" s="41">
        <v>5980.04</v>
      </c>
      <c r="E2510" s="41">
        <v>5994.6629999999996</v>
      </c>
      <c r="F2510" s="41">
        <v>5977.4279999999999</v>
      </c>
      <c r="G2510" s="41">
        <v>5988.3959999999997</v>
      </c>
      <c r="H2510" s="41">
        <v>1039716174.65</v>
      </c>
      <c r="I2510" s="42">
        <v>3475</v>
      </c>
    </row>
    <row r="2511" spans="1:9" x14ac:dyDescent="0.25">
      <c r="A2511" t="s">
        <v>9</v>
      </c>
      <c r="B2511" s="39">
        <v>45782</v>
      </c>
      <c r="C2511" s="40">
        <v>0.72916666666666663</v>
      </c>
      <c r="D2511" s="41">
        <v>5979.5169999999998</v>
      </c>
      <c r="E2511" s="41">
        <v>5980.5619999999999</v>
      </c>
      <c r="F2511" s="41">
        <v>5976.9059999999999</v>
      </c>
      <c r="G2511" s="41">
        <v>5978.9949999999999</v>
      </c>
      <c r="H2511" s="41">
        <v>1016317899.1</v>
      </c>
      <c r="I2511" s="42">
        <v>3400</v>
      </c>
    </row>
    <row r="2512" spans="1:9" x14ac:dyDescent="0.25">
      <c r="A2512" t="s">
        <v>9</v>
      </c>
      <c r="B2512" s="39">
        <v>45782</v>
      </c>
      <c r="C2512" s="40">
        <v>0.70833333333333337</v>
      </c>
      <c r="D2512" s="41">
        <v>5981.0839999999998</v>
      </c>
      <c r="E2512" s="41">
        <v>5981.0839999999998</v>
      </c>
      <c r="F2512" s="41">
        <v>5978.9949999999999</v>
      </c>
      <c r="G2512" s="41">
        <v>5979.5169999999998</v>
      </c>
      <c r="H2512" s="41">
        <v>752017779.5</v>
      </c>
      <c r="I2512" s="42">
        <v>2515</v>
      </c>
    </row>
    <row r="2513" spans="1:9" x14ac:dyDescent="0.25">
      <c r="A2513" t="s">
        <v>9</v>
      </c>
      <c r="B2513" s="39">
        <v>45782</v>
      </c>
      <c r="C2513" s="40">
        <v>0.6875</v>
      </c>
      <c r="D2513" s="41">
        <v>5978.9949999999999</v>
      </c>
      <c r="E2513" s="41">
        <v>5981.0839999999998</v>
      </c>
      <c r="F2513" s="41">
        <v>5976.384</v>
      </c>
      <c r="G2513" s="41">
        <v>5981.0839999999998</v>
      </c>
      <c r="H2513" s="41">
        <v>2058370989.6199999</v>
      </c>
      <c r="I2513" s="42">
        <v>6885</v>
      </c>
    </row>
    <row r="2514" spans="1:9" x14ac:dyDescent="0.25">
      <c r="A2514" t="s">
        <v>9</v>
      </c>
      <c r="B2514" s="39">
        <v>45782</v>
      </c>
      <c r="C2514" s="40">
        <v>0.66666666666666663</v>
      </c>
      <c r="D2514" s="41">
        <v>5978.9949999999999</v>
      </c>
      <c r="E2514" s="41">
        <v>5979.5169999999998</v>
      </c>
      <c r="F2514" s="41">
        <v>5974.817</v>
      </c>
      <c r="G2514" s="41">
        <v>5978.473</v>
      </c>
      <c r="H2514" s="41">
        <v>1681054390.5799999</v>
      </c>
      <c r="I2514" s="42">
        <v>5625</v>
      </c>
    </row>
    <row r="2515" spans="1:9" x14ac:dyDescent="0.25">
      <c r="A2515" t="s">
        <v>9</v>
      </c>
      <c r="B2515" s="39">
        <v>45782</v>
      </c>
      <c r="C2515" s="40">
        <v>0.64583333333333337</v>
      </c>
      <c r="D2515" s="41">
        <v>5972.2049999999999</v>
      </c>
      <c r="E2515" s="41">
        <v>5981.6059999999998</v>
      </c>
      <c r="F2515" s="41">
        <v>5971.1610000000001</v>
      </c>
      <c r="G2515" s="41">
        <v>5978.9949999999999</v>
      </c>
      <c r="H2515" s="41">
        <v>1737921171.54</v>
      </c>
      <c r="I2515" s="42">
        <v>5815</v>
      </c>
    </row>
    <row r="2516" spans="1:9" x14ac:dyDescent="0.25">
      <c r="A2516" t="s">
        <v>9</v>
      </c>
      <c r="B2516" s="39">
        <v>45782</v>
      </c>
      <c r="C2516" s="40">
        <v>0.625</v>
      </c>
      <c r="D2516" s="41">
        <v>5974.2939999999999</v>
      </c>
      <c r="E2516" s="41">
        <v>5978.9949999999999</v>
      </c>
      <c r="F2516" s="41">
        <v>5971.1610000000001</v>
      </c>
      <c r="G2516" s="41">
        <v>5972.7280000000001</v>
      </c>
      <c r="H2516" s="41">
        <v>3171526488.79</v>
      </c>
      <c r="I2516" s="42">
        <v>10615</v>
      </c>
    </row>
    <row r="2517" spans="1:9" x14ac:dyDescent="0.25">
      <c r="A2517" t="s">
        <v>9</v>
      </c>
      <c r="B2517" s="39">
        <v>45782</v>
      </c>
      <c r="C2517" s="40">
        <v>0.60416666666666663</v>
      </c>
      <c r="D2517" s="41">
        <v>5970.6390000000001</v>
      </c>
      <c r="E2517" s="41">
        <v>5974.817</v>
      </c>
      <c r="F2517" s="41">
        <v>5969.0720000000001</v>
      </c>
      <c r="G2517" s="41">
        <v>5974.2939999999999</v>
      </c>
      <c r="H2517" s="41">
        <v>2185703004.71</v>
      </c>
      <c r="I2517" s="42">
        <v>7320</v>
      </c>
    </row>
    <row r="2518" spans="1:9" x14ac:dyDescent="0.25">
      <c r="A2518" t="s">
        <v>9</v>
      </c>
      <c r="B2518" s="39">
        <v>45782</v>
      </c>
      <c r="C2518" s="40">
        <v>0.58333333333333337</v>
      </c>
      <c r="D2518" s="41">
        <v>5974.817</v>
      </c>
      <c r="E2518" s="41">
        <v>5976.384</v>
      </c>
      <c r="F2518" s="41">
        <v>5967.5050000000001</v>
      </c>
      <c r="G2518" s="41">
        <v>5971.1610000000001</v>
      </c>
      <c r="H2518" s="41">
        <v>1915516463.25</v>
      </c>
      <c r="I2518" s="42">
        <v>6415</v>
      </c>
    </row>
    <row r="2519" spans="1:9" x14ac:dyDescent="0.25">
      <c r="A2519" t="s">
        <v>9</v>
      </c>
      <c r="B2519" s="39">
        <v>45782</v>
      </c>
      <c r="C2519" s="40">
        <v>0.5625</v>
      </c>
      <c r="D2519" s="41">
        <v>5969.5940000000001</v>
      </c>
      <c r="E2519" s="41">
        <v>5975.3389999999999</v>
      </c>
      <c r="F2519" s="41">
        <v>5966.9830000000002</v>
      </c>
      <c r="G2519" s="41">
        <v>5975.3389999999999</v>
      </c>
      <c r="H2519" s="41">
        <v>2568888790.5700002</v>
      </c>
      <c r="I2519" s="42">
        <v>8605</v>
      </c>
    </row>
    <row r="2520" spans="1:9" x14ac:dyDescent="0.25">
      <c r="A2520" t="s">
        <v>9</v>
      </c>
      <c r="B2520" s="39">
        <v>45782</v>
      </c>
      <c r="C2520" s="40">
        <v>0.54166666666666663</v>
      </c>
      <c r="D2520" s="41">
        <v>5956.5370000000003</v>
      </c>
      <c r="E2520" s="41">
        <v>5970.6390000000001</v>
      </c>
      <c r="F2520" s="41">
        <v>5954.4480000000003</v>
      </c>
      <c r="G2520" s="41">
        <v>5967.5050000000001</v>
      </c>
      <c r="H2520" s="41">
        <v>3321774589.7800002</v>
      </c>
      <c r="I2520" s="42">
        <v>11145</v>
      </c>
    </row>
    <row r="2521" spans="1:9" x14ac:dyDescent="0.25">
      <c r="A2521" t="s">
        <v>9</v>
      </c>
      <c r="B2521" s="39">
        <v>45782</v>
      </c>
      <c r="C2521" s="40">
        <v>0.52083333333333337</v>
      </c>
      <c r="D2521" s="41">
        <v>5949.7479999999996</v>
      </c>
      <c r="E2521" s="41">
        <v>5957.5820000000003</v>
      </c>
      <c r="F2521" s="41">
        <v>5949.7479999999996</v>
      </c>
      <c r="G2521" s="41">
        <v>5957.0590000000002</v>
      </c>
      <c r="H2521" s="41">
        <v>1926219558.8599999</v>
      </c>
      <c r="I2521" s="42">
        <v>6470</v>
      </c>
    </row>
    <row r="2522" spans="1:9" x14ac:dyDescent="0.25">
      <c r="A2522" t="s">
        <v>9</v>
      </c>
      <c r="B2522" s="39">
        <v>45782</v>
      </c>
      <c r="C2522" s="40">
        <v>0.5</v>
      </c>
      <c r="D2522" s="41">
        <v>5944.5249999999996</v>
      </c>
      <c r="E2522" s="41">
        <v>5957.0590000000002</v>
      </c>
      <c r="F2522" s="41">
        <v>5942.9579999999996</v>
      </c>
      <c r="G2522" s="41">
        <v>5949.2250000000004</v>
      </c>
      <c r="H2522" s="41">
        <v>6107813238.6300001</v>
      </c>
      <c r="I2522" s="42">
        <v>20530</v>
      </c>
    </row>
    <row r="2523" spans="1:9" x14ac:dyDescent="0.25">
      <c r="A2523" t="s">
        <v>9</v>
      </c>
      <c r="B2523" s="39">
        <v>45782</v>
      </c>
      <c r="C2523" s="40">
        <v>0.47916666666666669</v>
      </c>
      <c r="D2523" s="41">
        <v>5936.1679999999997</v>
      </c>
      <c r="E2523" s="41">
        <v>5946.6139999999996</v>
      </c>
      <c r="F2523" s="41">
        <v>5936.1679999999997</v>
      </c>
      <c r="G2523" s="41">
        <v>5945.0469999999996</v>
      </c>
      <c r="H2523" s="41">
        <v>4957785181.4399996</v>
      </c>
      <c r="I2523" s="42">
        <v>16690</v>
      </c>
    </row>
    <row r="2524" spans="1:9" x14ac:dyDescent="0.25">
      <c r="A2524" t="s">
        <v>9</v>
      </c>
      <c r="B2524" s="39">
        <v>45782</v>
      </c>
      <c r="C2524" s="40">
        <v>0.45833333333333331</v>
      </c>
      <c r="D2524" s="41">
        <v>5930.9459999999999</v>
      </c>
      <c r="E2524" s="41">
        <v>5939.3019999999997</v>
      </c>
      <c r="F2524" s="41">
        <v>5929.3789999999999</v>
      </c>
      <c r="G2524" s="41">
        <v>5935.6459999999997</v>
      </c>
      <c r="H2524" s="41">
        <v>3418739102.4699998</v>
      </c>
      <c r="I2524" s="42">
        <v>11520</v>
      </c>
    </row>
    <row r="2525" spans="1:9" x14ac:dyDescent="0.25">
      <c r="A2525" t="s">
        <v>9</v>
      </c>
      <c r="B2525" s="39">
        <v>45782</v>
      </c>
      <c r="C2525" s="40">
        <v>0.4375</v>
      </c>
      <c r="D2525" s="41">
        <v>5929.9009999999998</v>
      </c>
      <c r="E2525" s="41">
        <v>5936.1679999999997</v>
      </c>
      <c r="F2525" s="41">
        <v>5925.201</v>
      </c>
      <c r="G2525" s="41">
        <v>5931.99</v>
      </c>
      <c r="H2525" s="41">
        <v>5971960058.96</v>
      </c>
      <c r="I2525" s="42">
        <v>20135</v>
      </c>
    </row>
    <row r="2526" spans="1:9" x14ac:dyDescent="0.25">
      <c r="A2526" t="s">
        <v>9</v>
      </c>
      <c r="B2526" s="39">
        <v>45782</v>
      </c>
      <c r="C2526" s="40">
        <v>0.41666666666666669</v>
      </c>
      <c r="D2526" s="41">
        <v>5925.201</v>
      </c>
      <c r="E2526" s="41">
        <v>5930.4229999999998</v>
      </c>
      <c r="F2526" s="41">
        <v>5922.067</v>
      </c>
      <c r="G2526" s="41">
        <v>5930.4229999999998</v>
      </c>
      <c r="H2526" s="41">
        <v>3826443180.8899999</v>
      </c>
      <c r="I2526" s="42">
        <v>12910</v>
      </c>
    </row>
    <row r="2527" spans="1:9" x14ac:dyDescent="0.25">
      <c r="A2527" t="s">
        <v>9</v>
      </c>
      <c r="B2527" s="39">
        <v>45782</v>
      </c>
      <c r="C2527" s="40">
        <v>0.39583333333333331</v>
      </c>
      <c r="D2527" s="41">
        <v>5927.29</v>
      </c>
      <c r="E2527" s="41">
        <v>5929.9009999999998</v>
      </c>
      <c r="F2527" s="41">
        <v>5917.8890000000001</v>
      </c>
      <c r="G2527" s="41">
        <v>5924.6779999999999</v>
      </c>
      <c r="H2527" s="41">
        <v>9291521642.4099998</v>
      </c>
      <c r="I2527" s="42">
        <v>31380</v>
      </c>
    </row>
    <row r="2528" spans="1:9" x14ac:dyDescent="0.25">
      <c r="A2528" t="s">
        <v>9</v>
      </c>
      <c r="B2528" s="39">
        <v>45782</v>
      </c>
      <c r="C2528" s="40">
        <v>0.375</v>
      </c>
      <c r="D2528" s="41">
        <v>5947.1360000000004</v>
      </c>
      <c r="E2528" s="41">
        <v>5948.7030000000004</v>
      </c>
      <c r="F2528" s="41">
        <v>5917.3670000000002</v>
      </c>
      <c r="G2528" s="41">
        <v>5926.768</v>
      </c>
      <c r="H2528" s="41">
        <v>3508784134.96</v>
      </c>
      <c r="I2528" s="42">
        <v>11840</v>
      </c>
    </row>
    <row r="2529" spans="1:9" x14ac:dyDescent="0.25">
      <c r="A2529" t="s">
        <v>9</v>
      </c>
      <c r="B2529" s="39">
        <v>45779</v>
      </c>
      <c r="C2529" s="40">
        <v>0.75</v>
      </c>
      <c r="D2529" s="41">
        <v>5949.7479999999996</v>
      </c>
      <c r="E2529" s="41">
        <v>5952.3590000000004</v>
      </c>
      <c r="F2529" s="41">
        <v>5940.3469999999998</v>
      </c>
      <c r="G2529" s="41">
        <v>5948.7030000000004</v>
      </c>
      <c r="H2529" s="41">
        <v>631895759.64999998</v>
      </c>
      <c r="I2529" s="42">
        <v>2125</v>
      </c>
    </row>
    <row r="2530" spans="1:9" x14ac:dyDescent="0.25">
      <c r="A2530" t="s">
        <v>9</v>
      </c>
      <c r="B2530" s="39">
        <v>45779</v>
      </c>
      <c r="C2530" s="40">
        <v>0.72916666666666663</v>
      </c>
      <c r="D2530" s="41">
        <v>5943.48</v>
      </c>
      <c r="E2530" s="41">
        <v>5949.7479999999996</v>
      </c>
      <c r="F2530" s="41">
        <v>5942.9579999999996</v>
      </c>
      <c r="G2530" s="41">
        <v>5949.7479999999996</v>
      </c>
      <c r="H2530" s="41">
        <v>1230970111.6300001</v>
      </c>
      <c r="I2530" s="42">
        <v>4140</v>
      </c>
    </row>
    <row r="2531" spans="1:9" x14ac:dyDescent="0.25">
      <c r="A2531" t="s">
        <v>9</v>
      </c>
      <c r="B2531" s="39">
        <v>45779</v>
      </c>
      <c r="C2531" s="40">
        <v>0.70833333333333337</v>
      </c>
      <c r="D2531" s="41">
        <v>5946.0919999999996</v>
      </c>
      <c r="E2531" s="41">
        <v>5947.6589999999997</v>
      </c>
      <c r="F2531" s="41">
        <v>5941.9129999999996</v>
      </c>
      <c r="G2531" s="41">
        <v>5943.48</v>
      </c>
      <c r="H2531" s="41">
        <v>1906619522.3699999</v>
      </c>
      <c r="I2531" s="42">
        <v>6415</v>
      </c>
    </row>
    <row r="2532" spans="1:9" x14ac:dyDescent="0.25">
      <c r="A2532" t="s">
        <v>9</v>
      </c>
      <c r="B2532" s="39">
        <v>45779</v>
      </c>
      <c r="C2532" s="40">
        <v>0.6875</v>
      </c>
      <c r="D2532" s="41">
        <v>5946.0919999999996</v>
      </c>
      <c r="E2532" s="41">
        <v>5949.2250000000004</v>
      </c>
      <c r="F2532" s="41">
        <v>5944.0029999999997</v>
      </c>
      <c r="G2532" s="41">
        <v>5946.0919999999996</v>
      </c>
      <c r="H2532" s="41">
        <v>899477719.71000004</v>
      </c>
      <c r="I2532" s="42">
        <v>3025</v>
      </c>
    </row>
    <row r="2533" spans="1:9" x14ac:dyDescent="0.25">
      <c r="A2533" t="s">
        <v>9</v>
      </c>
      <c r="B2533" s="39">
        <v>45779</v>
      </c>
      <c r="C2533" s="40">
        <v>0.66666666666666663</v>
      </c>
      <c r="D2533" s="41">
        <v>5946.0919999999996</v>
      </c>
      <c r="E2533" s="41">
        <v>5947.6589999999997</v>
      </c>
      <c r="F2533" s="41">
        <v>5941.9129999999996</v>
      </c>
      <c r="G2533" s="41">
        <v>5946.0919999999996</v>
      </c>
      <c r="H2533" s="41">
        <v>1437107557.4200001</v>
      </c>
      <c r="I2533" s="42">
        <v>4835</v>
      </c>
    </row>
    <row r="2534" spans="1:9" x14ac:dyDescent="0.25">
      <c r="A2534" t="s">
        <v>9</v>
      </c>
      <c r="B2534" s="39">
        <v>45779</v>
      </c>
      <c r="C2534" s="40">
        <v>0.64583333333333337</v>
      </c>
      <c r="D2534" s="41">
        <v>5941.3909999999996</v>
      </c>
      <c r="E2534" s="41">
        <v>5946.0919999999996</v>
      </c>
      <c r="F2534" s="41">
        <v>5939.8239999999996</v>
      </c>
      <c r="G2534" s="41">
        <v>5945.5690000000004</v>
      </c>
      <c r="H2534" s="41">
        <v>1781579638.1600001</v>
      </c>
      <c r="I2534" s="42">
        <v>5995</v>
      </c>
    </row>
    <row r="2535" spans="1:9" x14ac:dyDescent="0.25">
      <c r="A2535" t="s">
        <v>9</v>
      </c>
      <c r="B2535" s="39">
        <v>45779</v>
      </c>
      <c r="C2535" s="40">
        <v>0.625</v>
      </c>
      <c r="D2535" s="41">
        <v>5945.0469999999996</v>
      </c>
      <c r="E2535" s="41">
        <v>5947.6589999999997</v>
      </c>
      <c r="F2535" s="41">
        <v>5939.3019999999997</v>
      </c>
      <c r="G2535" s="41">
        <v>5940.8689999999997</v>
      </c>
      <c r="H2535" s="41">
        <v>2293546619.4099998</v>
      </c>
      <c r="I2535" s="42">
        <v>7720</v>
      </c>
    </row>
    <row r="2536" spans="1:9" x14ac:dyDescent="0.25">
      <c r="A2536" t="s">
        <v>9</v>
      </c>
      <c r="B2536" s="39">
        <v>45779</v>
      </c>
      <c r="C2536" s="40">
        <v>0.60416666666666663</v>
      </c>
      <c r="D2536" s="41">
        <v>5941.9129999999996</v>
      </c>
      <c r="E2536" s="41">
        <v>5948.1809999999996</v>
      </c>
      <c r="F2536" s="41">
        <v>5940.8689999999997</v>
      </c>
      <c r="G2536" s="41">
        <v>5945.5690000000004</v>
      </c>
      <c r="H2536" s="41">
        <v>1107098946.49</v>
      </c>
      <c r="I2536" s="42">
        <v>3725</v>
      </c>
    </row>
    <row r="2537" spans="1:9" x14ac:dyDescent="0.25">
      <c r="A2537" t="s">
        <v>9</v>
      </c>
      <c r="B2537" s="39">
        <v>45779</v>
      </c>
      <c r="C2537" s="40">
        <v>0.58333333333333337</v>
      </c>
      <c r="D2537" s="41">
        <v>5948.1809999999996</v>
      </c>
      <c r="E2537" s="41">
        <v>5953.4040000000005</v>
      </c>
      <c r="F2537" s="41">
        <v>5941.3909999999996</v>
      </c>
      <c r="G2537" s="41">
        <v>5942.4359999999997</v>
      </c>
      <c r="H2537" s="41">
        <v>2397384391.0599999</v>
      </c>
      <c r="I2537" s="42">
        <v>8065</v>
      </c>
    </row>
    <row r="2538" spans="1:9" x14ac:dyDescent="0.25">
      <c r="A2538" t="s">
        <v>9</v>
      </c>
      <c r="B2538" s="39">
        <v>45779</v>
      </c>
      <c r="C2538" s="40">
        <v>0.5625</v>
      </c>
      <c r="D2538" s="41">
        <v>5942.9579999999996</v>
      </c>
      <c r="E2538" s="41">
        <v>5949.2250000000004</v>
      </c>
      <c r="F2538" s="41">
        <v>5941.9129999999996</v>
      </c>
      <c r="G2538" s="41">
        <v>5946.6139999999996</v>
      </c>
      <c r="H2538" s="41">
        <v>2002287750.52</v>
      </c>
      <c r="I2538" s="42">
        <v>6735</v>
      </c>
    </row>
    <row r="2539" spans="1:9" x14ac:dyDescent="0.25">
      <c r="A2539" t="s">
        <v>9</v>
      </c>
      <c r="B2539" s="39">
        <v>45779</v>
      </c>
      <c r="C2539" s="40">
        <v>0.54166666666666663</v>
      </c>
      <c r="D2539" s="41">
        <v>5939.3019999999997</v>
      </c>
      <c r="E2539" s="41">
        <v>5947.1360000000004</v>
      </c>
      <c r="F2539" s="41">
        <v>5933.5569999999998</v>
      </c>
      <c r="G2539" s="41">
        <v>5945.0469999999996</v>
      </c>
      <c r="H2539" s="41">
        <v>2752119159.6900001</v>
      </c>
      <c r="I2539" s="42">
        <v>9265</v>
      </c>
    </row>
    <row r="2540" spans="1:9" x14ac:dyDescent="0.25">
      <c r="A2540" t="s">
        <v>9</v>
      </c>
      <c r="B2540" s="39">
        <v>45779</v>
      </c>
      <c r="C2540" s="40">
        <v>0.52083333333333337</v>
      </c>
      <c r="D2540" s="41">
        <v>5939.3019999999997</v>
      </c>
      <c r="E2540" s="41">
        <v>5946.6139999999996</v>
      </c>
      <c r="F2540" s="41">
        <v>5936.6909999999998</v>
      </c>
      <c r="G2540" s="41">
        <v>5939.8239999999996</v>
      </c>
      <c r="H2540" s="41">
        <v>1981032235.4200001</v>
      </c>
      <c r="I2540" s="42">
        <v>6670</v>
      </c>
    </row>
    <row r="2541" spans="1:9" x14ac:dyDescent="0.25">
      <c r="A2541" t="s">
        <v>9</v>
      </c>
      <c r="B2541" s="39">
        <v>45779</v>
      </c>
      <c r="C2541" s="40">
        <v>0.5</v>
      </c>
      <c r="D2541" s="41">
        <v>5923.634</v>
      </c>
      <c r="E2541" s="41">
        <v>5941.3909999999996</v>
      </c>
      <c r="F2541" s="41">
        <v>5922.067</v>
      </c>
      <c r="G2541" s="41">
        <v>5939.3019999999997</v>
      </c>
      <c r="H2541" s="41">
        <v>2751422576.48</v>
      </c>
      <c r="I2541" s="42">
        <v>9280</v>
      </c>
    </row>
    <row r="2542" spans="1:9" x14ac:dyDescent="0.25">
      <c r="A2542" t="s">
        <v>9</v>
      </c>
      <c r="B2542" s="39">
        <v>45779</v>
      </c>
      <c r="C2542" s="40">
        <v>0.47916666666666669</v>
      </c>
      <c r="D2542" s="41">
        <v>5921.0230000000001</v>
      </c>
      <c r="E2542" s="41">
        <v>5927.29</v>
      </c>
      <c r="F2542" s="41">
        <v>5916.8440000000001</v>
      </c>
      <c r="G2542" s="41">
        <v>5925.723</v>
      </c>
      <c r="H2542" s="41">
        <v>2505389127.3600001</v>
      </c>
      <c r="I2542" s="42">
        <v>8460</v>
      </c>
    </row>
    <row r="2543" spans="1:9" x14ac:dyDescent="0.25">
      <c r="A2543" t="s">
        <v>9</v>
      </c>
      <c r="B2543" s="39">
        <v>45779</v>
      </c>
      <c r="C2543" s="40">
        <v>0.45833333333333331</v>
      </c>
      <c r="D2543" s="41">
        <v>5922.5889999999999</v>
      </c>
      <c r="E2543" s="41">
        <v>5935.6459999999997</v>
      </c>
      <c r="F2543" s="41">
        <v>5920.5</v>
      </c>
      <c r="G2543" s="41">
        <v>5921.0230000000001</v>
      </c>
      <c r="H2543" s="41">
        <v>4826425910.0600004</v>
      </c>
      <c r="I2543" s="42">
        <v>16280</v>
      </c>
    </row>
    <row r="2544" spans="1:9" x14ac:dyDescent="0.25">
      <c r="A2544" t="s">
        <v>9</v>
      </c>
      <c r="B2544" s="39">
        <v>45779</v>
      </c>
      <c r="C2544" s="40">
        <v>0.4375</v>
      </c>
      <c r="D2544" s="41">
        <v>5922.067</v>
      </c>
      <c r="E2544" s="41">
        <v>5928.857</v>
      </c>
      <c r="F2544" s="41">
        <v>5916.3220000000001</v>
      </c>
      <c r="G2544" s="41">
        <v>5922.5889999999999</v>
      </c>
      <c r="H2544" s="41">
        <v>3908316972.4899998</v>
      </c>
      <c r="I2544" s="42">
        <v>13200</v>
      </c>
    </row>
    <row r="2545" spans="1:9" x14ac:dyDescent="0.25">
      <c r="A2545" t="s">
        <v>9</v>
      </c>
      <c r="B2545" s="39">
        <v>45779</v>
      </c>
      <c r="C2545" s="40">
        <v>0.41666666666666669</v>
      </c>
      <c r="D2545" s="41">
        <v>5936.6909999999998</v>
      </c>
      <c r="E2545" s="41">
        <v>5937.2129999999997</v>
      </c>
      <c r="F2545" s="41">
        <v>5920.5</v>
      </c>
      <c r="G2545" s="41">
        <v>5922.5889999999999</v>
      </c>
      <c r="H2545" s="41">
        <v>4626793650.4700003</v>
      </c>
      <c r="I2545" s="42">
        <v>15605</v>
      </c>
    </row>
    <row r="2546" spans="1:9" x14ac:dyDescent="0.25">
      <c r="A2546" t="s">
        <v>9</v>
      </c>
      <c r="B2546" s="39">
        <v>45779</v>
      </c>
      <c r="C2546" s="40">
        <v>0.39583333333333331</v>
      </c>
      <c r="D2546" s="41">
        <v>5956.0150000000003</v>
      </c>
      <c r="E2546" s="41">
        <v>5964.8940000000002</v>
      </c>
      <c r="F2546" s="41">
        <v>5930.4229999999998</v>
      </c>
      <c r="G2546" s="41">
        <v>5936.6909999999998</v>
      </c>
      <c r="H2546" s="41">
        <v>4833061142.54</v>
      </c>
      <c r="I2546" s="42">
        <v>16270</v>
      </c>
    </row>
    <row r="2547" spans="1:9" x14ac:dyDescent="0.25">
      <c r="A2547" t="s">
        <v>9</v>
      </c>
      <c r="B2547" s="39">
        <v>45779</v>
      </c>
      <c r="C2547" s="40">
        <v>0.375</v>
      </c>
      <c r="D2547" s="41">
        <v>5964.3710000000001</v>
      </c>
      <c r="E2547" s="41">
        <v>5966.9830000000002</v>
      </c>
      <c r="F2547" s="41">
        <v>5944.5249999999996</v>
      </c>
      <c r="G2547" s="41">
        <v>5958.1040000000003</v>
      </c>
      <c r="H2547" s="41">
        <v>4545446572.3999996</v>
      </c>
      <c r="I2547" s="42">
        <v>15265</v>
      </c>
    </row>
    <row r="2548" spans="1:9" x14ac:dyDescent="0.25">
      <c r="A2548" t="s">
        <v>9</v>
      </c>
      <c r="B2548" s="39">
        <v>45777</v>
      </c>
      <c r="C2548" s="40">
        <v>0.75</v>
      </c>
      <c r="D2548" s="41">
        <v>5969.0720000000001</v>
      </c>
      <c r="E2548" s="41">
        <v>5974.2939999999999</v>
      </c>
      <c r="F2548" s="41">
        <v>5958.1040000000003</v>
      </c>
      <c r="G2548" s="41">
        <v>5958.1040000000003</v>
      </c>
      <c r="H2548" s="41">
        <v>1885017739.48</v>
      </c>
      <c r="I2548" s="42">
        <v>6315</v>
      </c>
    </row>
    <row r="2549" spans="1:9" x14ac:dyDescent="0.25">
      <c r="A2549" t="s">
        <v>9</v>
      </c>
      <c r="B2549" s="39">
        <v>45777</v>
      </c>
      <c r="C2549" s="40">
        <v>0.72916666666666663</v>
      </c>
      <c r="D2549" s="41">
        <v>5971.683</v>
      </c>
      <c r="E2549" s="41">
        <v>5972.7280000000001</v>
      </c>
      <c r="F2549" s="41">
        <v>5964.3710000000001</v>
      </c>
      <c r="G2549" s="41">
        <v>5970.116</v>
      </c>
      <c r="H2549" s="41">
        <v>1768414672.5699999</v>
      </c>
      <c r="I2549" s="42">
        <v>5925</v>
      </c>
    </row>
    <row r="2550" spans="1:9" x14ac:dyDescent="0.25">
      <c r="A2550" t="s">
        <v>9</v>
      </c>
      <c r="B2550" s="39">
        <v>45777</v>
      </c>
      <c r="C2550" s="40">
        <v>0.70833333333333337</v>
      </c>
      <c r="D2550" s="41">
        <v>5969.5940000000001</v>
      </c>
      <c r="E2550" s="41">
        <v>5976.384</v>
      </c>
      <c r="F2550" s="41">
        <v>5967.5050000000001</v>
      </c>
      <c r="G2550" s="41">
        <v>5971.683</v>
      </c>
      <c r="H2550" s="41">
        <v>2963115844.5700002</v>
      </c>
      <c r="I2550" s="42">
        <v>9925</v>
      </c>
    </row>
    <row r="2551" spans="1:9" x14ac:dyDescent="0.25">
      <c r="A2551" t="s">
        <v>9</v>
      </c>
      <c r="B2551" s="39">
        <v>45777</v>
      </c>
      <c r="C2551" s="40">
        <v>0.6875</v>
      </c>
      <c r="D2551" s="41">
        <v>5965.4160000000002</v>
      </c>
      <c r="E2551" s="41">
        <v>5976.9059999999999</v>
      </c>
      <c r="F2551" s="41">
        <v>5965.4160000000002</v>
      </c>
      <c r="G2551" s="41">
        <v>5969.5940000000001</v>
      </c>
      <c r="H2551" s="41">
        <v>2931364837.8499999</v>
      </c>
      <c r="I2551" s="42">
        <v>9820</v>
      </c>
    </row>
    <row r="2552" spans="1:9" x14ac:dyDescent="0.25">
      <c r="A2552" t="s">
        <v>9</v>
      </c>
      <c r="B2552" s="39">
        <v>45777</v>
      </c>
      <c r="C2552" s="40">
        <v>0.66666666666666663</v>
      </c>
      <c r="D2552" s="41">
        <v>5959.1490000000003</v>
      </c>
      <c r="E2552" s="41">
        <v>5966.46</v>
      </c>
      <c r="F2552" s="41">
        <v>5954.4480000000003</v>
      </c>
      <c r="G2552" s="41">
        <v>5964.8940000000002</v>
      </c>
      <c r="H2552" s="41">
        <v>2414742565.5700002</v>
      </c>
      <c r="I2552" s="42">
        <v>8100</v>
      </c>
    </row>
    <row r="2553" spans="1:9" x14ac:dyDescent="0.25">
      <c r="A2553" t="s">
        <v>9</v>
      </c>
      <c r="B2553" s="39">
        <v>45777</v>
      </c>
      <c r="C2553" s="40">
        <v>0.64583333333333337</v>
      </c>
      <c r="D2553" s="41">
        <v>5963.3270000000002</v>
      </c>
      <c r="E2553" s="41">
        <v>5966.46</v>
      </c>
      <c r="F2553" s="41">
        <v>5956.0150000000003</v>
      </c>
      <c r="G2553" s="41">
        <v>5958.1040000000003</v>
      </c>
      <c r="H2553" s="41">
        <v>5003208543.1300001</v>
      </c>
      <c r="I2553" s="42">
        <v>16785</v>
      </c>
    </row>
    <row r="2554" spans="1:9" x14ac:dyDescent="0.25">
      <c r="A2554" t="s">
        <v>9</v>
      </c>
      <c r="B2554" s="39">
        <v>45777</v>
      </c>
      <c r="C2554" s="40">
        <v>0.625</v>
      </c>
      <c r="D2554" s="41">
        <v>5971.683</v>
      </c>
      <c r="E2554" s="41">
        <v>5972.7280000000001</v>
      </c>
      <c r="F2554" s="41">
        <v>5954.97</v>
      </c>
      <c r="G2554" s="41">
        <v>5962.8040000000001</v>
      </c>
      <c r="H2554" s="41">
        <v>8332321085.3100004</v>
      </c>
      <c r="I2554" s="42">
        <v>27950</v>
      </c>
    </row>
    <row r="2555" spans="1:9" x14ac:dyDescent="0.25">
      <c r="A2555" t="s">
        <v>9</v>
      </c>
      <c r="B2555" s="39">
        <v>45777</v>
      </c>
      <c r="C2555" s="40">
        <v>0.60416666666666663</v>
      </c>
      <c r="D2555" s="41">
        <v>5972.7280000000001</v>
      </c>
      <c r="E2555" s="41">
        <v>5976.9059999999999</v>
      </c>
      <c r="F2555" s="41">
        <v>5967.5050000000001</v>
      </c>
      <c r="G2555" s="41">
        <v>5971.1610000000001</v>
      </c>
      <c r="H2555" s="41">
        <v>6751226841.6400003</v>
      </c>
      <c r="I2555" s="42">
        <v>22610</v>
      </c>
    </row>
    <row r="2556" spans="1:9" x14ac:dyDescent="0.25">
      <c r="A2556" t="s">
        <v>9</v>
      </c>
      <c r="B2556" s="39">
        <v>45777</v>
      </c>
      <c r="C2556" s="40">
        <v>0.58333333333333337</v>
      </c>
      <c r="D2556" s="41">
        <v>5977.95</v>
      </c>
      <c r="E2556" s="41">
        <v>5981.6059999999998</v>
      </c>
      <c r="F2556" s="41">
        <v>5972.2049999999999</v>
      </c>
      <c r="G2556" s="41">
        <v>5972.7280000000001</v>
      </c>
      <c r="H2556" s="41">
        <v>4219005747.0500002</v>
      </c>
      <c r="I2556" s="42">
        <v>14115</v>
      </c>
    </row>
    <row r="2557" spans="1:9" x14ac:dyDescent="0.25">
      <c r="A2557" t="s">
        <v>9</v>
      </c>
      <c r="B2557" s="39">
        <v>45777</v>
      </c>
      <c r="C2557" s="40">
        <v>0.5625</v>
      </c>
      <c r="D2557" s="41">
        <v>5968.027</v>
      </c>
      <c r="E2557" s="41">
        <v>5982.1289999999999</v>
      </c>
      <c r="F2557" s="41">
        <v>5964.8940000000002</v>
      </c>
      <c r="G2557" s="41">
        <v>5977.4279999999999</v>
      </c>
      <c r="H2557" s="41">
        <v>2879253624.5500002</v>
      </c>
      <c r="I2557" s="42">
        <v>9640</v>
      </c>
    </row>
    <row r="2558" spans="1:9" x14ac:dyDescent="0.25">
      <c r="A2558" t="s">
        <v>9</v>
      </c>
      <c r="B2558" s="39">
        <v>45777</v>
      </c>
      <c r="C2558" s="40">
        <v>0.54166666666666663</v>
      </c>
      <c r="D2558" s="41">
        <v>5955.4930000000004</v>
      </c>
      <c r="E2558" s="41">
        <v>5970.6390000000001</v>
      </c>
      <c r="F2558" s="41">
        <v>5950.7920000000004</v>
      </c>
      <c r="G2558" s="41">
        <v>5969.0720000000001</v>
      </c>
      <c r="H2558" s="41">
        <v>6120396782.4700003</v>
      </c>
      <c r="I2558" s="42">
        <v>20540</v>
      </c>
    </row>
    <row r="2559" spans="1:9" x14ac:dyDescent="0.25">
      <c r="A2559" t="s">
        <v>9</v>
      </c>
      <c r="B2559" s="39">
        <v>45777</v>
      </c>
      <c r="C2559" s="40">
        <v>0.52083333333333337</v>
      </c>
      <c r="D2559" s="41">
        <v>5949.7479999999996</v>
      </c>
      <c r="E2559" s="41">
        <v>5959.6710000000003</v>
      </c>
      <c r="F2559" s="41">
        <v>5948.7030000000004</v>
      </c>
      <c r="G2559" s="41">
        <v>5955.4930000000004</v>
      </c>
      <c r="H2559" s="41">
        <v>4588225398.71</v>
      </c>
      <c r="I2559" s="42">
        <v>15410</v>
      </c>
    </row>
    <row r="2560" spans="1:9" x14ac:dyDescent="0.25">
      <c r="A2560" t="s">
        <v>9</v>
      </c>
      <c r="B2560" s="39">
        <v>45777</v>
      </c>
      <c r="C2560" s="40">
        <v>0.5</v>
      </c>
      <c r="D2560" s="41">
        <v>5954.97</v>
      </c>
      <c r="E2560" s="41">
        <v>5961.76</v>
      </c>
      <c r="F2560" s="41">
        <v>5946.0919999999996</v>
      </c>
      <c r="G2560" s="41">
        <v>5950.7920000000004</v>
      </c>
      <c r="H2560" s="41">
        <v>5693562714.3400002</v>
      </c>
      <c r="I2560" s="42">
        <v>19125</v>
      </c>
    </row>
    <row r="2561" spans="1:9" x14ac:dyDescent="0.25">
      <c r="A2561" t="s">
        <v>9</v>
      </c>
      <c r="B2561" s="39">
        <v>45777</v>
      </c>
      <c r="C2561" s="40">
        <v>0.47916666666666669</v>
      </c>
      <c r="D2561" s="41">
        <v>5961.2380000000003</v>
      </c>
      <c r="E2561" s="41">
        <v>5971.683</v>
      </c>
      <c r="F2561" s="41">
        <v>5953.4040000000005</v>
      </c>
      <c r="G2561" s="41">
        <v>5955.4930000000004</v>
      </c>
      <c r="H2561" s="41">
        <v>4668220439.46</v>
      </c>
      <c r="I2561" s="42">
        <v>15660</v>
      </c>
    </row>
    <row r="2562" spans="1:9" x14ac:dyDescent="0.25">
      <c r="A2562" t="s">
        <v>9</v>
      </c>
      <c r="B2562" s="39">
        <v>45777</v>
      </c>
      <c r="C2562" s="40">
        <v>0.45833333333333331</v>
      </c>
      <c r="D2562" s="41">
        <v>5965.9380000000001</v>
      </c>
      <c r="E2562" s="41">
        <v>5966.46</v>
      </c>
      <c r="F2562" s="41">
        <v>5957.5820000000003</v>
      </c>
      <c r="G2562" s="41">
        <v>5961.2380000000003</v>
      </c>
      <c r="H2562" s="41">
        <v>5762103237.5</v>
      </c>
      <c r="I2562" s="42">
        <v>19330</v>
      </c>
    </row>
    <row r="2563" spans="1:9" x14ac:dyDescent="0.25">
      <c r="A2563" t="s">
        <v>9</v>
      </c>
      <c r="B2563" s="39">
        <v>45777</v>
      </c>
      <c r="C2563" s="40">
        <v>0.4375</v>
      </c>
      <c r="D2563" s="41">
        <v>5972.2049999999999</v>
      </c>
      <c r="E2563" s="41">
        <v>5972.2049999999999</v>
      </c>
      <c r="F2563" s="41">
        <v>5952.3590000000004</v>
      </c>
      <c r="G2563" s="41">
        <v>5965.4160000000002</v>
      </c>
      <c r="H2563" s="41">
        <v>9509026647.1499996</v>
      </c>
      <c r="I2563" s="42">
        <v>31895</v>
      </c>
    </row>
    <row r="2564" spans="1:9" x14ac:dyDescent="0.25">
      <c r="A2564" t="s">
        <v>9</v>
      </c>
      <c r="B2564" s="39">
        <v>45777</v>
      </c>
      <c r="C2564" s="40">
        <v>0.41666666666666669</v>
      </c>
      <c r="D2564" s="41">
        <v>5926.2449999999999</v>
      </c>
      <c r="E2564" s="41">
        <v>5972.2049999999999</v>
      </c>
      <c r="F2564" s="41">
        <v>5919.9780000000001</v>
      </c>
      <c r="G2564" s="41">
        <v>5971.683</v>
      </c>
      <c r="H2564" s="41">
        <v>7813295307.1999998</v>
      </c>
      <c r="I2564" s="42">
        <v>26275</v>
      </c>
    </row>
    <row r="2565" spans="1:9" x14ac:dyDescent="0.25">
      <c r="A2565" t="s">
        <v>9</v>
      </c>
      <c r="B2565" s="39">
        <v>45777</v>
      </c>
      <c r="C2565" s="40">
        <v>0.39583333333333331</v>
      </c>
      <c r="D2565" s="41">
        <v>5911.0990000000002</v>
      </c>
      <c r="E2565" s="41">
        <v>5926.768</v>
      </c>
      <c r="F2565" s="41">
        <v>5906.9210000000003</v>
      </c>
      <c r="G2565" s="41">
        <v>5925.723</v>
      </c>
      <c r="H2565" s="41">
        <v>6038347376.1800003</v>
      </c>
      <c r="I2565" s="42">
        <v>20410</v>
      </c>
    </row>
    <row r="2566" spans="1:9" x14ac:dyDescent="0.25">
      <c r="A2566" t="s">
        <v>9</v>
      </c>
      <c r="B2566" s="39">
        <v>45777</v>
      </c>
      <c r="C2566" s="40">
        <v>0.375</v>
      </c>
      <c r="D2566" s="41">
        <v>5912.6660000000002</v>
      </c>
      <c r="E2566" s="41">
        <v>5916.3220000000001</v>
      </c>
      <c r="F2566" s="41">
        <v>5894.9089999999997</v>
      </c>
      <c r="G2566" s="41">
        <v>5908.4880000000003</v>
      </c>
      <c r="H2566" s="41">
        <v>7756715124.1999998</v>
      </c>
      <c r="I2566" s="42">
        <v>26280</v>
      </c>
    </row>
    <row r="2567" spans="1:9" x14ac:dyDescent="0.25">
      <c r="A2567" t="s">
        <v>9</v>
      </c>
      <c r="B2567" s="39">
        <v>45776</v>
      </c>
      <c r="C2567" s="40">
        <v>0.75</v>
      </c>
      <c r="D2567" s="41">
        <v>5913.7449999999999</v>
      </c>
      <c r="E2567" s="41">
        <v>5914.7969999999996</v>
      </c>
      <c r="F2567" s="41">
        <v>5906.38</v>
      </c>
      <c r="G2567" s="41">
        <v>5909.01</v>
      </c>
      <c r="H2567" s="41">
        <v>486134975.69</v>
      </c>
      <c r="I2567" s="42">
        <v>1645</v>
      </c>
    </row>
    <row r="2568" spans="1:9" x14ac:dyDescent="0.25">
      <c r="A2568" t="s">
        <v>9</v>
      </c>
      <c r="B2568" s="39">
        <v>45776</v>
      </c>
      <c r="C2568" s="40">
        <v>0.72916666666666663</v>
      </c>
      <c r="D2568" s="41">
        <v>5924.2650000000003</v>
      </c>
      <c r="E2568" s="41">
        <v>5925.8440000000001</v>
      </c>
      <c r="F2568" s="41">
        <v>5913.2190000000001</v>
      </c>
      <c r="G2568" s="41">
        <v>5914.2709999999997</v>
      </c>
      <c r="H2568" s="41">
        <v>2450154412.21</v>
      </c>
      <c r="I2568" s="42">
        <v>8280</v>
      </c>
    </row>
    <row r="2569" spans="1:9" x14ac:dyDescent="0.25">
      <c r="A2569" t="s">
        <v>9</v>
      </c>
      <c r="B2569" s="39">
        <v>45776</v>
      </c>
      <c r="C2569" s="40">
        <v>0.70833333333333337</v>
      </c>
      <c r="D2569" s="41">
        <v>5924.7910000000002</v>
      </c>
      <c r="E2569" s="41">
        <v>5927.4219999999996</v>
      </c>
      <c r="F2569" s="41">
        <v>5922.1610000000001</v>
      </c>
      <c r="G2569" s="41">
        <v>5924.2650000000003</v>
      </c>
      <c r="H2569" s="41">
        <v>4608648564.9899998</v>
      </c>
      <c r="I2569" s="42">
        <v>15560</v>
      </c>
    </row>
    <row r="2570" spans="1:9" x14ac:dyDescent="0.25">
      <c r="A2570" t="s">
        <v>9</v>
      </c>
      <c r="B2570" s="39">
        <v>45776</v>
      </c>
      <c r="C2570" s="40">
        <v>0.6875</v>
      </c>
      <c r="D2570" s="41">
        <v>5929.5259999999998</v>
      </c>
      <c r="E2570" s="41">
        <v>5930.0519999999997</v>
      </c>
      <c r="F2570" s="41">
        <v>5924.2650000000003</v>
      </c>
      <c r="G2570" s="41">
        <v>5924.7910000000002</v>
      </c>
      <c r="H2570" s="41">
        <v>2448971347.6700001</v>
      </c>
      <c r="I2570" s="42">
        <v>8265</v>
      </c>
    </row>
    <row r="2571" spans="1:9" x14ac:dyDescent="0.25">
      <c r="A2571" t="s">
        <v>9</v>
      </c>
      <c r="B2571" s="39">
        <v>45776</v>
      </c>
      <c r="C2571" s="40">
        <v>0.66666666666666663</v>
      </c>
      <c r="D2571" s="41">
        <v>5926.8959999999997</v>
      </c>
      <c r="E2571" s="41">
        <v>5931.1040000000003</v>
      </c>
      <c r="F2571" s="41">
        <v>5925.8440000000001</v>
      </c>
      <c r="G2571" s="41">
        <v>5929</v>
      </c>
      <c r="H2571" s="41">
        <v>2602647828.1100001</v>
      </c>
      <c r="I2571" s="42">
        <v>8780</v>
      </c>
    </row>
    <row r="2572" spans="1:9" x14ac:dyDescent="0.25">
      <c r="A2572" t="s">
        <v>9</v>
      </c>
      <c r="B2572" s="39">
        <v>45776</v>
      </c>
      <c r="C2572" s="40">
        <v>0.64583333333333337</v>
      </c>
      <c r="D2572" s="41">
        <v>5931.1040000000003</v>
      </c>
      <c r="E2572" s="41">
        <v>5932.1559999999999</v>
      </c>
      <c r="F2572" s="41">
        <v>5924.7910000000002</v>
      </c>
      <c r="G2572" s="41">
        <v>5927.4219999999996</v>
      </c>
      <c r="H2572" s="41">
        <v>3542344709.1500001</v>
      </c>
      <c r="I2572" s="42">
        <v>11950</v>
      </c>
    </row>
    <row r="2573" spans="1:9" x14ac:dyDescent="0.25">
      <c r="A2573" t="s">
        <v>9</v>
      </c>
      <c r="B2573" s="39">
        <v>45776</v>
      </c>
      <c r="C2573" s="40">
        <v>0.625</v>
      </c>
      <c r="D2573" s="41">
        <v>5927.9480000000003</v>
      </c>
      <c r="E2573" s="41">
        <v>5932.1559999999999</v>
      </c>
      <c r="F2573" s="41">
        <v>5920.5829999999996</v>
      </c>
      <c r="G2573" s="41">
        <v>5931.63</v>
      </c>
      <c r="H2573" s="41">
        <v>3368342296.1500001</v>
      </c>
      <c r="I2573" s="42">
        <v>11365</v>
      </c>
    </row>
    <row r="2574" spans="1:9" x14ac:dyDescent="0.25">
      <c r="A2574" t="s">
        <v>9</v>
      </c>
      <c r="B2574" s="39">
        <v>45776</v>
      </c>
      <c r="C2574" s="40">
        <v>0.60416666666666663</v>
      </c>
      <c r="D2574" s="41">
        <v>5924.2650000000003</v>
      </c>
      <c r="E2574" s="41">
        <v>5929</v>
      </c>
      <c r="F2574" s="41">
        <v>5920.5829999999996</v>
      </c>
      <c r="G2574" s="41">
        <v>5928.4740000000002</v>
      </c>
      <c r="H2574" s="41">
        <v>1647149486.78</v>
      </c>
      <c r="I2574" s="42">
        <v>5560</v>
      </c>
    </row>
    <row r="2575" spans="1:9" x14ac:dyDescent="0.25">
      <c r="A2575" t="s">
        <v>9</v>
      </c>
      <c r="B2575" s="39">
        <v>45776</v>
      </c>
      <c r="C2575" s="40">
        <v>0.58333333333333337</v>
      </c>
      <c r="D2575" s="41">
        <v>5930.0519999999997</v>
      </c>
      <c r="E2575" s="41">
        <v>5934.7860000000001</v>
      </c>
      <c r="F2575" s="41">
        <v>5921.1090000000004</v>
      </c>
      <c r="G2575" s="41">
        <v>5924.2650000000003</v>
      </c>
      <c r="H2575" s="41">
        <v>2926673240.46</v>
      </c>
      <c r="I2575" s="42">
        <v>9875</v>
      </c>
    </row>
    <row r="2576" spans="1:9" x14ac:dyDescent="0.25">
      <c r="A2576" t="s">
        <v>9</v>
      </c>
      <c r="B2576" s="39">
        <v>45776</v>
      </c>
      <c r="C2576" s="40">
        <v>0.5625</v>
      </c>
      <c r="D2576" s="41">
        <v>5927.4219999999996</v>
      </c>
      <c r="E2576" s="41">
        <v>5933.7340000000004</v>
      </c>
      <c r="F2576" s="41">
        <v>5923.2129999999997</v>
      </c>
      <c r="G2576" s="41">
        <v>5930.0519999999997</v>
      </c>
      <c r="H2576" s="41">
        <v>835898091.25</v>
      </c>
      <c r="I2576" s="42">
        <v>2820</v>
      </c>
    </row>
    <row r="2577" spans="1:9" x14ac:dyDescent="0.25">
      <c r="A2577" t="s">
        <v>9</v>
      </c>
      <c r="B2577" s="39">
        <v>45776</v>
      </c>
      <c r="C2577" s="40">
        <v>0.54166666666666663</v>
      </c>
      <c r="D2577" s="41">
        <v>5928.4740000000002</v>
      </c>
      <c r="E2577" s="41">
        <v>5931.1040000000003</v>
      </c>
      <c r="F2577" s="41">
        <v>5922.1610000000001</v>
      </c>
      <c r="G2577" s="41">
        <v>5926.8959999999997</v>
      </c>
      <c r="H2577" s="41">
        <v>3579986440.3899999</v>
      </c>
      <c r="I2577" s="42">
        <v>12080</v>
      </c>
    </row>
    <row r="2578" spans="1:9" x14ac:dyDescent="0.25">
      <c r="A2578" t="s">
        <v>9</v>
      </c>
      <c r="B2578" s="39">
        <v>45776</v>
      </c>
      <c r="C2578" s="40">
        <v>0.52083333333333337</v>
      </c>
      <c r="D2578" s="41">
        <v>5922.6869999999999</v>
      </c>
      <c r="E2578" s="41">
        <v>5929</v>
      </c>
      <c r="F2578" s="41">
        <v>5919.5309999999999</v>
      </c>
      <c r="G2578" s="41">
        <v>5927.9480000000003</v>
      </c>
      <c r="H2578" s="41">
        <v>2605775400.4699998</v>
      </c>
      <c r="I2578" s="42">
        <v>8795</v>
      </c>
    </row>
    <row r="2579" spans="1:9" x14ac:dyDescent="0.25">
      <c r="A2579" t="s">
        <v>9</v>
      </c>
      <c r="B2579" s="39">
        <v>45776</v>
      </c>
      <c r="C2579" s="40">
        <v>0.5</v>
      </c>
      <c r="D2579" s="41">
        <v>5941.0990000000002</v>
      </c>
      <c r="E2579" s="41">
        <v>5943.2030000000004</v>
      </c>
      <c r="F2579" s="41">
        <v>5913.7449999999999</v>
      </c>
      <c r="G2579" s="41">
        <v>5922.6869999999999</v>
      </c>
      <c r="H2579" s="41">
        <v>8157893870.2399998</v>
      </c>
      <c r="I2579" s="42">
        <v>27525</v>
      </c>
    </row>
    <row r="2580" spans="1:9" x14ac:dyDescent="0.25">
      <c r="A2580" t="s">
        <v>9</v>
      </c>
      <c r="B2580" s="39">
        <v>45776</v>
      </c>
      <c r="C2580" s="40">
        <v>0.47916666666666669</v>
      </c>
      <c r="D2580" s="41">
        <v>5944.7809999999999</v>
      </c>
      <c r="E2580" s="41">
        <v>5944.7809999999999</v>
      </c>
      <c r="F2580" s="41">
        <v>5932.1559999999999</v>
      </c>
      <c r="G2580" s="41">
        <v>5941.625</v>
      </c>
      <c r="H2580" s="41">
        <v>3212813364.9299998</v>
      </c>
      <c r="I2580" s="42">
        <v>10820</v>
      </c>
    </row>
    <row r="2581" spans="1:9" x14ac:dyDescent="0.25">
      <c r="A2581" t="s">
        <v>9</v>
      </c>
      <c r="B2581" s="39">
        <v>45776</v>
      </c>
      <c r="C2581" s="40">
        <v>0.45833333333333331</v>
      </c>
      <c r="D2581" s="41">
        <v>5947.4110000000001</v>
      </c>
      <c r="E2581" s="41">
        <v>5951.6189999999997</v>
      </c>
      <c r="F2581" s="41">
        <v>5938.9949999999999</v>
      </c>
      <c r="G2581" s="41">
        <v>5944.7809999999999</v>
      </c>
      <c r="H2581" s="41">
        <v>5105167575.3699999</v>
      </c>
      <c r="I2581" s="42">
        <v>17175</v>
      </c>
    </row>
    <row r="2582" spans="1:9" x14ac:dyDescent="0.25">
      <c r="A2582" t="s">
        <v>9</v>
      </c>
      <c r="B2582" s="39">
        <v>45776</v>
      </c>
      <c r="C2582" s="40">
        <v>0.4375</v>
      </c>
      <c r="D2582" s="41">
        <v>5943.7290000000003</v>
      </c>
      <c r="E2582" s="41">
        <v>5953.1980000000003</v>
      </c>
      <c r="F2582" s="41">
        <v>5938.4679999999998</v>
      </c>
      <c r="G2582" s="41">
        <v>5947.9369999999999</v>
      </c>
      <c r="H2582" s="41">
        <v>4571483689.2399998</v>
      </c>
      <c r="I2582" s="42">
        <v>15375</v>
      </c>
    </row>
    <row r="2583" spans="1:9" x14ac:dyDescent="0.25">
      <c r="A2583" t="s">
        <v>9</v>
      </c>
      <c r="B2583" s="39">
        <v>45776</v>
      </c>
      <c r="C2583" s="40">
        <v>0.41666666666666669</v>
      </c>
      <c r="D2583" s="41">
        <v>5941.0990000000002</v>
      </c>
      <c r="E2583" s="41">
        <v>5955.3019999999997</v>
      </c>
      <c r="F2583" s="41">
        <v>5940.0469999999996</v>
      </c>
      <c r="G2583" s="41">
        <v>5943.2030000000004</v>
      </c>
      <c r="H2583" s="41">
        <v>5002067761.5799999</v>
      </c>
      <c r="I2583" s="42">
        <v>16820</v>
      </c>
    </row>
    <row r="2584" spans="1:9" x14ac:dyDescent="0.25">
      <c r="A2584" t="s">
        <v>9</v>
      </c>
      <c r="B2584" s="39">
        <v>45776</v>
      </c>
      <c r="C2584" s="40">
        <v>0.39583333333333331</v>
      </c>
      <c r="D2584" s="41">
        <v>5942.1509999999998</v>
      </c>
      <c r="E2584" s="41">
        <v>5949.5150000000003</v>
      </c>
      <c r="F2584" s="41">
        <v>5933.2079999999996</v>
      </c>
      <c r="G2584" s="41">
        <v>5941.0990000000002</v>
      </c>
      <c r="H2584" s="41">
        <v>3467046780.5599999</v>
      </c>
      <c r="I2584" s="42">
        <v>11675</v>
      </c>
    </row>
    <row r="2585" spans="1:9" x14ac:dyDescent="0.25">
      <c r="A2585" t="s">
        <v>9</v>
      </c>
      <c r="B2585" s="39">
        <v>45776</v>
      </c>
      <c r="C2585" s="40">
        <v>0.375</v>
      </c>
      <c r="D2585" s="41">
        <v>5954.7759999999998</v>
      </c>
      <c r="E2585" s="41">
        <v>5958.4579999999996</v>
      </c>
      <c r="F2585" s="41">
        <v>5940.0469999999996</v>
      </c>
      <c r="G2585" s="41">
        <v>5942.6769999999997</v>
      </c>
      <c r="H2585" s="41">
        <v>3474562580.7399998</v>
      </c>
      <c r="I2585" s="42">
        <v>11680</v>
      </c>
    </row>
    <row r="2586" spans="1:9" x14ac:dyDescent="0.25">
      <c r="A2586" t="s">
        <v>9</v>
      </c>
      <c r="B2586" s="39">
        <v>45775</v>
      </c>
      <c r="C2586" s="40">
        <v>0.75</v>
      </c>
      <c r="D2586" s="41">
        <v>5950.567</v>
      </c>
      <c r="E2586" s="41">
        <v>5952.6719999999996</v>
      </c>
      <c r="F2586" s="41">
        <v>5946.3590000000004</v>
      </c>
      <c r="G2586" s="41">
        <v>5952.1459999999997</v>
      </c>
      <c r="H2586" s="41">
        <v>685664018.25999999</v>
      </c>
      <c r="I2586" s="42">
        <v>2305</v>
      </c>
    </row>
    <row r="2587" spans="1:9" x14ac:dyDescent="0.25">
      <c r="A2587" t="s">
        <v>9</v>
      </c>
      <c r="B2587" s="39">
        <v>45775</v>
      </c>
      <c r="C2587" s="40">
        <v>0.72916666666666663</v>
      </c>
      <c r="D2587" s="41">
        <v>5949.5150000000003</v>
      </c>
      <c r="E2587" s="41">
        <v>5952.6719999999996</v>
      </c>
      <c r="F2587" s="41">
        <v>5949.5150000000003</v>
      </c>
      <c r="G2587" s="41">
        <v>5950.0410000000002</v>
      </c>
      <c r="H2587" s="41">
        <v>621900311.38</v>
      </c>
      <c r="I2587" s="42">
        <v>2090</v>
      </c>
    </row>
    <row r="2588" spans="1:9" x14ac:dyDescent="0.25">
      <c r="A2588" t="s">
        <v>9</v>
      </c>
      <c r="B2588" s="39">
        <v>45775</v>
      </c>
      <c r="C2588" s="40">
        <v>0.70833333333333337</v>
      </c>
      <c r="D2588" s="41">
        <v>5944.2550000000001</v>
      </c>
      <c r="E2588" s="41">
        <v>5950.0410000000002</v>
      </c>
      <c r="F2588" s="41">
        <v>5942.1509999999998</v>
      </c>
      <c r="G2588" s="41">
        <v>5949.5150000000003</v>
      </c>
      <c r="H2588" s="41">
        <v>2109414991.22</v>
      </c>
      <c r="I2588" s="42">
        <v>7095</v>
      </c>
    </row>
    <row r="2589" spans="1:9" x14ac:dyDescent="0.25">
      <c r="A2589" t="s">
        <v>9</v>
      </c>
      <c r="B2589" s="39">
        <v>45775</v>
      </c>
      <c r="C2589" s="40">
        <v>0.6875</v>
      </c>
      <c r="D2589" s="41">
        <v>5950.567</v>
      </c>
      <c r="E2589" s="41">
        <v>5950.567</v>
      </c>
      <c r="F2589" s="41">
        <v>5942.1509999999998</v>
      </c>
      <c r="G2589" s="41">
        <v>5943.7290000000003</v>
      </c>
      <c r="H2589" s="41">
        <v>2485245505.75</v>
      </c>
      <c r="I2589" s="42">
        <v>8360</v>
      </c>
    </row>
    <row r="2590" spans="1:9" x14ac:dyDescent="0.25">
      <c r="A2590" t="s">
        <v>9</v>
      </c>
      <c r="B2590" s="39">
        <v>45775</v>
      </c>
      <c r="C2590" s="40">
        <v>0.66666666666666663</v>
      </c>
      <c r="D2590" s="41">
        <v>5947.9369999999999</v>
      </c>
      <c r="E2590" s="41">
        <v>5953.1980000000003</v>
      </c>
      <c r="F2590" s="41">
        <v>5946.8850000000002</v>
      </c>
      <c r="G2590" s="41">
        <v>5949.5150000000003</v>
      </c>
      <c r="H2590" s="41">
        <v>1908178948.02</v>
      </c>
      <c r="I2590" s="42">
        <v>6415</v>
      </c>
    </row>
    <row r="2591" spans="1:9" x14ac:dyDescent="0.25">
      <c r="A2591" t="s">
        <v>9</v>
      </c>
      <c r="B2591" s="39">
        <v>45775</v>
      </c>
      <c r="C2591" s="40">
        <v>0.64583333333333337</v>
      </c>
      <c r="D2591" s="41">
        <v>5951.0929999999998</v>
      </c>
      <c r="E2591" s="41">
        <v>5954.7759999999998</v>
      </c>
      <c r="F2591" s="41">
        <v>5946.8850000000002</v>
      </c>
      <c r="G2591" s="41">
        <v>5948.4629999999997</v>
      </c>
      <c r="H2591" s="41">
        <v>5882371935.7600002</v>
      </c>
      <c r="I2591" s="42">
        <v>19770</v>
      </c>
    </row>
    <row r="2592" spans="1:9" x14ac:dyDescent="0.25">
      <c r="A2592" t="s">
        <v>9</v>
      </c>
      <c r="B2592" s="39">
        <v>45775</v>
      </c>
      <c r="C2592" s="40">
        <v>0.625</v>
      </c>
      <c r="D2592" s="41">
        <v>5963.192</v>
      </c>
      <c r="E2592" s="41">
        <v>5963.7179999999998</v>
      </c>
      <c r="F2592" s="41">
        <v>5951.0929999999998</v>
      </c>
      <c r="G2592" s="41">
        <v>5951.6189999999997</v>
      </c>
      <c r="H2592" s="41">
        <v>6300005817.5200005</v>
      </c>
      <c r="I2592" s="42">
        <v>21145</v>
      </c>
    </row>
    <row r="2593" spans="1:9" x14ac:dyDescent="0.25">
      <c r="A2593" t="s">
        <v>9</v>
      </c>
      <c r="B2593" s="39">
        <v>45775</v>
      </c>
      <c r="C2593" s="40">
        <v>0.60416666666666663</v>
      </c>
      <c r="D2593" s="41">
        <v>5973.1869999999999</v>
      </c>
      <c r="E2593" s="41">
        <v>5973.1869999999999</v>
      </c>
      <c r="F2593" s="41">
        <v>5959.51</v>
      </c>
      <c r="G2593" s="41">
        <v>5964.2439999999997</v>
      </c>
      <c r="H2593" s="41">
        <v>2928946391.9299998</v>
      </c>
      <c r="I2593" s="42">
        <v>9820</v>
      </c>
    </row>
    <row r="2594" spans="1:9" x14ac:dyDescent="0.25">
      <c r="A2594" t="s">
        <v>9</v>
      </c>
      <c r="B2594" s="39">
        <v>45775</v>
      </c>
      <c r="C2594" s="40">
        <v>0.58333333333333337</v>
      </c>
      <c r="D2594" s="41">
        <v>5977.3950000000004</v>
      </c>
      <c r="E2594" s="41">
        <v>5984.2340000000004</v>
      </c>
      <c r="F2594" s="41">
        <v>5971.0829999999996</v>
      </c>
      <c r="G2594" s="41">
        <v>5973.7129999999997</v>
      </c>
      <c r="H2594" s="41">
        <v>3115038262.1399999</v>
      </c>
      <c r="I2594" s="42">
        <v>10425</v>
      </c>
    </row>
    <row r="2595" spans="1:9" x14ac:dyDescent="0.25">
      <c r="A2595" t="s">
        <v>9</v>
      </c>
      <c r="B2595" s="39">
        <v>45775</v>
      </c>
      <c r="C2595" s="40">
        <v>0.5625</v>
      </c>
      <c r="D2595" s="41">
        <v>5980.0259999999998</v>
      </c>
      <c r="E2595" s="41">
        <v>5980.5519999999997</v>
      </c>
      <c r="F2595" s="41">
        <v>5973.1869999999999</v>
      </c>
      <c r="G2595" s="41">
        <v>5977.9210000000003</v>
      </c>
      <c r="H2595" s="41">
        <v>2767494510.4200001</v>
      </c>
      <c r="I2595" s="42">
        <v>9260</v>
      </c>
    </row>
    <row r="2596" spans="1:9" x14ac:dyDescent="0.25">
      <c r="A2596" t="s">
        <v>9</v>
      </c>
      <c r="B2596" s="39">
        <v>45775</v>
      </c>
      <c r="C2596" s="40">
        <v>0.54166666666666663</v>
      </c>
      <c r="D2596" s="41">
        <v>5975.817</v>
      </c>
      <c r="E2596" s="41">
        <v>5986.3379999999997</v>
      </c>
      <c r="F2596" s="41">
        <v>5975.2910000000002</v>
      </c>
      <c r="G2596" s="41">
        <v>5979.5</v>
      </c>
      <c r="H2596" s="41">
        <v>4583778696.6800003</v>
      </c>
      <c r="I2596" s="42">
        <v>15325</v>
      </c>
    </row>
    <row r="2597" spans="1:9" x14ac:dyDescent="0.25">
      <c r="A2597" t="s">
        <v>9</v>
      </c>
      <c r="B2597" s="39">
        <v>45775</v>
      </c>
      <c r="C2597" s="40">
        <v>0.52083333333333337</v>
      </c>
      <c r="D2597" s="41">
        <v>5980.5519999999997</v>
      </c>
      <c r="E2597" s="41">
        <v>5985.8119999999999</v>
      </c>
      <c r="F2597" s="41">
        <v>5973.7129999999997</v>
      </c>
      <c r="G2597" s="41">
        <v>5975.2910000000002</v>
      </c>
      <c r="H2597" s="41">
        <v>2888602523.3899999</v>
      </c>
      <c r="I2597" s="42">
        <v>9660</v>
      </c>
    </row>
    <row r="2598" spans="1:9" x14ac:dyDescent="0.25">
      <c r="A2598" t="s">
        <v>9</v>
      </c>
      <c r="B2598" s="39">
        <v>45775</v>
      </c>
      <c r="C2598" s="40">
        <v>0.5</v>
      </c>
      <c r="D2598" s="41">
        <v>5972.1350000000002</v>
      </c>
      <c r="E2598" s="41">
        <v>5985.8119999999999</v>
      </c>
      <c r="F2598" s="41">
        <v>5967.9269999999997</v>
      </c>
      <c r="G2598" s="41">
        <v>5980.5519999999997</v>
      </c>
      <c r="H2598" s="41">
        <v>5201604563.25</v>
      </c>
      <c r="I2598" s="42">
        <v>17405</v>
      </c>
    </row>
    <row r="2599" spans="1:9" x14ac:dyDescent="0.25">
      <c r="A2599" t="s">
        <v>9</v>
      </c>
      <c r="B2599" s="39">
        <v>45775</v>
      </c>
      <c r="C2599" s="40">
        <v>0.47916666666666669</v>
      </c>
      <c r="D2599" s="41">
        <v>5957.4059999999999</v>
      </c>
      <c r="E2599" s="41">
        <v>5973.1869999999999</v>
      </c>
      <c r="F2599" s="41">
        <v>5950.567</v>
      </c>
      <c r="G2599" s="41">
        <v>5972.1350000000002</v>
      </c>
      <c r="H2599" s="41">
        <v>4760125145.0799999</v>
      </c>
      <c r="I2599" s="42">
        <v>15970</v>
      </c>
    </row>
    <row r="2600" spans="1:9" x14ac:dyDescent="0.25">
      <c r="A2600" t="s">
        <v>9</v>
      </c>
      <c r="B2600" s="39">
        <v>45775</v>
      </c>
      <c r="C2600" s="40">
        <v>0.45833333333333331</v>
      </c>
      <c r="D2600" s="41">
        <v>5947.4110000000001</v>
      </c>
      <c r="E2600" s="41">
        <v>5960.0360000000001</v>
      </c>
      <c r="F2600" s="41">
        <v>5943.2030000000004</v>
      </c>
      <c r="G2600" s="41">
        <v>5957.4059999999999</v>
      </c>
      <c r="H2600" s="41">
        <v>4476840367.1300001</v>
      </c>
      <c r="I2600" s="42">
        <v>15040</v>
      </c>
    </row>
    <row r="2601" spans="1:9" x14ac:dyDescent="0.25">
      <c r="A2601" t="s">
        <v>9</v>
      </c>
      <c r="B2601" s="39">
        <v>45775</v>
      </c>
      <c r="C2601" s="40">
        <v>0.4375</v>
      </c>
      <c r="D2601" s="41">
        <v>5966.3490000000002</v>
      </c>
      <c r="E2601" s="41">
        <v>5966.3490000000002</v>
      </c>
      <c r="F2601" s="41">
        <v>5946.8850000000002</v>
      </c>
      <c r="G2601" s="41">
        <v>5946.8850000000002</v>
      </c>
      <c r="H2601" s="41">
        <v>3498720716.5799999</v>
      </c>
      <c r="I2601" s="42">
        <v>11755</v>
      </c>
    </row>
    <row r="2602" spans="1:9" x14ac:dyDescent="0.25">
      <c r="A2602" t="s">
        <v>9</v>
      </c>
      <c r="B2602" s="39">
        <v>45775</v>
      </c>
      <c r="C2602" s="40">
        <v>0.41666666666666669</v>
      </c>
      <c r="D2602" s="41">
        <v>5964.77</v>
      </c>
      <c r="E2602" s="41">
        <v>5969.5050000000001</v>
      </c>
      <c r="F2602" s="41">
        <v>5958.4579999999996</v>
      </c>
      <c r="G2602" s="41">
        <v>5966.875</v>
      </c>
      <c r="H2602" s="41">
        <v>3777089911.3299999</v>
      </c>
      <c r="I2602" s="42">
        <v>12665</v>
      </c>
    </row>
    <row r="2603" spans="1:9" x14ac:dyDescent="0.25">
      <c r="A2603" t="s">
        <v>9</v>
      </c>
      <c r="B2603" s="39">
        <v>45775</v>
      </c>
      <c r="C2603" s="40">
        <v>0.39583333333333331</v>
      </c>
      <c r="D2603" s="41">
        <v>5982.6559999999999</v>
      </c>
      <c r="E2603" s="41">
        <v>5986.8639999999996</v>
      </c>
      <c r="F2603" s="41">
        <v>5960.0360000000001</v>
      </c>
      <c r="G2603" s="41">
        <v>5964.2439999999997</v>
      </c>
      <c r="H2603" s="41">
        <v>9944580795.9099998</v>
      </c>
      <c r="I2603" s="42">
        <v>33275</v>
      </c>
    </row>
    <row r="2604" spans="1:9" x14ac:dyDescent="0.25">
      <c r="A2604" t="s">
        <v>9</v>
      </c>
      <c r="B2604" s="39">
        <v>45775</v>
      </c>
      <c r="C2604" s="40">
        <v>0.375</v>
      </c>
      <c r="D2604" s="41">
        <v>5995.2809999999999</v>
      </c>
      <c r="E2604" s="41">
        <v>5998.9629999999997</v>
      </c>
      <c r="F2604" s="41">
        <v>5982.13</v>
      </c>
      <c r="G2604" s="41">
        <v>5982.6559999999999</v>
      </c>
      <c r="H2604" s="41">
        <v>1893901952.3900001</v>
      </c>
      <c r="I2604" s="42">
        <v>6325</v>
      </c>
    </row>
    <row r="2605" spans="1:9" x14ac:dyDescent="0.25">
      <c r="A2605" t="s">
        <v>9</v>
      </c>
      <c r="B2605" s="39">
        <v>45772</v>
      </c>
      <c r="C2605" s="40">
        <v>0.75</v>
      </c>
      <c r="D2605" s="41">
        <v>5984.76</v>
      </c>
      <c r="E2605" s="41">
        <v>5990.5460000000003</v>
      </c>
      <c r="F2605" s="41">
        <v>5982.13</v>
      </c>
      <c r="G2605" s="41">
        <v>5986.8639999999996</v>
      </c>
      <c r="H2605" s="41">
        <v>312753553.20999998</v>
      </c>
      <c r="I2605" s="42">
        <v>1045</v>
      </c>
    </row>
    <row r="2606" spans="1:9" x14ac:dyDescent="0.25">
      <c r="A2606" t="s">
        <v>9</v>
      </c>
      <c r="B2606" s="39">
        <v>45772</v>
      </c>
      <c r="C2606" s="40">
        <v>0.72916666666666663</v>
      </c>
      <c r="D2606" s="41">
        <v>5987.9160000000002</v>
      </c>
      <c r="E2606" s="41">
        <v>5988.442</v>
      </c>
      <c r="F2606" s="41">
        <v>5983.1819999999998</v>
      </c>
      <c r="G2606" s="41">
        <v>5984.2340000000004</v>
      </c>
      <c r="H2606" s="41">
        <v>848445598.01999998</v>
      </c>
      <c r="I2606" s="42">
        <v>2835</v>
      </c>
    </row>
    <row r="2607" spans="1:9" x14ac:dyDescent="0.25">
      <c r="A2607" t="s">
        <v>9</v>
      </c>
      <c r="B2607" s="39">
        <v>45772</v>
      </c>
      <c r="C2607" s="40">
        <v>0.70833333333333337</v>
      </c>
      <c r="D2607" s="41">
        <v>5990.02</v>
      </c>
      <c r="E2607" s="41">
        <v>5993.1769999999997</v>
      </c>
      <c r="F2607" s="41">
        <v>5986.8639999999996</v>
      </c>
      <c r="G2607" s="41">
        <v>5987.9160000000002</v>
      </c>
      <c r="H2607" s="41">
        <v>1929980686.52</v>
      </c>
      <c r="I2607" s="42">
        <v>6445</v>
      </c>
    </row>
    <row r="2608" spans="1:9" x14ac:dyDescent="0.25">
      <c r="A2608" t="s">
        <v>9</v>
      </c>
      <c r="B2608" s="39">
        <v>45772</v>
      </c>
      <c r="C2608" s="40">
        <v>0.6875</v>
      </c>
      <c r="D2608" s="41">
        <v>5982.6559999999999</v>
      </c>
      <c r="E2608" s="41">
        <v>5990.02</v>
      </c>
      <c r="F2608" s="41">
        <v>5982.6559999999999</v>
      </c>
      <c r="G2608" s="41">
        <v>5990.02</v>
      </c>
      <c r="H2608" s="41">
        <v>1464801839.6199999</v>
      </c>
      <c r="I2608" s="42">
        <v>4895</v>
      </c>
    </row>
    <row r="2609" spans="1:9" x14ac:dyDescent="0.25">
      <c r="A2609" t="s">
        <v>9</v>
      </c>
      <c r="B2609" s="39">
        <v>45772</v>
      </c>
      <c r="C2609" s="40">
        <v>0.66666666666666663</v>
      </c>
      <c r="D2609" s="41">
        <v>5986.8639999999996</v>
      </c>
      <c r="E2609" s="41">
        <v>5988.442</v>
      </c>
      <c r="F2609" s="41">
        <v>5981.0780000000004</v>
      </c>
      <c r="G2609" s="41">
        <v>5982.6559999999999</v>
      </c>
      <c r="H2609" s="41">
        <v>3152465895</v>
      </c>
      <c r="I2609" s="42">
        <v>10535</v>
      </c>
    </row>
    <row r="2610" spans="1:9" x14ac:dyDescent="0.25">
      <c r="A2610" t="s">
        <v>9</v>
      </c>
      <c r="B2610" s="39">
        <v>45772</v>
      </c>
      <c r="C2610" s="40">
        <v>0.64583333333333337</v>
      </c>
      <c r="D2610" s="41">
        <v>5984.76</v>
      </c>
      <c r="E2610" s="41">
        <v>5991.5990000000002</v>
      </c>
      <c r="F2610" s="41">
        <v>5984.2340000000004</v>
      </c>
      <c r="G2610" s="41">
        <v>5986.3379999999997</v>
      </c>
      <c r="H2610" s="41">
        <v>3094267036.5100002</v>
      </c>
      <c r="I2610" s="42">
        <v>10335</v>
      </c>
    </row>
    <row r="2611" spans="1:9" x14ac:dyDescent="0.25">
      <c r="A2611" t="s">
        <v>9</v>
      </c>
      <c r="B2611" s="39">
        <v>45772</v>
      </c>
      <c r="C2611" s="40">
        <v>0.625</v>
      </c>
      <c r="D2611" s="41">
        <v>5983.7079999999996</v>
      </c>
      <c r="E2611" s="41">
        <v>5988.442</v>
      </c>
      <c r="F2611" s="41">
        <v>5980.5519999999997</v>
      </c>
      <c r="G2611" s="41">
        <v>5985.2860000000001</v>
      </c>
      <c r="H2611" s="41">
        <v>3140582119.5300002</v>
      </c>
      <c r="I2611" s="42">
        <v>10495</v>
      </c>
    </row>
    <row r="2612" spans="1:9" x14ac:dyDescent="0.25">
      <c r="A2612" t="s">
        <v>9</v>
      </c>
      <c r="B2612" s="39">
        <v>45772</v>
      </c>
      <c r="C2612" s="40">
        <v>0.60416666666666663</v>
      </c>
      <c r="D2612" s="41">
        <v>5978.9740000000002</v>
      </c>
      <c r="E2612" s="41">
        <v>5987.9160000000002</v>
      </c>
      <c r="F2612" s="41">
        <v>5975.2910000000002</v>
      </c>
      <c r="G2612" s="41">
        <v>5984.2340000000004</v>
      </c>
      <c r="H2612" s="41">
        <v>4491393665.3999996</v>
      </c>
      <c r="I2612" s="42">
        <v>15015</v>
      </c>
    </row>
    <row r="2613" spans="1:9" x14ac:dyDescent="0.25">
      <c r="A2613" t="s">
        <v>9</v>
      </c>
      <c r="B2613" s="39">
        <v>45772</v>
      </c>
      <c r="C2613" s="40">
        <v>0.58333333333333337</v>
      </c>
      <c r="D2613" s="41">
        <v>5970.0309999999999</v>
      </c>
      <c r="E2613" s="41">
        <v>5979.5</v>
      </c>
      <c r="F2613" s="41">
        <v>5970.0309999999999</v>
      </c>
      <c r="G2613" s="41">
        <v>5978.9740000000002</v>
      </c>
      <c r="H2613" s="41">
        <v>2922104054.7800002</v>
      </c>
      <c r="I2613" s="42">
        <v>9780</v>
      </c>
    </row>
    <row r="2614" spans="1:9" x14ac:dyDescent="0.25">
      <c r="A2614" t="s">
        <v>9</v>
      </c>
      <c r="B2614" s="39">
        <v>45772</v>
      </c>
      <c r="C2614" s="40">
        <v>0.5625</v>
      </c>
      <c r="D2614" s="41">
        <v>5971.0829999999996</v>
      </c>
      <c r="E2614" s="41">
        <v>5972.1350000000002</v>
      </c>
      <c r="F2614" s="41">
        <v>5964.2439999999997</v>
      </c>
      <c r="G2614" s="41">
        <v>5970.5569999999998</v>
      </c>
      <c r="H2614" s="41">
        <v>2488525629.7800002</v>
      </c>
      <c r="I2614" s="42">
        <v>8340</v>
      </c>
    </row>
    <row r="2615" spans="1:9" x14ac:dyDescent="0.25">
      <c r="A2615" t="s">
        <v>9</v>
      </c>
      <c r="B2615" s="39">
        <v>45772</v>
      </c>
      <c r="C2615" s="40">
        <v>0.54166666666666663</v>
      </c>
      <c r="D2615" s="41">
        <v>5982.13</v>
      </c>
      <c r="E2615" s="41">
        <v>5988.9679999999998</v>
      </c>
      <c r="F2615" s="41">
        <v>5968.4530000000004</v>
      </c>
      <c r="G2615" s="41">
        <v>5970.5569999999998</v>
      </c>
      <c r="H2615" s="41">
        <v>2968023424.02</v>
      </c>
      <c r="I2615" s="42">
        <v>9930</v>
      </c>
    </row>
    <row r="2616" spans="1:9" x14ac:dyDescent="0.25">
      <c r="A2616" t="s">
        <v>9</v>
      </c>
      <c r="B2616" s="39">
        <v>45772</v>
      </c>
      <c r="C2616" s="40">
        <v>0.52083333333333337</v>
      </c>
      <c r="D2616" s="41">
        <v>5990.5460000000003</v>
      </c>
      <c r="E2616" s="41">
        <v>5991.0730000000003</v>
      </c>
      <c r="F2616" s="41">
        <v>5979.5</v>
      </c>
      <c r="G2616" s="41">
        <v>5982.6559999999999</v>
      </c>
      <c r="H2616" s="41">
        <v>2626853833.6100001</v>
      </c>
      <c r="I2616" s="42">
        <v>8780</v>
      </c>
    </row>
    <row r="2617" spans="1:9" x14ac:dyDescent="0.25">
      <c r="A2617" t="s">
        <v>9</v>
      </c>
      <c r="B2617" s="39">
        <v>45772</v>
      </c>
      <c r="C2617" s="40">
        <v>0.5</v>
      </c>
      <c r="D2617" s="41">
        <v>5976.8689999999997</v>
      </c>
      <c r="E2617" s="41">
        <v>5992.6509999999998</v>
      </c>
      <c r="F2617" s="41">
        <v>5976.3429999999998</v>
      </c>
      <c r="G2617" s="41">
        <v>5991.0730000000003</v>
      </c>
      <c r="H2617" s="41">
        <v>4155046943.5999999</v>
      </c>
      <c r="I2617" s="42">
        <v>13885</v>
      </c>
    </row>
    <row r="2618" spans="1:9" x14ac:dyDescent="0.25">
      <c r="A2618" t="s">
        <v>9</v>
      </c>
      <c r="B2618" s="39">
        <v>45772</v>
      </c>
      <c r="C2618" s="40">
        <v>0.47916666666666669</v>
      </c>
      <c r="D2618" s="41">
        <v>5984.2340000000004</v>
      </c>
      <c r="E2618" s="41">
        <v>5990.02</v>
      </c>
      <c r="F2618" s="41">
        <v>5977.3950000000004</v>
      </c>
      <c r="G2618" s="41">
        <v>5977.3950000000004</v>
      </c>
      <c r="H2618" s="41">
        <v>3418038765.9400001</v>
      </c>
      <c r="I2618" s="42">
        <v>11425</v>
      </c>
    </row>
    <row r="2619" spans="1:9" x14ac:dyDescent="0.25">
      <c r="A2619" t="s">
        <v>9</v>
      </c>
      <c r="B2619" s="39">
        <v>45772</v>
      </c>
      <c r="C2619" s="40">
        <v>0.45833333333333331</v>
      </c>
      <c r="D2619" s="41">
        <v>5982.13</v>
      </c>
      <c r="E2619" s="41">
        <v>5993.1769999999997</v>
      </c>
      <c r="F2619" s="41">
        <v>5981.6040000000003</v>
      </c>
      <c r="G2619" s="41">
        <v>5984.2340000000004</v>
      </c>
      <c r="H2619" s="41">
        <v>7000564665.6800003</v>
      </c>
      <c r="I2619" s="42">
        <v>23390</v>
      </c>
    </row>
    <row r="2620" spans="1:9" x14ac:dyDescent="0.25">
      <c r="A2620" t="s">
        <v>9</v>
      </c>
      <c r="B2620" s="39">
        <v>45772</v>
      </c>
      <c r="C2620" s="40">
        <v>0.4375</v>
      </c>
      <c r="D2620" s="41">
        <v>5991.0730000000003</v>
      </c>
      <c r="E2620" s="41">
        <v>6000.5410000000002</v>
      </c>
      <c r="F2620" s="41">
        <v>5977.9210000000003</v>
      </c>
      <c r="G2620" s="41">
        <v>5982.6559999999999</v>
      </c>
      <c r="H2620" s="41">
        <v>3770445759.8499999</v>
      </c>
      <c r="I2620" s="42">
        <v>12585</v>
      </c>
    </row>
    <row r="2621" spans="1:9" x14ac:dyDescent="0.25">
      <c r="A2621" t="s">
        <v>9</v>
      </c>
      <c r="B2621" s="39">
        <v>45772</v>
      </c>
      <c r="C2621" s="40">
        <v>0.41666666666666669</v>
      </c>
      <c r="D2621" s="41">
        <v>5986.3379999999997</v>
      </c>
      <c r="E2621" s="41">
        <v>5996.8590000000004</v>
      </c>
      <c r="F2621" s="41">
        <v>5984.2340000000004</v>
      </c>
      <c r="G2621" s="41">
        <v>5990.02</v>
      </c>
      <c r="H2621" s="41">
        <v>3294106968.8699999</v>
      </c>
      <c r="I2621" s="42">
        <v>11000</v>
      </c>
    </row>
    <row r="2622" spans="1:9" x14ac:dyDescent="0.25">
      <c r="A2622" t="s">
        <v>9</v>
      </c>
      <c r="B2622" s="39">
        <v>45772</v>
      </c>
      <c r="C2622" s="40">
        <v>0.39583333333333331</v>
      </c>
      <c r="D2622" s="41">
        <v>6006.3280000000004</v>
      </c>
      <c r="E2622" s="41">
        <v>6008.4319999999998</v>
      </c>
      <c r="F2622" s="41">
        <v>5985.2860000000001</v>
      </c>
      <c r="G2622" s="41">
        <v>5986.8639999999996</v>
      </c>
      <c r="H2622" s="41">
        <v>3603556594.73</v>
      </c>
      <c r="I2622" s="42">
        <v>12015</v>
      </c>
    </row>
    <row r="2623" spans="1:9" x14ac:dyDescent="0.25">
      <c r="A2623" t="s">
        <v>9</v>
      </c>
      <c r="B2623" s="39">
        <v>45772</v>
      </c>
      <c r="C2623" s="40">
        <v>0.375</v>
      </c>
      <c r="D2623" s="41">
        <v>6000.5410000000002</v>
      </c>
      <c r="E2623" s="41">
        <v>6008.9579999999996</v>
      </c>
      <c r="F2623" s="41">
        <v>5980.0259999999998</v>
      </c>
      <c r="G2623" s="41">
        <v>6006.8540000000003</v>
      </c>
      <c r="H2623" s="41">
        <v>4050259987.1900001</v>
      </c>
      <c r="I2623" s="42">
        <v>13520</v>
      </c>
    </row>
    <row r="2624" spans="1:9" x14ac:dyDescent="0.25">
      <c r="A2624" t="s">
        <v>9</v>
      </c>
      <c r="B2624" s="39">
        <v>45771</v>
      </c>
      <c r="C2624" s="40">
        <v>0.75</v>
      </c>
      <c r="D2624" s="41">
        <v>5985.8119999999999</v>
      </c>
      <c r="E2624" s="41">
        <v>5986.8639999999996</v>
      </c>
      <c r="F2624" s="41">
        <v>5980.5519999999997</v>
      </c>
      <c r="G2624" s="41">
        <v>5983.7079999999996</v>
      </c>
      <c r="H2624" s="41">
        <v>294749956.88</v>
      </c>
      <c r="I2624">
        <v>985</v>
      </c>
    </row>
    <row r="2625" spans="1:9" x14ac:dyDescent="0.25">
      <c r="A2625" t="s">
        <v>9</v>
      </c>
      <c r="B2625" s="39">
        <v>45771</v>
      </c>
      <c r="C2625" s="40">
        <v>0.72916666666666663</v>
      </c>
      <c r="D2625" s="41">
        <v>5987.39</v>
      </c>
      <c r="E2625" s="41">
        <v>5987.39</v>
      </c>
      <c r="F2625" s="41">
        <v>5983.7079999999996</v>
      </c>
      <c r="G2625" s="41">
        <v>5984.76</v>
      </c>
      <c r="H2625" s="41">
        <v>1075948935.48</v>
      </c>
      <c r="I2625" s="42">
        <v>3595</v>
      </c>
    </row>
    <row r="2626" spans="1:9" x14ac:dyDescent="0.25">
      <c r="A2626" t="s">
        <v>9</v>
      </c>
      <c r="B2626" s="39">
        <v>45771</v>
      </c>
      <c r="C2626" s="40">
        <v>0.70833333333333337</v>
      </c>
      <c r="D2626" s="41">
        <v>5995.8069999999998</v>
      </c>
      <c r="E2626" s="41">
        <v>5996.3329999999996</v>
      </c>
      <c r="F2626" s="41">
        <v>5982.13</v>
      </c>
      <c r="G2626" s="41">
        <v>5987.39</v>
      </c>
      <c r="H2626" s="41">
        <v>3087303052.5500002</v>
      </c>
      <c r="I2626" s="42">
        <v>10310</v>
      </c>
    </row>
    <row r="2627" spans="1:9" x14ac:dyDescent="0.25">
      <c r="A2627" t="s">
        <v>9</v>
      </c>
      <c r="B2627" s="39">
        <v>45771</v>
      </c>
      <c r="C2627" s="40">
        <v>0.6875</v>
      </c>
      <c r="D2627" s="41">
        <v>5985.2860000000001</v>
      </c>
      <c r="E2627" s="41">
        <v>5995.8069999999998</v>
      </c>
      <c r="F2627" s="41">
        <v>5983.7079999999996</v>
      </c>
      <c r="G2627" s="41">
        <v>5995.8069999999998</v>
      </c>
      <c r="H2627" s="41">
        <v>5352851132.2299995</v>
      </c>
      <c r="I2627" s="42">
        <v>17880</v>
      </c>
    </row>
    <row r="2628" spans="1:9" x14ac:dyDescent="0.25">
      <c r="A2628" t="s">
        <v>9</v>
      </c>
      <c r="B2628" s="39">
        <v>45771</v>
      </c>
      <c r="C2628" s="40">
        <v>0.66666666666666663</v>
      </c>
      <c r="D2628" s="41">
        <v>5985.8119999999999</v>
      </c>
      <c r="E2628" s="41">
        <v>5987.9160000000002</v>
      </c>
      <c r="F2628" s="41">
        <v>5984.2340000000004</v>
      </c>
      <c r="G2628" s="41">
        <v>5985.8119999999999</v>
      </c>
      <c r="H2628" s="41">
        <v>1812288121.4400001</v>
      </c>
      <c r="I2628" s="42">
        <v>6055</v>
      </c>
    </row>
    <row r="2629" spans="1:9" x14ac:dyDescent="0.25">
      <c r="A2629" t="s">
        <v>9</v>
      </c>
      <c r="B2629" s="39">
        <v>45771</v>
      </c>
      <c r="C2629" s="40">
        <v>0.64583333333333337</v>
      </c>
      <c r="D2629" s="41">
        <v>5980.5519999999997</v>
      </c>
      <c r="E2629" s="41">
        <v>5986.8639999999996</v>
      </c>
      <c r="F2629" s="41">
        <v>5977.9210000000003</v>
      </c>
      <c r="G2629" s="41">
        <v>5985.2860000000001</v>
      </c>
      <c r="H2629" s="41">
        <v>4595083827.8699999</v>
      </c>
      <c r="I2629" s="42">
        <v>15360</v>
      </c>
    </row>
    <row r="2630" spans="1:9" x14ac:dyDescent="0.25">
      <c r="A2630" t="s">
        <v>9</v>
      </c>
      <c r="B2630" s="39">
        <v>45771</v>
      </c>
      <c r="C2630" s="40">
        <v>0.625</v>
      </c>
      <c r="D2630" s="41">
        <v>5984.2340000000004</v>
      </c>
      <c r="E2630" s="41">
        <v>5986.8639999999996</v>
      </c>
      <c r="F2630" s="41">
        <v>5980.0259999999998</v>
      </c>
      <c r="G2630" s="41">
        <v>5980.0259999999998</v>
      </c>
      <c r="H2630" s="41">
        <v>3193574494.5700002</v>
      </c>
      <c r="I2630" s="42">
        <v>10675</v>
      </c>
    </row>
    <row r="2631" spans="1:9" x14ac:dyDescent="0.25">
      <c r="A2631" t="s">
        <v>9</v>
      </c>
      <c r="B2631" s="39">
        <v>45771</v>
      </c>
      <c r="C2631" s="40">
        <v>0.60416666666666663</v>
      </c>
      <c r="D2631" s="41">
        <v>5978.4480000000003</v>
      </c>
      <c r="E2631" s="41">
        <v>5985.2860000000001</v>
      </c>
      <c r="F2631" s="41">
        <v>5973.1869999999999</v>
      </c>
      <c r="G2631" s="41">
        <v>5984.2340000000004</v>
      </c>
      <c r="H2631" s="41">
        <v>2925986100.3699999</v>
      </c>
      <c r="I2631" s="42">
        <v>9790</v>
      </c>
    </row>
    <row r="2632" spans="1:9" x14ac:dyDescent="0.25">
      <c r="A2632" t="s">
        <v>9</v>
      </c>
      <c r="B2632" s="39">
        <v>45771</v>
      </c>
      <c r="C2632" s="40">
        <v>0.58333333333333337</v>
      </c>
      <c r="D2632" s="41">
        <v>5977.9210000000003</v>
      </c>
      <c r="E2632" s="41">
        <v>5980.5519999999997</v>
      </c>
      <c r="F2632" s="41">
        <v>5975.817</v>
      </c>
      <c r="G2632" s="41">
        <v>5979.5</v>
      </c>
      <c r="H2632" s="41">
        <v>2795101103.1700001</v>
      </c>
      <c r="I2632" s="42">
        <v>9350</v>
      </c>
    </row>
    <row r="2633" spans="1:9" x14ac:dyDescent="0.25">
      <c r="A2633" t="s">
        <v>9</v>
      </c>
      <c r="B2633" s="39">
        <v>45771</v>
      </c>
      <c r="C2633" s="40">
        <v>0.5625</v>
      </c>
      <c r="D2633" s="41">
        <v>5968.4530000000004</v>
      </c>
      <c r="E2633" s="41">
        <v>5988.9679999999998</v>
      </c>
      <c r="F2633" s="41">
        <v>5966.875</v>
      </c>
      <c r="G2633" s="41">
        <v>5977.3950000000004</v>
      </c>
      <c r="H2633" s="41">
        <v>5161989654.9899998</v>
      </c>
      <c r="I2633" s="42">
        <v>17260</v>
      </c>
    </row>
    <row r="2634" spans="1:9" x14ac:dyDescent="0.25">
      <c r="A2634" t="s">
        <v>9</v>
      </c>
      <c r="B2634" s="39">
        <v>45771</v>
      </c>
      <c r="C2634" s="40">
        <v>0.54166666666666663</v>
      </c>
      <c r="D2634" s="41">
        <v>5973.1869999999999</v>
      </c>
      <c r="E2634" s="41">
        <v>5978.4480000000003</v>
      </c>
      <c r="F2634" s="41">
        <v>5966.875</v>
      </c>
      <c r="G2634" s="41">
        <v>5968.4530000000004</v>
      </c>
      <c r="H2634" s="41">
        <v>4299509171.3699999</v>
      </c>
      <c r="I2634" s="42">
        <v>14400</v>
      </c>
    </row>
    <row r="2635" spans="1:9" x14ac:dyDescent="0.25">
      <c r="A2635" t="s">
        <v>9</v>
      </c>
      <c r="B2635" s="39">
        <v>45771</v>
      </c>
      <c r="C2635" s="40">
        <v>0.52083333333333337</v>
      </c>
      <c r="D2635" s="41">
        <v>5977.3950000000004</v>
      </c>
      <c r="E2635" s="41">
        <v>5978.4480000000003</v>
      </c>
      <c r="F2635" s="41">
        <v>5963.7179999999998</v>
      </c>
      <c r="G2635" s="41">
        <v>5973.1869999999999</v>
      </c>
      <c r="H2635" s="41">
        <v>2855963435</v>
      </c>
      <c r="I2635" s="42">
        <v>9565</v>
      </c>
    </row>
    <row r="2636" spans="1:9" x14ac:dyDescent="0.25">
      <c r="A2636" t="s">
        <v>9</v>
      </c>
      <c r="B2636" s="39">
        <v>45771</v>
      </c>
      <c r="C2636" s="40">
        <v>0.5</v>
      </c>
      <c r="D2636" s="41">
        <v>5977.9210000000003</v>
      </c>
      <c r="E2636" s="41">
        <v>5980.0259999999998</v>
      </c>
      <c r="F2636" s="41">
        <v>5970.0309999999999</v>
      </c>
      <c r="G2636" s="41">
        <v>5977.9210000000003</v>
      </c>
      <c r="H2636" s="41">
        <v>4638816973.79</v>
      </c>
      <c r="I2636" s="42">
        <v>15525</v>
      </c>
    </row>
    <row r="2637" spans="1:9" x14ac:dyDescent="0.25">
      <c r="A2637" t="s">
        <v>9</v>
      </c>
      <c r="B2637" s="39">
        <v>45771</v>
      </c>
      <c r="C2637" s="40">
        <v>0.47916666666666669</v>
      </c>
      <c r="D2637" s="41">
        <v>5984.2340000000004</v>
      </c>
      <c r="E2637" s="41">
        <v>5990.5460000000003</v>
      </c>
      <c r="F2637" s="41">
        <v>5974.2389999999996</v>
      </c>
      <c r="G2637" s="41">
        <v>5977.9210000000003</v>
      </c>
      <c r="H2637" s="41">
        <v>3499834869.8499999</v>
      </c>
      <c r="I2637" s="42">
        <v>11700</v>
      </c>
    </row>
    <row r="2638" spans="1:9" x14ac:dyDescent="0.25">
      <c r="A2638" t="s">
        <v>9</v>
      </c>
      <c r="B2638" s="39">
        <v>45771</v>
      </c>
      <c r="C2638" s="40">
        <v>0.45833333333333331</v>
      </c>
      <c r="D2638" s="41">
        <v>5977.9210000000003</v>
      </c>
      <c r="E2638" s="41">
        <v>5994.7550000000001</v>
      </c>
      <c r="F2638" s="41">
        <v>5972.6610000000001</v>
      </c>
      <c r="G2638" s="41">
        <v>5983.1819999999998</v>
      </c>
      <c r="H2638" s="41">
        <v>9505475660.4400005</v>
      </c>
      <c r="I2638" s="42">
        <v>31765</v>
      </c>
    </row>
    <row r="2639" spans="1:9" x14ac:dyDescent="0.25">
      <c r="A2639" t="s">
        <v>9</v>
      </c>
      <c r="B2639" s="39">
        <v>45771</v>
      </c>
      <c r="C2639" s="40">
        <v>0.4375</v>
      </c>
      <c r="D2639" s="41">
        <v>5973.1869999999999</v>
      </c>
      <c r="E2639" s="41">
        <v>5993.1769999999997</v>
      </c>
      <c r="F2639" s="41">
        <v>5965.8230000000003</v>
      </c>
      <c r="G2639" s="41">
        <v>5977.9210000000003</v>
      </c>
      <c r="H2639" s="41">
        <v>6487883857.4300003</v>
      </c>
      <c r="I2639" s="42">
        <v>21690</v>
      </c>
    </row>
    <row r="2640" spans="1:9" x14ac:dyDescent="0.25">
      <c r="A2640" t="s">
        <v>9</v>
      </c>
      <c r="B2640" s="39">
        <v>45771</v>
      </c>
      <c r="C2640" s="40">
        <v>0.41666666666666669</v>
      </c>
      <c r="D2640" s="41">
        <v>5980.5519999999997</v>
      </c>
      <c r="E2640" s="41">
        <v>5982.13</v>
      </c>
      <c r="F2640" s="41">
        <v>5964.77</v>
      </c>
      <c r="G2640" s="41">
        <v>5972.6610000000001</v>
      </c>
      <c r="H2640" s="41">
        <v>5264919952.3100004</v>
      </c>
      <c r="I2640" s="42">
        <v>17630</v>
      </c>
    </row>
    <row r="2641" spans="1:9" x14ac:dyDescent="0.25">
      <c r="A2641" t="s">
        <v>9</v>
      </c>
      <c r="B2641" s="39">
        <v>45771</v>
      </c>
      <c r="C2641" s="40">
        <v>0.39583333333333331</v>
      </c>
      <c r="D2641" s="41">
        <v>5990.5460000000003</v>
      </c>
      <c r="E2641" s="41">
        <v>5993.1769999999997</v>
      </c>
      <c r="F2641" s="41">
        <v>5970.5569999999998</v>
      </c>
      <c r="G2641" s="41">
        <v>5980.0259999999998</v>
      </c>
      <c r="H2641" s="41">
        <v>4926467622.8599997</v>
      </c>
      <c r="I2641" s="42">
        <v>16470</v>
      </c>
    </row>
    <row r="2642" spans="1:9" x14ac:dyDescent="0.25">
      <c r="A2642" t="s">
        <v>9</v>
      </c>
      <c r="B2642" s="39">
        <v>45771</v>
      </c>
      <c r="C2642" s="40">
        <v>0.375</v>
      </c>
      <c r="D2642" s="41">
        <v>6011.5879999999997</v>
      </c>
      <c r="E2642" s="41">
        <v>6011.5879999999997</v>
      </c>
      <c r="F2642" s="41">
        <v>5978.4480000000003</v>
      </c>
      <c r="G2642" s="41">
        <v>5988.9679999999998</v>
      </c>
      <c r="H2642" s="41">
        <v>5688352901.8699999</v>
      </c>
      <c r="I2642" s="42">
        <v>18990</v>
      </c>
    </row>
    <row r="2643" spans="1:9" x14ac:dyDescent="0.25">
      <c r="A2643" t="s">
        <v>9</v>
      </c>
      <c r="B2643" s="39">
        <v>45770</v>
      </c>
      <c r="C2643" s="40">
        <v>0.75</v>
      </c>
      <c r="D2643" s="41">
        <v>6012.64</v>
      </c>
      <c r="E2643" s="41">
        <v>6015.7960000000003</v>
      </c>
      <c r="F2643" s="41">
        <v>6006.3280000000004</v>
      </c>
      <c r="G2643" s="41">
        <v>6007.38</v>
      </c>
      <c r="H2643" s="41">
        <v>1025155145.7</v>
      </c>
      <c r="I2643" s="42">
        <v>3410</v>
      </c>
    </row>
    <row r="2644" spans="1:9" x14ac:dyDescent="0.25">
      <c r="A2644" t="s">
        <v>9</v>
      </c>
      <c r="B2644" s="39">
        <v>45770</v>
      </c>
      <c r="C2644" s="40">
        <v>0.72916666666666663</v>
      </c>
      <c r="D2644" s="41">
        <v>6013.1660000000002</v>
      </c>
      <c r="E2644" s="41">
        <v>6014.2179999999998</v>
      </c>
      <c r="F2644" s="41">
        <v>6010.5360000000001</v>
      </c>
      <c r="G2644" s="41">
        <v>6013.692</v>
      </c>
      <c r="H2644" s="41">
        <v>605812290.65999997</v>
      </c>
      <c r="I2644" s="42">
        <v>2015</v>
      </c>
    </row>
    <row r="2645" spans="1:9" x14ac:dyDescent="0.25">
      <c r="A2645" t="s">
        <v>9</v>
      </c>
      <c r="B2645" s="39">
        <v>45770</v>
      </c>
      <c r="C2645" s="40">
        <v>0.70833333333333337</v>
      </c>
      <c r="D2645" s="41">
        <v>6021.5829999999996</v>
      </c>
      <c r="E2645" s="41">
        <v>6024.7389999999996</v>
      </c>
      <c r="F2645" s="41">
        <v>6012.64</v>
      </c>
      <c r="G2645" s="41">
        <v>6013.1660000000002</v>
      </c>
      <c r="H2645" s="41">
        <v>10319169723.91</v>
      </c>
      <c r="I2645" s="42">
        <v>34300</v>
      </c>
    </row>
    <row r="2646" spans="1:9" x14ac:dyDescent="0.25">
      <c r="A2646" t="s">
        <v>9</v>
      </c>
      <c r="B2646" s="39">
        <v>45770</v>
      </c>
      <c r="C2646" s="40">
        <v>0.6875</v>
      </c>
      <c r="D2646" s="41">
        <v>6018.4269999999997</v>
      </c>
      <c r="E2646" s="41">
        <v>6034.7340000000004</v>
      </c>
      <c r="F2646" s="41">
        <v>6017.9009999999998</v>
      </c>
      <c r="G2646" s="41">
        <v>6021.5829999999996</v>
      </c>
      <c r="H2646" s="41">
        <v>3944255379.0999999</v>
      </c>
      <c r="I2646" s="42">
        <v>13090</v>
      </c>
    </row>
    <row r="2647" spans="1:9" x14ac:dyDescent="0.25">
      <c r="A2647" t="s">
        <v>9</v>
      </c>
      <c r="B2647" s="39">
        <v>45770</v>
      </c>
      <c r="C2647" s="40">
        <v>0.66666666666666663</v>
      </c>
      <c r="D2647" s="41">
        <v>6014.7439999999997</v>
      </c>
      <c r="E2647" s="41">
        <v>6020.5309999999999</v>
      </c>
      <c r="F2647" s="41">
        <v>6012.1139999999996</v>
      </c>
      <c r="G2647" s="41">
        <v>6019.4790000000003</v>
      </c>
      <c r="H2647" s="41">
        <v>5829547367.5600004</v>
      </c>
      <c r="I2647" s="42">
        <v>19380</v>
      </c>
    </row>
    <row r="2648" spans="1:9" x14ac:dyDescent="0.25">
      <c r="A2648" t="s">
        <v>9</v>
      </c>
      <c r="B2648" s="39">
        <v>45770</v>
      </c>
      <c r="C2648" s="40">
        <v>0.64583333333333337</v>
      </c>
      <c r="D2648" s="41">
        <v>6016.3220000000001</v>
      </c>
      <c r="E2648" s="41">
        <v>6020.0050000000001</v>
      </c>
      <c r="F2648" s="41">
        <v>6010.5360000000001</v>
      </c>
      <c r="G2648" s="41">
        <v>6014.2179999999998</v>
      </c>
      <c r="H2648" s="41">
        <v>13340616481.440001</v>
      </c>
      <c r="I2648" s="42">
        <v>44350</v>
      </c>
    </row>
    <row r="2649" spans="1:9" x14ac:dyDescent="0.25">
      <c r="A2649" t="s">
        <v>9</v>
      </c>
      <c r="B2649" s="39">
        <v>45770</v>
      </c>
      <c r="C2649" s="40">
        <v>0.625</v>
      </c>
      <c r="D2649" s="41">
        <v>6011.5879999999997</v>
      </c>
      <c r="E2649" s="41">
        <v>6015.7960000000003</v>
      </c>
      <c r="F2649" s="41">
        <v>6007.9059999999999</v>
      </c>
      <c r="G2649" s="41">
        <v>6015.7960000000003</v>
      </c>
      <c r="H2649" s="41">
        <v>8507946965.5</v>
      </c>
      <c r="I2649" s="42">
        <v>28295</v>
      </c>
    </row>
    <row r="2650" spans="1:9" x14ac:dyDescent="0.25">
      <c r="A2650" t="s">
        <v>9</v>
      </c>
      <c r="B2650" s="39">
        <v>45770</v>
      </c>
      <c r="C2650" s="40">
        <v>0.60416666666666663</v>
      </c>
      <c r="D2650" s="41">
        <v>6021.5829999999996</v>
      </c>
      <c r="E2650" s="41">
        <v>6026.8429999999998</v>
      </c>
      <c r="F2650" s="41">
        <v>6011.0619999999999</v>
      </c>
      <c r="G2650" s="41">
        <v>6011.5879999999997</v>
      </c>
      <c r="H2650" s="41">
        <v>3943923579.21</v>
      </c>
      <c r="I2650" s="42">
        <v>13105</v>
      </c>
    </row>
    <row r="2651" spans="1:9" x14ac:dyDescent="0.25">
      <c r="A2651" t="s">
        <v>9</v>
      </c>
      <c r="B2651" s="39">
        <v>45770</v>
      </c>
      <c r="C2651" s="40">
        <v>0.58333333333333337</v>
      </c>
      <c r="D2651" s="41">
        <v>6012.64</v>
      </c>
      <c r="E2651" s="41">
        <v>6025.7910000000002</v>
      </c>
      <c r="F2651" s="41">
        <v>6006.8540000000003</v>
      </c>
      <c r="G2651" s="41">
        <v>6022.1090000000004</v>
      </c>
      <c r="H2651" s="41">
        <v>6472542682.3599997</v>
      </c>
      <c r="I2651" s="42">
        <v>21520</v>
      </c>
    </row>
    <row r="2652" spans="1:9" x14ac:dyDescent="0.25">
      <c r="A2652" t="s">
        <v>9</v>
      </c>
      <c r="B2652" s="39">
        <v>45770</v>
      </c>
      <c r="C2652" s="40">
        <v>0.5625</v>
      </c>
      <c r="D2652" s="41">
        <v>6003.6970000000001</v>
      </c>
      <c r="E2652" s="41">
        <v>6012.64</v>
      </c>
      <c r="F2652" s="41">
        <v>6000.5410000000002</v>
      </c>
      <c r="G2652" s="41">
        <v>6012.1139999999996</v>
      </c>
      <c r="H2652" s="41">
        <v>6341189509.3299999</v>
      </c>
      <c r="I2652" s="42">
        <v>21115</v>
      </c>
    </row>
    <row r="2653" spans="1:9" x14ac:dyDescent="0.25">
      <c r="A2653" t="s">
        <v>9</v>
      </c>
      <c r="B2653" s="39">
        <v>45770</v>
      </c>
      <c r="C2653" s="40">
        <v>0.54166666666666663</v>
      </c>
      <c r="D2653" s="41">
        <v>6000.5410000000002</v>
      </c>
      <c r="E2653" s="41">
        <v>6008.4319999999998</v>
      </c>
      <c r="F2653" s="41">
        <v>5996.8590000000004</v>
      </c>
      <c r="G2653" s="41">
        <v>6005.2759999999998</v>
      </c>
      <c r="H2653" s="41">
        <v>3319154112.75</v>
      </c>
      <c r="I2653" s="42">
        <v>11060</v>
      </c>
    </row>
    <row r="2654" spans="1:9" x14ac:dyDescent="0.25">
      <c r="A2654" t="s">
        <v>9</v>
      </c>
      <c r="B2654" s="39">
        <v>45770</v>
      </c>
      <c r="C2654" s="40">
        <v>0.52083333333333337</v>
      </c>
      <c r="D2654" s="41">
        <v>6014.2179999999998</v>
      </c>
      <c r="E2654" s="41">
        <v>6016.848</v>
      </c>
      <c r="F2654" s="41">
        <v>6000.0150000000003</v>
      </c>
      <c r="G2654" s="41">
        <v>6000.5410000000002</v>
      </c>
      <c r="H2654" s="41">
        <v>3252558599.6500001</v>
      </c>
      <c r="I2654" s="42">
        <v>10825</v>
      </c>
    </row>
    <row r="2655" spans="1:9" x14ac:dyDescent="0.25">
      <c r="A2655" t="s">
        <v>9</v>
      </c>
      <c r="B2655" s="39">
        <v>45770</v>
      </c>
      <c r="C2655" s="40">
        <v>0.5</v>
      </c>
      <c r="D2655" s="41">
        <v>5996.8590000000004</v>
      </c>
      <c r="E2655" s="41">
        <v>6014.7439999999997</v>
      </c>
      <c r="F2655" s="41">
        <v>5993.1769999999997</v>
      </c>
      <c r="G2655" s="41">
        <v>6014.2179999999998</v>
      </c>
      <c r="H2655" s="41">
        <v>4958905500.8500004</v>
      </c>
      <c r="I2655" s="42">
        <v>16525</v>
      </c>
    </row>
    <row r="2656" spans="1:9" x14ac:dyDescent="0.25">
      <c r="A2656" t="s">
        <v>9</v>
      </c>
      <c r="B2656" s="39">
        <v>45770</v>
      </c>
      <c r="C2656" s="40">
        <v>0.47916666666666669</v>
      </c>
      <c r="D2656" s="41">
        <v>5990.5460000000003</v>
      </c>
      <c r="E2656" s="41">
        <v>6004.2240000000002</v>
      </c>
      <c r="F2656" s="41">
        <v>5989.4939999999997</v>
      </c>
      <c r="G2656" s="41">
        <v>5997.3850000000002</v>
      </c>
      <c r="H2656" s="41">
        <v>5329050572.2600002</v>
      </c>
      <c r="I2656" s="42">
        <v>17775</v>
      </c>
    </row>
    <row r="2657" spans="1:9" x14ac:dyDescent="0.25">
      <c r="A2657" t="s">
        <v>9</v>
      </c>
      <c r="B2657" s="39">
        <v>45770</v>
      </c>
      <c r="C2657" s="40">
        <v>0.45833333333333331</v>
      </c>
      <c r="D2657" s="41">
        <v>5980.5519999999997</v>
      </c>
      <c r="E2657" s="41">
        <v>5991.5990000000002</v>
      </c>
      <c r="F2657" s="41">
        <v>5967.4009999999998</v>
      </c>
      <c r="G2657" s="41">
        <v>5991.0730000000003</v>
      </c>
      <c r="H2657" s="41">
        <v>8062862593.4399996</v>
      </c>
      <c r="I2657" s="42">
        <v>26965</v>
      </c>
    </row>
    <row r="2658" spans="1:9" x14ac:dyDescent="0.25">
      <c r="A2658" t="s">
        <v>9</v>
      </c>
      <c r="B2658" s="39">
        <v>45770</v>
      </c>
      <c r="C2658" s="40">
        <v>0.4375</v>
      </c>
      <c r="D2658" s="41">
        <v>5986.3379999999997</v>
      </c>
      <c r="E2658" s="41">
        <v>5988.9679999999998</v>
      </c>
      <c r="F2658" s="41">
        <v>5959.51</v>
      </c>
      <c r="G2658" s="41">
        <v>5981.0780000000004</v>
      </c>
      <c r="H2658" s="41">
        <v>6697156612.1899996</v>
      </c>
      <c r="I2658" s="42">
        <v>22425</v>
      </c>
    </row>
    <row r="2659" spans="1:9" x14ac:dyDescent="0.25">
      <c r="A2659" t="s">
        <v>9</v>
      </c>
      <c r="B2659" s="39">
        <v>45770</v>
      </c>
      <c r="C2659" s="40">
        <v>0.41666666666666669</v>
      </c>
      <c r="D2659" s="41">
        <v>5988.9679999999998</v>
      </c>
      <c r="E2659" s="41">
        <v>5995.8069999999998</v>
      </c>
      <c r="F2659" s="41">
        <v>5978.9740000000002</v>
      </c>
      <c r="G2659" s="41">
        <v>5986.8639999999996</v>
      </c>
      <c r="H2659" s="41">
        <v>4623612569.1899996</v>
      </c>
      <c r="I2659" s="42">
        <v>15445</v>
      </c>
    </row>
    <row r="2660" spans="1:9" x14ac:dyDescent="0.25">
      <c r="A2660" t="s">
        <v>9</v>
      </c>
      <c r="B2660" s="39">
        <v>45770</v>
      </c>
      <c r="C2660" s="40">
        <v>0.39583333333333331</v>
      </c>
      <c r="D2660" s="41">
        <v>5985.2860000000001</v>
      </c>
      <c r="E2660" s="41">
        <v>6000.0150000000003</v>
      </c>
      <c r="F2660" s="41">
        <v>5980.0259999999998</v>
      </c>
      <c r="G2660" s="41">
        <v>5987.9160000000002</v>
      </c>
      <c r="H2660" s="41">
        <v>3626845712.0599999</v>
      </c>
      <c r="I2660" s="42">
        <v>12110</v>
      </c>
    </row>
    <row r="2661" spans="1:9" x14ac:dyDescent="0.25">
      <c r="A2661" t="s">
        <v>9</v>
      </c>
      <c r="B2661" s="39">
        <v>45770</v>
      </c>
      <c r="C2661" s="40">
        <v>0.375</v>
      </c>
      <c r="D2661" s="41">
        <v>6005.2759999999998</v>
      </c>
      <c r="E2661" s="41">
        <v>6014.2179999999998</v>
      </c>
      <c r="F2661" s="41">
        <v>5981.0780000000004</v>
      </c>
      <c r="G2661" s="41">
        <v>5985.8119999999999</v>
      </c>
      <c r="H2661" s="41">
        <v>5609694365.0900002</v>
      </c>
      <c r="I2661" s="42">
        <v>18705</v>
      </c>
    </row>
    <row r="2662" spans="1:9" x14ac:dyDescent="0.25">
      <c r="A2662" t="s">
        <v>9</v>
      </c>
      <c r="B2662" s="39">
        <v>45769</v>
      </c>
      <c r="C2662" s="40">
        <v>0.75</v>
      </c>
      <c r="D2662" s="41">
        <v>6031.0519999999997</v>
      </c>
      <c r="E2662" s="41">
        <v>6032.63</v>
      </c>
      <c r="F2662" s="41">
        <v>6024.2129999999997</v>
      </c>
      <c r="G2662" s="41">
        <v>6025.7910000000002</v>
      </c>
      <c r="H2662" s="41">
        <v>435570144.93000001</v>
      </c>
      <c r="I2662" s="42">
        <v>1445</v>
      </c>
    </row>
    <row r="2663" spans="1:9" x14ac:dyDescent="0.25">
      <c r="A2663" t="s">
        <v>9</v>
      </c>
      <c r="B2663" s="39">
        <v>45769</v>
      </c>
      <c r="C2663" s="40">
        <v>0.72916666666666663</v>
      </c>
      <c r="D2663" s="41">
        <v>6036.8379999999997</v>
      </c>
      <c r="E2663" s="41">
        <v>6038.4160000000002</v>
      </c>
      <c r="F2663" s="41">
        <v>6031.0519999999997</v>
      </c>
      <c r="G2663" s="41">
        <v>6033.1559999999999</v>
      </c>
      <c r="H2663" s="41">
        <v>876548378.24000001</v>
      </c>
      <c r="I2663" s="42">
        <v>2905</v>
      </c>
    </row>
    <row r="2664" spans="1:9" x14ac:dyDescent="0.25">
      <c r="A2664" t="s">
        <v>9</v>
      </c>
      <c r="B2664" s="39">
        <v>45769</v>
      </c>
      <c r="C2664" s="40">
        <v>0.70833333333333337</v>
      </c>
      <c r="D2664" s="41">
        <v>6035.26</v>
      </c>
      <c r="E2664" s="41">
        <v>6039.9939999999997</v>
      </c>
      <c r="F2664" s="41">
        <v>6029.9989999999998</v>
      </c>
      <c r="G2664" s="41">
        <v>6036.8379999999997</v>
      </c>
      <c r="H2664" s="41">
        <v>1508868626.5699999</v>
      </c>
      <c r="I2664" s="42">
        <v>5000</v>
      </c>
    </row>
    <row r="2665" spans="1:9" x14ac:dyDescent="0.25">
      <c r="A2665" t="s">
        <v>9</v>
      </c>
      <c r="B2665" s="39">
        <v>45769</v>
      </c>
      <c r="C2665" s="40">
        <v>0.6875</v>
      </c>
      <c r="D2665" s="41">
        <v>6027.8950000000004</v>
      </c>
      <c r="E2665" s="41">
        <v>6035.7860000000001</v>
      </c>
      <c r="F2665" s="41">
        <v>6027.8950000000004</v>
      </c>
      <c r="G2665" s="41">
        <v>6035.26</v>
      </c>
      <c r="H2665" s="41">
        <v>2742328612.96</v>
      </c>
      <c r="I2665" s="42">
        <v>9095</v>
      </c>
    </row>
    <row r="2666" spans="1:9" x14ac:dyDescent="0.25">
      <c r="A2666" t="s">
        <v>9</v>
      </c>
      <c r="B2666" s="39">
        <v>45769</v>
      </c>
      <c r="C2666" s="40">
        <v>0.66666666666666663</v>
      </c>
      <c r="D2666" s="41">
        <v>6028.4210000000003</v>
      </c>
      <c r="E2666" s="41">
        <v>6030.5259999999998</v>
      </c>
      <c r="F2666" s="41">
        <v>6026.317</v>
      </c>
      <c r="G2666" s="41">
        <v>6027.8950000000004</v>
      </c>
      <c r="H2666" s="41">
        <v>3775192878.6500001</v>
      </c>
      <c r="I2666" s="42">
        <v>12525</v>
      </c>
    </row>
    <row r="2667" spans="1:9" x14ac:dyDescent="0.25">
      <c r="A2667" t="s">
        <v>9</v>
      </c>
      <c r="B2667" s="39">
        <v>45769</v>
      </c>
      <c r="C2667" s="40">
        <v>0.64583333333333337</v>
      </c>
      <c r="D2667" s="41">
        <v>6030.5259999999998</v>
      </c>
      <c r="E2667" s="41">
        <v>6038.942</v>
      </c>
      <c r="F2667" s="41">
        <v>6025.2650000000003</v>
      </c>
      <c r="G2667" s="41">
        <v>6028.4210000000003</v>
      </c>
      <c r="H2667" s="41">
        <v>2958223162.5</v>
      </c>
      <c r="I2667" s="42">
        <v>9810</v>
      </c>
    </row>
    <row r="2668" spans="1:9" x14ac:dyDescent="0.25">
      <c r="A2668" t="s">
        <v>9</v>
      </c>
      <c r="B2668" s="39">
        <v>45769</v>
      </c>
      <c r="C2668" s="40">
        <v>0.625</v>
      </c>
      <c r="D2668" s="41">
        <v>6044.7290000000003</v>
      </c>
      <c r="E2668" s="41">
        <v>6046.8329999999996</v>
      </c>
      <c r="F2668" s="41">
        <v>6028.4210000000003</v>
      </c>
      <c r="G2668" s="41">
        <v>6031.0519999999997</v>
      </c>
      <c r="H2668" s="41">
        <v>4005824051.4899998</v>
      </c>
      <c r="I2668" s="42">
        <v>13270</v>
      </c>
    </row>
    <row r="2669" spans="1:9" x14ac:dyDescent="0.25">
      <c r="A2669" t="s">
        <v>9</v>
      </c>
      <c r="B2669" s="39">
        <v>45769</v>
      </c>
      <c r="C2669" s="40">
        <v>0.60416666666666663</v>
      </c>
      <c r="D2669" s="41">
        <v>6048.9369999999999</v>
      </c>
      <c r="E2669" s="41">
        <v>6050.5150000000003</v>
      </c>
      <c r="F2669" s="41">
        <v>6039.9939999999997</v>
      </c>
      <c r="G2669" s="41">
        <v>6044.7290000000003</v>
      </c>
      <c r="H2669" s="41">
        <v>3274421753.3499999</v>
      </c>
      <c r="I2669" s="42">
        <v>10835</v>
      </c>
    </row>
    <row r="2670" spans="1:9" x14ac:dyDescent="0.25">
      <c r="A2670" t="s">
        <v>9</v>
      </c>
      <c r="B2670" s="39">
        <v>45769</v>
      </c>
      <c r="C2670" s="40">
        <v>0.58333333333333337</v>
      </c>
      <c r="D2670" s="41">
        <v>6035.7860000000001</v>
      </c>
      <c r="E2670" s="41">
        <v>6053.1450000000004</v>
      </c>
      <c r="F2670" s="41">
        <v>6034.2079999999996</v>
      </c>
      <c r="G2670" s="41">
        <v>6049.4629999999997</v>
      </c>
      <c r="H2670" s="41">
        <v>3018693462.8200002</v>
      </c>
      <c r="I2670" s="42">
        <v>9990</v>
      </c>
    </row>
    <row r="2671" spans="1:9" x14ac:dyDescent="0.25">
      <c r="A2671" t="s">
        <v>9</v>
      </c>
      <c r="B2671" s="39">
        <v>45769</v>
      </c>
      <c r="C2671" s="40">
        <v>0.5625</v>
      </c>
      <c r="D2671" s="41">
        <v>6037.89</v>
      </c>
      <c r="E2671" s="41">
        <v>6038.942</v>
      </c>
      <c r="F2671" s="41">
        <v>6031.0519999999997</v>
      </c>
      <c r="G2671" s="41">
        <v>6035.7860000000001</v>
      </c>
      <c r="H2671" s="41">
        <v>4089610954.7399998</v>
      </c>
      <c r="I2671" s="42">
        <v>13555</v>
      </c>
    </row>
    <row r="2672" spans="1:9" x14ac:dyDescent="0.25">
      <c r="A2672" t="s">
        <v>9</v>
      </c>
      <c r="B2672" s="39">
        <v>45769</v>
      </c>
      <c r="C2672" s="40">
        <v>0.54166666666666663</v>
      </c>
      <c r="D2672" s="41">
        <v>6050.5150000000003</v>
      </c>
      <c r="E2672" s="41">
        <v>6050.5150000000003</v>
      </c>
      <c r="F2672" s="41">
        <v>6034.2079999999996</v>
      </c>
      <c r="G2672" s="41">
        <v>6037.3639999999996</v>
      </c>
      <c r="H2672" s="41">
        <v>4870053618.96</v>
      </c>
      <c r="I2672" s="42">
        <v>16125</v>
      </c>
    </row>
    <row r="2673" spans="1:9" x14ac:dyDescent="0.25">
      <c r="A2673" t="s">
        <v>9</v>
      </c>
      <c r="B2673" s="39">
        <v>45769</v>
      </c>
      <c r="C2673" s="40">
        <v>0.52083333333333337</v>
      </c>
      <c r="D2673" s="41">
        <v>6046.3069999999998</v>
      </c>
      <c r="E2673" s="41">
        <v>6052.6189999999997</v>
      </c>
      <c r="F2673" s="41">
        <v>6044.7290000000003</v>
      </c>
      <c r="G2673" s="41">
        <v>6048.9369999999999</v>
      </c>
      <c r="H2673" s="41">
        <v>3230439658.8800001</v>
      </c>
      <c r="I2673" s="42">
        <v>10680</v>
      </c>
    </row>
    <row r="2674" spans="1:9" x14ac:dyDescent="0.25">
      <c r="A2674" t="s">
        <v>9</v>
      </c>
      <c r="B2674" s="39">
        <v>45769</v>
      </c>
      <c r="C2674" s="40">
        <v>0.5</v>
      </c>
      <c r="D2674" s="41">
        <v>6061.5619999999999</v>
      </c>
      <c r="E2674" s="41">
        <v>6062.6139999999996</v>
      </c>
      <c r="F2674" s="41">
        <v>6043.15</v>
      </c>
      <c r="G2674" s="41">
        <v>6046.3069999999998</v>
      </c>
      <c r="H2674" s="41">
        <v>4712994831.1700001</v>
      </c>
      <c r="I2674" s="42">
        <v>15570</v>
      </c>
    </row>
    <row r="2675" spans="1:9" x14ac:dyDescent="0.25">
      <c r="A2675" t="s">
        <v>9</v>
      </c>
      <c r="B2675" s="39">
        <v>45769</v>
      </c>
      <c r="C2675" s="40">
        <v>0.47916666666666669</v>
      </c>
      <c r="D2675" s="41">
        <v>6069.9790000000003</v>
      </c>
      <c r="E2675" s="41">
        <v>6075.7650000000003</v>
      </c>
      <c r="F2675" s="41">
        <v>6059.9840000000004</v>
      </c>
      <c r="G2675" s="41">
        <v>6061.0360000000001</v>
      </c>
      <c r="H2675" s="41">
        <v>3700800791.3800001</v>
      </c>
      <c r="I2675" s="42">
        <v>12195</v>
      </c>
    </row>
    <row r="2676" spans="1:9" x14ac:dyDescent="0.25">
      <c r="A2676" t="s">
        <v>9</v>
      </c>
      <c r="B2676" s="39">
        <v>45769</v>
      </c>
      <c r="C2676" s="40">
        <v>0.45833333333333331</v>
      </c>
      <c r="D2676" s="41">
        <v>6066.2960000000003</v>
      </c>
      <c r="E2676" s="41">
        <v>6072.0829999999996</v>
      </c>
      <c r="F2676" s="41">
        <v>6058.9319999999998</v>
      </c>
      <c r="G2676" s="41">
        <v>6069.9790000000003</v>
      </c>
      <c r="H2676" s="41">
        <v>4039029159.1900001</v>
      </c>
      <c r="I2676" s="42">
        <v>13320</v>
      </c>
    </row>
    <row r="2677" spans="1:9" x14ac:dyDescent="0.25">
      <c r="A2677" t="s">
        <v>9</v>
      </c>
      <c r="B2677" s="39">
        <v>45769</v>
      </c>
      <c r="C2677" s="40">
        <v>0.4375</v>
      </c>
      <c r="D2677" s="41">
        <v>6074.1869999999999</v>
      </c>
      <c r="E2677" s="41">
        <v>6076.817</v>
      </c>
      <c r="F2677" s="41">
        <v>6064.192</v>
      </c>
      <c r="G2677" s="41">
        <v>6065.77</v>
      </c>
      <c r="H2677" s="41">
        <v>10347546308.08</v>
      </c>
      <c r="I2677" s="42">
        <v>34110</v>
      </c>
    </row>
    <row r="2678" spans="1:9" x14ac:dyDescent="0.25">
      <c r="A2678" t="s">
        <v>9</v>
      </c>
      <c r="B2678" s="39">
        <v>45769</v>
      </c>
      <c r="C2678" s="40">
        <v>0.41666666666666669</v>
      </c>
      <c r="D2678" s="41">
        <v>6082.0770000000002</v>
      </c>
      <c r="E2678" s="41">
        <v>6085.2340000000004</v>
      </c>
      <c r="F2678" s="41">
        <v>6068.4</v>
      </c>
      <c r="G2678" s="41">
        <v>6075.2389999999996</v>
      </c>
      <c r="H2678" s="41">
        <v>4341729688.5299997</v>
      </c>
      <c r="I2678" s="42">
        <v>14290</v>
      </c>
    </row>
    <row r="2679" spans="1:9" x14ac:dyDescent="0.25">
      <c r="A2679" t="s">
        <v>9</v>
      </c>
      <c r="B2679" s="39">
        <v>45769</v>
      </c>
      <c r="C2679" s="40">
        <v>0.39583333333333331</v>
      </c>
      <c r="D2679" s="41">
        <v>6108.3789999999999</v>
      </c>
      <c r="E2679" s="41">
        <v>6110.4840000000004</v>
      </c>
      <c r="F2679" s="41">
        <v>6080.4989999999998</v>
      </c>
      <c r="G2679" s="41">
        <v>6082.0770000000002</v>
      </c>
      <c r="H2679" s="41">
        <v>4750305946.1099997</v>
      </c>
      <c r="I2679" s="42">
        <v>15600</v>
      </c>
    </row>
    <row r="2680" spans="1:9" x14ac:dyDescent="0.25">
      <c r="A2680" t="s">
        <v>9</v>
      </c>
      <c r="B2680" s="39">
        <v>45769</v>
      </c>
      <c r="C2680" s="40">
        <v>0.375</v>
      </c>
      <c r="D2680" s="41">
        <v>6104.1710000000003</v>
      </c>
      <c r="E2680" s="41">
        <v>6113.1139999999996</v>
      </c>
      <c r="F2680" s="41">
        <v>6097.3329999999996</v>
      </c>
      <c r="G2680" s="41">
        <v>6108.3789999999999</v>
      </c>
      <c r="H2680" s="41">
        <v>3422320996.6700001</v>
      </c>
      <c r="I2680" s="42">
        <v>11210</v>
      </c>
    </row>
    <row r="2681" spans="1:9" x14ac:dyDescent="0.25">
      <c r="A2681" t="s">
        <v>9</v>
      </c>
      <c r="B2681" s="39">
        <v>45764</v>
      </c>
      <c r="C2681" s="40">
        <v>0.75</v>
      </c>
      <c r="D2681" s="41">
        <v>6121.0039999999999</v>
      </c>
      <c r="E2681" s="41">
        <v>6129.4210000000003</v>
      </c>
      <c r="F2681" s="41">
        <v>6115.7439999999997</v>
      </c>
      <c r="G2681" s="41">
        <v>6115.7439999999997</v>
      </c>
      <c r="H2681" s="41">
        <v>453072424.88999999</v>
      </c>
      <c r="I2681" s="42">
        <v>1480</v>
      </c>
    </row>
    <row r="2682" spans="1:9" x14ac:dyDescent="0.25">
      <c r="A2682" t="s">
        <v>9</v>
      </c>
      <c r="B2682" s="39">
        <v>45764</v>
      </c>
      <c r="C2682" s="40">
        <v>0.72916666666666663</v>
      </c>
      <c r="D2682" s="41">
        <v>6122.0569999999998</v>
      </c>
      <c r="E2682" s="41">
        <v>6123.6350000000002</v>
      </c>
      <c r="F2682" s="41">
        <v>6118.9</v>
      </c>
      <c r="G2682" s="41">
        <v>6120.4780000000001</v>
      </c>
      <c r="H2682" s="41">
        <v>645801871.08000004</v>
      </c>
      <c r="I2682" s="42">
        <v>2110</v>
      </c>
    </row>
    <row r="2683" spans="1:9" x14ac:dyDescent="0.25">
      <c r="A2683" t="s">
        <v>9</v>
      </c>
      <c r="B2683" s="39">
        <v>45764</v>
      </c>
      <c r="C2683" s="40">
        <v>0.70833333333333337</v>
      </c>
      <c r="D2683" s="41">
        <v>6119.9520000000002</v>
      </c>
      <c r="E2683" s="41">
        <v>6122.0569999999998</v>
      </c>
      <c r="F2683" s="41">
        <v>6112.5879999999997</v>
      </c>
      <c r="G2683" s="41">
        <v>6122.0569999999998</v>
      </c>
      <c r="H2683" s="41">
        <v>2452928485.5100002</v>
      </c>
      <c r="I2683" s="42">
        <v>8020</v>
      </c>
    </row>
    <row r="2684" spans="1:9" x14ac:dyDescent="0.25">
      <c r="A2684" t="s">
        <v>9</v>
      </c>
      <c r="B2684" s="39">
        <v>45764</v>
      </c>
      <c r="C2684" s="40">
        <v>0.6875</v>
      </c>
      <c r="D2684" s="41">
        <v>6122.5829999999996</v>
      </c>
      <c r="E2684" s="41">
        <v>6124.1610000000001</v>
      </c>
      <c r="F2684" s="41">
        <v>6118.9</v>
      </c>
      <c r="G2684" s="41">
        <v>6119.9520000000002</v>
      </c>
      <c r="H2684" s="41">
        <v>1286924877.0899999</v>
      </c>
      <c r="I2684" s="42">
        <v>4205</v>
      </c>
    </row>
    <row r="2685" spans="1:9" x14ac:dyDescent="0.25">
      <c r="A2685" t="s">
        <v>9</v>
      </c>
      <c r="B2685" s="39">
        <v>45764</v>
      </c>
      <c r="C2685" s="40">
        <v>0.66666666666666663</v>
      </c>
      <c r="D2685" s="41">
        <v>6113.64</v>
      </c>
      <c r="E2685" s="41">
        <v>6125.2129999999997</v>
      </c>
      <c r="F2685" s="41">
        <v>6112.5879999999997</v>
      </c>
      <c r="G2685" s="41">
        <v>6122.0569999999998</v>
      </c>
      <c r="H2685" s="41">
        <v>3293342632.3800001</v>
      </c>
      <c r="I2685" s="42">
        <v>10765</v>
      </c>
    </row>
    <row r="2686" spans="1:9" x14ac:dyDescent="0.25">
      <c r="A2686" t="s">
        <v>9</v>
      </c>
      <c r="B2686" s="39">
        <v>45764</v>
      </c>
      <c r="C2686" s="40">
        <v>0.64583333333333337</v>
      </c>
      <c r="D2686" s="41">
        <v>6121.53</v>
      </c>
      <c r="E2686" s="41">
        <v>6121.53</v>
      </c>
      <c r="F2686" s="41">
        <v>6109.4319999999998</v>
      </c>
      <c r="G2686" s="41">
        <v>6114.1660000000002</v>
      </c>
      <c r="H2686" s="41">
        <v>5115517417.4499998</v>
      </c>
      <c r="I2686" s="42">
        <v>16730</v>
      </c>
    </row>
    <row r="2687" spans="1:9" x14ac:dyDescent="0.25">
      <c r="A2687" t="s">
        <v>9</v>
      </c>
      <c r="B2687" s="39">
        <v>45764</v>
      </c>
      <c r="C2687" s="40">
        <v>0.625</v>
      </c>
      <c r="D2687" s="41">
        <v>6120.4780000000001</v>
      </c>
      <c r="E2687" s="41">
        <v>6124.6869999999999</v>
      </c>
      <c r="F2687" s="41">
        <v>6118.3739999999998</v>
      </c>
      <c r="G2687" s="41">
        <v>6121.53</v>
      </c>
      <c r="H2687" s="41">
        <v>2656544203.3299999</v>
      </c>
      <c r="I2687" s="42">
        <v>8680</v>
      </c>
    </row>
    <row r="2688" spans="1:9" x14ac:dyDescent="0.25">
      <c r="A2688" t="s">
        <v>9</v>
      </c>
      <c r="B2688" s="39">
        <v>45764</v>
      </c>
      <c r="C2688" s="40">
        <v>0.60416666666666663</v>
      </c>
      <c r="D2688" s="41">
        <v>6126.2650000000003</v>
      </c>
      <c r="E2688" s="41">
        <v>6134.6809999999996</v>
      </c>
      <c r="F2688" s="41">
        <v>6118.3739999999998</v>
      </c>
      <c r="G2688" s="41">
        <v>6121.0039999999999</v>
      </c>
      <c r="H2688" s="41">
        <v>4067341566.46</v>
      </c>
      <c r="I2688" s="42">
        <v>13275</v>
      </c>
    </row>
    <row r="2689" spans="1:9" x14ac:dyDescent="0.25">
      <c r="A2689" t="s">
        <v>9</v>
      </c>
      <c r="B2689" s="39">
        <v>45764</v>
      </c>
      <c r="C2689" s="40">
        <v>0.58333333333333337</v>
      </c>
      <c r="D2689" s="41">
        <v>6117.848</v>
      </c>
      <c r="E2689" s="41">
        <v>6128.8950000000004</v>
      </c>
      <c r="F2689" s="41">
        <v>6114.692</v>
      </c>
      <c r="G2689" s="41">
        <v>6126.7910000000002</v>
      </c>
      <c r="H2689" s="41">
        <v>2976826970.7600002</v>
      </c>
      <c r="I2689" s="42">
        <v>9725</v>
      </c>
    </row>
    <row r="2690" spans="1:9" x14ac:dyDescent="0.25">
      <c r="A2690" t="s">
        <v>9</v>
      </c>
      <c r="B2690" s="39">
        <v>45764</v>
      </c>
      <c r="C2690" s="40">
        <v>0.5625</v>
      </c>
      <c r="D2690" s="41">
        <v>6123.1090000000004</v>
      </c>
      <c r="E2690" s="41">
        <v>6128.3689999999997</v>
      </c>
      <c r="F2690" s="41">
        <v>6114.692</v>
      </c>
      <c r="G2690" s="41">
        <v>6118.3739999999998</v>
      </c>
      <c r="H2690" s="41">
        <v>5614802347.5100002</v>
      </c>
      <c r="I2690" s="42">
        <v>18345</v>
      </c>
    </row>
    <row r="2691" spans="1:9" x14ac:dyDescent="0.25">
      <c r="A2691" t="s">
        <v>9</v>
      </c>
      <c r="B2691" s="39">
        <v>45764</v>
      </c>
      <c r="C2691" s="40">
        <v>0.54166666666666663</v>
      </c>
      <c r="D2691" s="41">
        <v>6146.2539999999999</v>
      </c>
      <c r="E2691" s="41">
        <v>6151.5150000000003</v>
      </c>
      <c r="F2691" s="41">
        <v>6114.692</v>
      </c>
      <c r="G2691" s="41">
        <v>6121.53</v>
      </c>
      <c r="H2691" s="41">
        <v>8519196467.9300003</v>
      </c>
      <c r="I2691" s="42">
        <v>27765</v>
      </c>
    </row>
    <row r="2692" spans="1:9" x14ac:dyDescent="0.25">
      <c r="A2692" t="s">
        <v>9</v>
      </c>
      <c r="B2692" s="39">
        <v>45764</v>
      </c>
      <c r="C2692" s="40">
        <v>0.52083333333333337</v>
      </c>
      <c r="D2692" s="41">
        <v>6167.2960000000003</v>
      </c>
      <c r="E2692" s="41">
        <v>6168.8739999999998</v>
      </c>
      <c r="F2692" s="41">
        <v>6144.6760000000004</v>
      </c>
      <c r="G2692" s="41">
        <v>6146.78</v>
      </c>
      <c r="H2692" s="41">
        <v>3839750117.25</v>
      </c>
      <c r="I2692" s="42">
        <v>12475</v>
      </c>
    </row>
    <row r="2693" spans="1:9" x14ac:dyDescent="0.25">
      <c r="A2693" t="s">
        <v>9</v>
      </c>
      <c r="B2693" s="39">
        <v>45764</v>
      </c>
      <c r="C2693" s="40">
        <v>0.5</v>
      </c>
      <c r="D2693" s="41">
        <v>6175.1869999999999</v>
      </c>
      <c r="E2693" s="41">
        <v>6177.817</v>
      </c>
      <c r="F2693" s="41">
        <v>6162.0360000000001</v>
      </c>
      <c r="G2693" s="41">
        <v>6167.8220000000001</v>
      </c>
      <c r="H2693" s="41">
        <v>3964955194.77</v>
      </c>
      <c r="I2693" s="42">
        <v>12850</v>
      </c>
    </row>
    <row r="2694" spans="1:9" x14ac:dyDescent="0.25">
      <c r="A2694" t="s">
        <v>9</v>
      </c>
      <c r="B2694" s="39">
        <v>45764</v>
      </c>
      <c r="C2694" s="40">
        <v>0.47916666666666669</v>
      </c>
      <c r="D2694" s="41">
        <v>6177.817</v>
      </c>
      <c r="E2694" s="41">
        <v>6188.3379999999997</v>
      </c>
      <c r="F2694" s="41">
        <v>6174.6610000000001</v>
      </c>
      <c r="G2694" s="41">
        <v>6175.1869999999999</v>
      </c>
      <c r="H2694" s="41">
        <v>2278332699.0900002</v>
      </c>
      <c r="I2694" s="42">
        <v>7370</v>
      </c>
    </row>
    <row r="2695" spans="1:9" x14ac:dyDescent="0.25">
      <c r="A2695" t="s">
        <v>9</v>
      </c>
      <c r="B2695" s="39">
        <v>45764</v>
      </c>
      <c r="C2695" s="40">
        <v>0.45833333333333331</v>
      </c>
      <c r="D2695" s="41">
        <v>6175.1869999999999</v>
      </c>
      <c r="E2695" s="41">
        <v>6181.4989999999998</v>
      </c>
      <c r="F2695" s="41">
        <v>6167.2960000000003</v>
      </c>
      <c r="G2695" s="41">
        <v>6178.8689999999997</v>
      </c>
      <c r="H2695" s="41">
        <v>3572822692.6500001</v>
      </c>
      <c r="I2695" s="42">
        <v>11570</v>
      </c>
    </row>
    <row r="2696" spans="1:9" x14ac:dyDescent="0.25">
      <c r="A2696" t="s">
        <v>9</v>
      </c>
      <c r="B2696" s="39">
        <v>45764</v>
      </c>
      <c r="C2696" s="40">
        <v>0.4375</v>
      </c>
      <c r="D2696" s="41">
        <v>6178.3429999999998</v>
      </c>
      <c r="E2696" s="41">
        <v>6181.4989999999998</v>
      </c>
      <c r="F2696" s="41">
        <v>6169.4</v>
      </c>
      <c r="G2696" s="41">
        <v>6174.1350000000002</v>
      </c>
      <c r="H2696" s="41">
        <v>4745630631.8000002</v>
      </c>
      <c r="I2696" s="42">
        <v>15370</v>
      </c>
    </row>
    <row r="2697" spans="1:9" x14ac:dyDescent="0.25">
      <c r="A2697" t="s">
        <v>9</v>
      </c>
      <c r="B2697" s="39">
        <v>45764</v>
      </c>
      <c r="C2697" s="40">
        <v>0.41666666666666669</v>
      </c>
      <c r="D2697" s="41">
        <v>6185.7070000000003</v>
      </c>
      <c r="E2697" s="41">
        <v>6201.4889999999996</v>
      </c>
      <c r="F2697" s="41">
        <v>6176.2389999999996</v>
      </c>
      <c r="G2697" s="41">
        <v>6178.8689999999997</v>
      </c>
      <c r="H2697" s="41">
        <v>4407321911.3400002</v>
      </c>
      <c r="I2697" s="42">
        <v>14245</v>
      </c>
    </row>
    <row r="2698" spans="1:9" x14ac:dyDescent="0.25">
      <c r="A2698" t="s">
        <v>9</v>
      </c>
      <c r="B2698" s="39">
        <v>45764</v>
      </c>
      <c r="C2698" s="40">
        <v>0.39583333333333331</v>
      </c>
      <c r="D2698" s="41">
        <v>6183.6030000000001</v>
      </c>
      <c r="E2698" s="41">
        <v>6197.28</v>
      </c>
      <c r="F2698" s="41">
        <v>6179.9210000000003</v>
      </c>
      <c r="G2698" s="41">
        <v>6185.7070000000003</v>
      </c>
      <c r="H2698" s="41">
        <v>3129984380.98</v>
      </c>
      <c r="I2698" s="42">
        <v>10115</v>
      </c>
    </row>
    <row r="2699" spans="1:9" x14ac:dyDescent="0.25">
      <c r="A2699" t="s">
        <v>9</v>
      </c>
      <c r="B2699" s="39">
        <v>45764</v>
      </c>
      <c r="C2699" s="40">
        <v>0.375</v>
      </c>
      <c r="D2699" s="41">
        <v>6194.1239999999998</v>
      </c>
      <c r="E2699" s="41">
        <v>6206.223</v>
      </c>
      <c r="F2699" s="41">
        <v>6179.3950000000004</v>
      </c>
      <c r="G2699" s="41">
        <v>6184.6549999999997</v>
      </c>
      <c r="H2699" s="41">
        <v>3748588129.5700002</v>
      </c>
      <c r="I2699" s="42">
        <v>12105</v>
      </c>
    </row>
    <row r="2700" spans="1:9" x14ac:dyDescent="0.25">
      <c r="A2700" t="s">
        <v>9</v>
      </c>
      <c r="B2700" s="39">
        <v>45763</v>
      </c>
      <c r="C2700" s="40">
        <v>0.75</v>
      </c>
      <c r="D2700" s="41">
        <v>6186.759</v>
      </c>
      <c r="E2700" s="41">
        <v>6192.02</v>
      </c>
      <c r="F2700" s="41">
        <v>6185.1809999999996</v>
      </c>
      <c r="G2700" s="41">
        <v>6185.1809999999996</v>
      </c>
      <c r="H2700" s="41">
        <v>948273441.39999998</v>
      </c>
      <c r="I2700" s="42">
        <v>3065</v>
      </c>
    </row>
    <row r="2701" spans="1:9" x14ac:dyDescent="0.25">
      <c r="A2701" t="s">
        <v>9</v>
      </c>
      <c r="B2701" s="39">
        <v>45763</v>
      </c>
      <c r="C2701" s="40">
        <v>0.72916666666666663</v>
      </c>
      <c r="D2701" s="41">
        <v>6185.1809999999996</v>
      </c>
      <c r="E2701" s="41">
        <v>6187.8119999999999</v>
      </c>
      <c r="F2701" s="41">
        <v>6184.1289999999999</v>
      </c>
      <c r="G2701" s="41">
        <v>6186.2330000000002</v>
      </c>
      <c r="H2701" s="41">
        <v>590748470.32000005</v>
      </c>
      <c r="I2701" s="42">
        <v>1910</v>
      </c>
    </row>
    <row r="2702" spans="1:9" x14ac:dyDescent="0.25">
      <c r="A2702" t="s">
        <v>9</v>
      </c>
      <c r="B2702" s="39">
        <v>45763</v>
      </c>
      <c r="C2702" s="40">
        <v>0.70833333333333337</v>
      </c>
      <c r="D2702" s="41">
        <v>6184.1289999999999</v>
      </c>
      <c r="E2702" s="41">
        <v>6186.759</v>
      </c>
      <c r="F2702" s="41">
        <v>6176.2389999999996</v>
      </c>
      <c r="G2702" s="41">
        <v>6184.6549999999997</v>
      </c>
      <c r="H2702" s="41">
        <v>3729829928.5</v>
      </c>
      <c r="I2702" s="42">
        <v>12065</v>
      </c>
    </row>
    <row r="2703" spans="1:9" x14ac:dyDescent="0.25">
      <c r="A2703" t="s">
        <v>9</v>
      </c>
      <c r="B2703" s="39">
        <v>45763</v>
      </c>
      <c r="C2703" s="40">
        <v>0.6875</v>
      </c>
      <c r="D2703" s="41">
        <v>6188.3379999999997</v>
      </c>
      <c r="E2703" s="41">
        <v>6189.9160000000002</v>
      </c>
      <c r="F2703" s="41">
        <v>6183.0770000000002</v>
      </c>
      <c r="G2703" s="41">
        <v>6184.1289999999999</v>
      </c>
      <c r="H2703" s="41">
        <v>1705933039.02</v>
      </c>
      <c r="I2703" s="42">
        <v>5515</v>
      </c>
    </row>
    <row r="2704" spans="1:9" x14ac:dyDescent="0.25">
      <c r="A2704" t="s">
        <v>9</v>
      </c>
      <c r="B2704" s="39">
        <v>45763</v>
      </c>
      <c r="C2704" s="40">
        <v>0.66666666666666663</v>
      </c>
      <c r="D2704" s="41">
        <v>6175.7129999999997</v>
      </c>
      <c r="E2704" s="41">
        <v>6188.3379999999997</v>
      </c>
      <c r="F2704" s="41">
        <v>6175.7129999999997</v>
      </c>
      <c r="G2704" s="41">
        <v>6188.3379999999997</v>
      </c>
      <c r="H2704" s="41">
        <v>2760283682.0700002</v>
      </c>
      <c r="I2704" s="42">
        <v>8930</v>
      </c>
    </row>
    <row r="2705" spans="1:9" x14ac:dyDescent="0.25">
      <c r="A2705" t="s">
        <v>9</v>
      </c>
      <c r="B2705" s="39">
        <v>45763</v>
      </c>
      <c r="C2705" s="40">
        <v>0.64583333333333337</v>
      </c>
      <c r="D2705" s="41">
        <v>6179.9210000000003</v>
      </c>
      <c r="E2705" s="41">
        <v>6184.6549999999997</v>
      </c>
      <c r="F2705" s="41">
        <v>6171.5039999999999</v>
      </c>
      <c r="G2705" s="41">
        <v>6175.1869999999999</v>
      </c>
      <c r="H2705" s="41">
        <v>4997786845.96</v>
      </c>
      <c r="I2705" s="42">
        <v>16175</v>
      </c>
    </row>
    <row r="2706" spans="1:9" x14ac:dyDescent="0.25">
      <c r="A2706" t="s">
        <v>9</v>
      </c>
      <c r="B2706" s="39">
        <v>45763</v>
      </c>
      <c r="C2706" s="40">
        <v>0.625</v>
      </c>
      <c r="D2706" s="41">
        <v>6191.4939999999997</v>
      </c>
      <c r="E2706" s="41">
        <v>6192.02</v>
      </c>
      <c r="F2706" s="41">
        <v>6178.8689999999997</v>
      </c>
      <c r="G2706" s="41">
        <v>6180.4470000000001</v>
      </c>
      <c r="H2706" s="41">
        <v>3742622964.5599999</v>
      </c>
      <c r="I2706" s="42">
        <v>12100</v>
      </c>
    </row>
    <row r="2707" spans="1:9" x14ac:dyDescent="0.25">
      <c r="A2707" t="s">
        <v>9</v>
      </c>
      <c r="B2707" s="39">
        <v>45763</v>
      </c>
      <c r="C2707" s="40">
        <v>0.60416666666666663</v>
      </c>
      <c r="D2707" s="41">
        <v>6175.1869999999999</v>
      </c>
      <c r="E2707" s="41">
        <v>6195.7020000000002</v>
      </c>
      <c r="F2707" s="41">
        <v>6174.6610000000001</v>
      </c>
      <c r="G2707" s="41">
        <v>6191.4939999999997</v>
      </c>
      <c r="H2707" s="41">
        <v>3218223294.4499998</v>
      </c>
      <c r="I2707" s="42">
        <v>10405</v>
      </c>
    </row>
    <row r="2708" spans="1:9" x14ac:dyDescent="0.25">
      <c r="A2708" t="s">
        <v>9</v>
      </c>
      <c r="B2708" s="39">
        <v>45763</v>
      </c>
      <c r="C2708" s="40">
        <v>0.58333333333333337</v>
      </c>
      <c r="D2708" s="41">
        <v>6177.2910000000002</v>
      </c>
      <c r="E2708" s="41">
        <v>6179.9210000000003</v>
      </c>
      <c r="F2708" s="41">
        <v>6170.4520000000002</v>
      </c>
      <c r="G2708" s="41">
        <v>6175.7129999999997</v>
      </c>
      <c r="H2708" s="41">
        <v>2097971116.9200001</v>
      </c>
      <c r="I2708" s="42">
        <v>6795</v>
      </c>
    </row>
    <row r="2709" spans="1:9" x14ac:dyDescent="0.25">
      <c r="A2709" t="s">
        <v>9</v>
      </c>
      <c r="B2709" s="39">
        <v>45763</v>
      </c>
      <c r="C2709" s="40">
        <v>0.5625</v>
      </c>
      <c r="D2709" s="41">
        <v>6177.2910000000002</v>
      </c>
      <c r="E2709" s="41">
        <v>6181.4989999999998</v>
      </c>
      <c r="F2709" s="41">
        <v>6174.6610000000001</v>
      </c>
      <c r="G2709" s="41">
        <v>6176.7650000000003</v>
      </c>
      <c r="H2709" s="41">
        <v>1269662471.49</v>
      </c>
      <c r="I2709" s="42">
        <v>4110</v>
      </c>
    </row>
    <row r="2710" spans="1:9" x14ac:dyDescent="0.25">
      <c r="A2710" t="s">
        <v>9</v>
      </c>
      <c r="B2710" s="39">
        <v>45763</v>
      </c>
      <c r="C2710" s="40">
        <v>0.54166666666666663</v>
      </c>
      <c r="D2710" s="41">
        <v>6180.4470000000001</v>
      </c>
      <c r="E2710" s="41">
        <v>6187.2860000000001</v>
      </c>
      <c r="F2710" s="41">
        <v>6174.1350000000002</v>
      </c>
      <c r="G2710" s="41">
        <v>6177.2910000000002</v>
      </c>
      <c r="H2710" s="41">
        <v>4231989931.5900002</v>
      </c>
      <c r="I2710" s="42">
        <v>13690</v>
      </c>
    </row>
    <row r="2711" spans="1:9" x14ac:dyDescent="0.25">
      <c r="A2711" t="s">
        <v>9</v>
      </c>
      <c r="B2711" s="39">
        <v>45763</v>
      </c>
      <c r="C2711" s="40">
        <v>0.52083333333333337</v>
      </c>
      <c r="D2711" s="41">
        <v>6182.5510000000004</v>
      </c>
      <c r="E2711" s="41">
        <v>6185.1809999999996</v>
      </c>
      <c r="F2711" s="41">
        <v>6174.1350000000002</v>
      </c>
      <c r="G2711" s="41">
        <v>6179.9210000000003</v>
      </c>
      <c r="H2711" s="41">
        <v>2631006263.9000001</v>
      </c>
      <c r="I2711" s="42">
        <v>8515</v>
      </c>
    </row>
    <row r="2712" spans="1:9" x14ac:dyDescent="0.25">
      <c r="A2712" t="s">
        <v>9</v>
      </c>
      <c r="B2712" s="39">
        <v>45763</v>
      </c>
      <c r="C2712" s="40">
        <v>0.5</v>
      </c>
      <c r="D2712" s="41">
        <v>6203.067</v>
      </c>
      <c r="E2712" s="41">
        <v>6205.1710000000003</v>
      </c>
      <c r="F2712" s="41">
        <v>6177.2910000000002</v>
      </c>
      <c r="G2712" s="41">
        <v>6181.4989999999998</v>
      </c>
      <c r="H2712" s="41">
        <v>5946126305.4200001</v>
      </c>
      <c r="I2712" s="42">
        <v>19220</v>
      </c>
    </row>
    <row r="2713" spans="1:9" x14ac:dyDescent="0.25">
      <c r="A2713" t="s">
        <v>9</v>
      </c>
      <c r="B2713" s="39">
        <v>45763</v>
      </c>
      <c r="C2713" s="40">
        <v>0.47916666666666669</v>
      </c>
      <c r="D2713" s="41">
        <v>6196.2280000000001</v>
      </c>
      <c r="E2713" s="41">
        <v>6205.1710000000003</v>
      </c>
      <c r="F2713" s="41">
        <v>6192.5460000000003</v>
      </c>
      <c r="G2713" s="41">
        <v>6202.5410000000002</v>
      </c>
      <c r="H2713" s="41">
        <v>4555146851.4700003</v>
      </c>
      <c r="I2713" s="42">
        <v>14700</v>
      </c>
    </row>
    <row r="2714" spans="1:9" x14ac:dyDescent="0.25">
      <c r="A2714" t="s">
        <v>9</v>
      </c>
      <c r="B2714" s="39">
        <v>45763</v>
      </c>
      <c r="C2714" s="40">
        <v>0.45833333333333331</v>
      </c>
      <c r="D2714" s="41">
        <v>6201.4889999999996</v>
      </c>
      <c r="E2714" s="41">
        <v>6203.067</v>
      </c>
      <c r="F2714" s="41">
        <v>6189.9160000000002</v>
      </c>
      <c r="G2714" s="41">
        <v>6196.7539999999999</v>
      </c>
      <c r="H2714" s="41">
        <v>5567099570.29</v>
      </c>
      <c r="I2714" s="42">
        <v>17970</v>
      </c>
    </row>
    <row r="2715" spans="1:9" x14ac:dyDescent="0.25">
      <c r="A2715" t="s">
        <v>9</v>
      </c>
      <c r="B2715" s="39">
        <v>45763</v>
      </c>
      <c r="C2715" s="40">
        <v>0.4375</v>
      </c>
      <c r="D2715" s="41">
        <v>6224.1080000000002</v>
      </c>
      <c r="E2715" s="41">
        <v>6227.7910000000002</v>
      </c>
      <c r="F2715" s="41">
        <v>6197.8059999999996</v>
      </c>
      <c r="G2715" s="41">
        <v>6202.0150000000003</v>
      </c>
      <c r="H2715" s="41">
        <v>5167470599.9499998</v>
      </c>
      <c r="I2715" s="42">
        <v>16640</v>
      </c>
    </row>
    <row r="2716" spans="1:9" x14ac:dyDescent="0.25">
      <c r="A2716" t="s">
        <v>9</v>
      </c>
      <c r="B2716" s="39">
        <v>45763</v>
      </c>
      <c r="C2716" s="40">
        <v>0.41666666666666669</v>
      </c>
      <c r="D2716" s="41">
        <v>6225.16</v>
      </c>
      <c r="E2716" s="41">
        <v>6238.3109999999997</v>
      </c>
      <c r="F2716" s="41">
        <v>6217.7960000000003</v>
      </c>
      <c r="G2716" s="41">
        <v>6225.16</v>
      </c>
      <c r="H2716" s="41">
        <v>5024688544.7600002</v>
      </c>
      <c r="I2716" s="42">
        <v>16140</v>
      </c>
    </row>
    <row r="2717" spans="1:9" x14ac:dyDescent="0.25">
      <c r="A2717" t="s">
        <v>9</v>
      </c>
      <c r="B2717" s="39">
        <v>45763</v>
      </c>
      <c r="C2717" s="40">
        <v>0.39583333333333331</v>
      </c>
      <c r="D2717" s="41">
        <v>6192.5460000000003</v>
      </c>
      <c r="E2717" s="41">
        <v>6231.9989999999998</v>
      </c>
      <c r="F2717" s="41">
        <v>6189.39</v>
      </c>
      <c r="G2717" s="41">
        <v>6224.634</v>
      </c>
      <c r="H2717" s="41">
        <v>5403464621.71</v>
      </c>
      <c r="I2717" s="42">
        <v>17390</v>
      </c>
    </row>
    <row r="2718" spans="1:9" x14ac:dyDescent="0.25">
      <c r="A2718" t="s">
        <v>9</v>
      </c>
      <c r="B2718" s="39">
        <v>45763</v>
      </c>
      <c r="C2718" s="40">
        <v>0.375</v>
      </c>
      <c r="D2718" s="41">
        <v>6191.4939999999997</v>
      </c>
      <c r="E2718" s="41">
        <v>6199.384</v>
      </c>
      <c r="F2718" s="41">
        <v>6182.0249999999996</v>
      </c>
      <c r="G2718" s="41">
        <v>6193.0720000000001</v>
      </c>
      <c r="H2718" s="41">
        <v>5923458047.1000004</v>
      </c>
      <c r="I2718" s="42">
        <v>19135</v>
      </c>
    </row>
    <row r="2719" spans="1:9" x14ac:dyDescent="0.25">
      <c r="A2719" t="s">
        <v>9</v>
      </c>
      <c r="B2719" s="39">
        <v>45762</v>
      </c>
      <c r="C2719" s="40">
        <v>0.75</v>
      </c>
      <c r="D2719" s="41">
        <v>6206.223</v>
      </c>
      <c r="E2719" s="41">
        <v>6206.223</v>
      </c>
      <c r="F2719" s="41">
        <v>6195.1760000000004</v>
      </c>
      <c r="G2719" s="41">
        <v>6196.7539999999999</v>
      </c>
      <c r="H2719" s="41">
        <v>516295362.38</v>
      </c>
      <c r="I2719" s="42">
        <v>1665</v>
      </c>
    </row>
    <row r="2720" spans="1:9" x14ac:dyDescent="0.25">
      <c r="A2720" t="s">
        <v>9</v>
      </c>
      <c r="B2720" s="39">
        <v>45762</v>
      </c>
      <c r="C2720" s="40">
        <v>0.72916666666666663</v>
      </c>
      <c r="D2720" s="41">
        <v>6206.7489999999998</v>
      </c>
      <c r="E2720" s="41">
        <v>6207.2749999999996</v>
      </c>
      <c r="F2720" s="41">
        <v>6203.067</v>
      </c>
      <c r="G2720" s="41">
        <v>6206.223</v>
      </c>
      <c r="H2720" s="41">
        <v>744566192.57000005</v>
      </c>
      <c r="I2720" s="42">
        <v>2400</v>
      </c>
    </row>
    <row r="2721" spans="1:9" x14ac:dyDescent="0.25">
      <c r="A2721" t="s">
        <v>9</v>
      </c>
      <c r="B2721" s="39">
        <v>45762</v>
      </c>
      <c r="C2721" s="40">
        <v>0.70833333333333337</v>
      </c>
      <c r="D2721" s="41">
        <v>6209.3789999999999</v>
      </c>
      <c r="E2721" s="41">
        <v>6209.9049999999997</v>
      </c>
      <c r="F2721" s="41">
        <v>6206.223</v>
      </c>
      <c r="G2721" s="41">
        <v>6206.7489999999998</v>
      </c>
      <c r="H2721" s="41">
        <v>1974047078.9400001</v>
      </c>
      <c r="I2721" s="42">
        <v>6360</v>
      </c>
    </row>
    <row r="2722" spans="1:9" x14ac:dyDescent="0.25">
      <c r="A2722" t="s">
        <v>9</v>
      </c>
      <c r="B2722" s="39">
        <v>45762</v>
      </c>
      <c r="C2722" s="40">
        <v>0.6875</v>
      </c>
      <c r="D2722" s="41">
        <v>6210.4309999999996</v>
      </c>
      <c r="E2722" s="41">
        <v>6213.5879999999997</v>
      </c>
      <c r="F2722" s="41">
        <v>6208.8530000000001</v>
      </c>
      <c r="G2722" s="41">
        <v>6209.9049999999997</v>
      </c>
      <c r="H2722" s="41">
        <v>967416177.90999997</v>
      </c>
      <c r="I2722" s="42">
        <v>3115</v>
      </c>
    </row>
    <row r="2723" spans="1:9" x14ac:dyDescent="0.25">
      <c r="A2723" t="s">
        <v>9</v>
      </c>
      <c r="B2723" s="39">
        <v>45762</v>
      </c>
      <c r="C2723" s="40">
        <v>0.66666666666666663</v>
      </c>
      <c r="D2723" s="41">
        <v>6216.7439999999997</v>
      </c>
      <c r="E2723" s="41">
        <v>6216.7439999999997</v>
      </c>
      <c r="F2723" s="41">
        <v>6206.7489999999998</v>
      </c>
      <c r="G2723" s="41">
        <v>6210.4309999999996</v>
      </c>
      <c r="H2723" s="41">
        <v>1974714492.52</v>
      </c>
      <c r="I2723" s="42">
        <v>6360</v>
      </c>
    </row>
    <row r="2724" spans="1:9" x14ac:dyDescent="0.25">
      <c r="A2724" t="s">
        <v>9</v>
      </c>
      <c r="B2724" s="39">
        <v>45762</v>
      </c>
      <c r="C2724" s="40">
        <v>0.64583333333333337</v>
      </c>
      <c r="D2724" s="41">
        <v>6217.7960000000003</v>
      </c>
      <c r="E2724" s="41">
        <v>6218.848</v>
      </c>
      <c r="F2724" s="41">
        <v>6207.8010000000004</v>
      </c>
      <c r="G2724" s="41">
        <v>6215.692</v>
      </c>
      <c r="H2724" s="41">
        <v>3607384984.2199998</v>
      </c>
      <c r="I2724" s="42">
        <v>11610</v>
      </c>
    </row>
    <row r="2725" spans="1:9" x14ac:dyDescent="0.25">
      <c r="A2725" t="s">
        <v>9</v>
      </c>
      <c r="B2725" s="39">
        <v>45762</v>
      </c>
      <c r="C2725" s="40">
        <v>0.625</v>
      </c>
      <c r="D2725" s="41">
        <v>6212.009</v>
      </c>
      <c r="E2725" s="41">
        <v>6218.3220000000001</v>
      </c>
      <c r="F2725" s="41">
        <v>6207.2749999999996</v>
      </c>
      <c r="G2725" s="41">
        <v>6217.27</v>
      </c>
      <c r="H2725" s="41">
        <v>3775269680.5300002</v>
      </c>
      <c r="I2725" s="42">
        <v>12155</v>
      </c>
    </row>
    <row r="2726" spans="1:9" x14ac:dyDescent="0.25">
      <c r="A2726" t="s">
        <v>9</v>
      </c>
      <c r="B2726" s="39">
        <v>45762</v>
      </c>
      <c r="C2726" s="40">
        <v>0.60416666666666663</v>
      </c>
      <c r="D2726" s="41">
        <v>6216.2179999999998</v>
      </c>
      <c r="E2726" s="41">
        <v>6217.27</v>
      </c>
      <c r="F2726" s="41">
        <v>6208.3270000000002</v>
      </c>
      <c r="G2726" s="41">
        <v>6212.009</v>
      </c>
      <c r="H2726" s="41">
        <v>2268003109.5599999</v>
      </c>
      <c r="I2726" s="42">
        <v>7300</v>
      </c>
    </row>
    <row r="2727" spans="1:9" x14ac:dyDescent="0.25">
      <c r="A2727" t="s">
        <v>9</v>
      </c>
      <c r="B2727" s="39">
        <v>45762</v>
      </c>
      <c r="C2727" s="40">
        <v>0.58333333333333337</v>
      </c>
      <c r="D2727" s="41">
        <v>6215.692</v>
      </c>
      <c r="E2727" s="41">
        <v>6222.53</v>
      </c>
      <c r="F2727" s="41">
        <v>6214.64</v>
      </c>
      <c r="G2727" s="41">
        <v>6216.2179999999998</v>
      </c>
      <c r="H2727" s="41">
        <v>2543344022.0599999</v>
      </c>
      <c r="I2727" s="42">
        <v>8180</v>
      </c>
    </row>
    <row r="2728" spans="1:9" x14ac:dyDescent="0.25">
      <c r="A2728" t="s">
        <v>9</v>
      </c>
      <c r="B2728" s="39">
        <v>45762</v>
      </c>
      <c r="C2728" s="40">
        <v>0.5625</v>
      </c>
      <c r="D2728" s="41">
        <v>6217.27</v>
      </c>
      <c r="E2728" s="41">
        <v>6223.5820000000003</v>
      </c>
      <c r="F2728" s="41">
        <v>6212.5349999999999</v>
      </c>
      <c r="G2728" s="41">
        <v>6216.2179999999998</v>
      </c>
      <c r="H2728" s="41">
        <v>2168458275.8400002</v>
      </c>
      <c r="I2728" s="42">
        <v>6975</v>
      </c>
    </row>
    <row r="2729" spans="1:9" x14ac:dyDescent="0.25">
      <c r="A2729" t="s">
        <v>9</v>
      </c>
      <c r="B2729" s="39">
        <v>45762</v>
      </c>
      <c r="C2729" s="40">
        <v>0.54166666666666663</v>
      </c>
      <c r="D2729" s="41">
        <v>6200.4369999999999</v>
      </c>
      <c r="E2729" s="41">
        <v>6222.53</v>
      </c>
      <c r="F2729" s="41">
        <v>6200.4369999999999</v>
      </c>
      <c r="G2729" s="41">
        <v>6219.3739999999998</v>
      </c>
      <c r="H2729" s="41">
        <v>3761541739.4200001</v>
      </c>
      <c r="I2729" s="42">
        <v>12110</v>
      </c>
    </row>
    <row r="2730" spans="1:9" x14ac:dyDescent="0.25">
      <c r="A2730" t="s">
        <v>9</v>
      </c>
      <c r="B2730" s="39">
        <v>45762</v>
      </c>
      <c r="C2730" s="40">
        <v>0.52083333333333337</v>
      </c>
      <c r="D2730" s="41">
        <v>6203.067</v>
      </c>
      <c r="E2730" s="41">
        <v>6211.4830000000002</v>
      </c>
      <c r="F2730" s="41">
        <v>6198.3320000000003</v>
      </c>
      <c r="G2730" s="41">
        <v>6200.9629999999997</v>
      </c>
      <c r="H2730" s="41">
        <v>1284318216.0999999</v>
      </c>
      <c r="I2730" s="42">
        <v>4140</v>
      </c>
    </row>
    <row r="2731" spans="1:9" x14ac:dyDescent="0.25">
      <c r="A2731" t="s">
        <v>9</v>
      </c>
      <c r="B2731" s="39">
        <v>45762</v>
      </c>
      <c r="C2731" s="40">
        <v>0.5</v>
      </c>
      <c r="D2731" s="41">
        <v>6196.7539999999999</v>
      </c>
      <c r="E2731" s="41">
        <v>6217.7960000000003</v>
      </c>
      <c r="F2731" s="41">
        <v>6195.1760000000004</v>
      </c>
      <c r="G2731" s="41">
        <v>6203.5929999999998</v>
      </c>
      <c r="H2731" s="41">
        <v>3046499030.3000002</v>
      </c>
      <c r="I2731" s="42">
        <v>9815</v>
      </c>
    </row>
    <row r="2732" spans="1:9" x14ac:dyDescent="0.25">
      <c r="A2732" t="s">
        <v>9</v>
      </c>
      <c r="B2732" s="39">
        <v>45762</v>
      </c>
      <c r="C2732" s="40">
        <v>0.47916666666666669</v>
      </c>
      <c r="D2732" s="41">
        <v>6198.8580000000002</v>
      </c>
      <c r="E2732" s="41">
        <v>6213.5879999999997</v>
      </c>
      <c r="F2732" s="41">
        <v>6193.598</v>
      </c>
      <c r="G2732" s="41">
        <v>6196.7539999999999</v>
      </c>
      <c r="H2732" s="41">
        <v>6182169511.9399996</v>
      </c>
      <c r="I2732" s="42">
        <v>19925</v>
      </c>
    </row>
    <row r="2733" spans="1:9" x14ac:dyDescent="0.25">
      <c r="A2733" t="s">
        <v>9</v>
      </c>
      <c r="B2733" s="39">
        <v>45762</v>
      </c>
      <c r="C2733" s="40">
        <v>0.45833333333333331</v>
      </c>
      <c r="D2733" s="41">
        <v>6182.0249999999996</v>
      </c>
      <c r="E2733" s="41">
        <v>6199.384</v>
      </c>
      <c r="F2733" s="41">
        <v>6178.3429999999998</v>
      </c>
      <c r="G2733" s="41">
        <v>6199.384</v>
      </c>
      <c r="H2733" s="41">
        <v>4459011942.21</v>
      </c>
      <c r="I2733" s="42">
        <v>14420</v>
      </c>
    </row>
    <row r="2734" spans="1:9" x14ac:dyDescent="0.25">
      <c r="A2734" t="s">
        <v>9</v>
      </c>
      <c r="B2734" s="39">
        <v>45762</v>
      </c>
      <c r="C2734" s="40">
        <v>0.4375</v>
      </c>
      <c r="D2734" s="41">
        <v>6183.0770000000002</v>
      </c>
      <c r="E2734" s="41">
        <v>6193.598</v>
      </c>
      <c r="F2734" s="41">
        <v>6179.9210000000003</v>
      </c>
      <c r="G2734" s="41">
        <v>6182.5510000000004</v>
      </c>
      <c r="H2734" s="41">
        <v>4416794449.7799997</v>
      </c>
      <c r="I2734" s="42">
        <v>14280</v>
      </c>
    </row>
    <row r="2735" spans="1:9" x14ac:dyDescent="0.25">
      <c r="A2735" t="s">
        <v>9</v>
      </c>
      <c r="B2735" s="39">
        <v>45762</v>
      </c>
      <c r="C2735" s="40">
        <v>0.41666666666666669</v>
      </c>
      <c r="D2735" s="41">
        <v>6178.3429999999998</v>
      </c>
      <c r="E2735" s="41">
        <v>6190.442</v>
      </c>
      <c r="F2735" s="41">
        <v>6168.8739999999998</v>
      </c>
      <c r="G2735" s="41">
        <v>6183.0770000000002</v>
      </c>
      <c r="H2735" s="41">
        <v>6689114903.2600002</v>
      </c>
      <c r="I2735" s="42">
        <v>21640</v>
      </c>
    </row>
    <row r="2736" spans="1:9" x14ac:dyDescent="0.25">
      <c r="A2736" t="s">
        <v>9</v>
      </c>
      <c r="B2736" s="39">
        <v>45762</v>
      </c>
      <c r="C2736" s="40">
        <v>0.39583333333333331</v>
      </c>
      <c r="D2736" s="41">
        <v>6156.7749999999996</v>
      </c>
      <c r="E2736" s="41">
        <v>6179.3950000000004</v>
      </c>
      <c r="F2736" s="41">
        <v>6149.9369999999999</v>
      </c>
      <c r="G2736" s="41">
        <v>6176.7650000000003</v>
      </c>
      <c r="H2736" s="41">
        <v>4062839845.4400001</v>
      </c>
      <c r="I2736" s="42">
        <v>13185</v>
      </c>
    </row>
    <row r="2737" spans="1:9" x14ac:dyDescent="0.25">
      <c r="A2737" t="s">
        <v>9</v>
      </c>
      <c r="B2737" s="39">
        <v>45762</v>
      </c>
      <c r="C2737" s="40">
        <v>0.375</v>
      </c>
      <c r="D2737" s="41">
        <v>6175.7129999999997</v>
      </c>
      <c r="E2737" s="41">
        <v>6184.1289999999999</v>
      </c>
      <c r="F2737" s="41">
        <v>6149.4110000000001</v>
      </c>
      <c r="G2737" s="41">
        <v>6156.7749999999996</v>
      </c>
      <c r="H2737" s="41">
        <v>3729720775.1500001</v>
      </c>
      <c r="I2737" s="42">
        <v>12105</v>
      </c>
    </row>
    <row r="2738" spans="1:9" x14ac:dyDescent="0.25">
      <c r="A2738" t="s">
        <v>9</v>
      </c>
      <c r="B2738" s="39">
        <v>45761</v>
      </c>
      <c r="C2738" s="40">
        <v>0.75</v>
      </c>
      <c r="D2738" s="41">
        <v>6175.7129999999997</v>
      </c>
      <c r="E2738" s="41">
        <v>6179.9210000000003</v>
      </c>
      <c r="F2738" s="41">
        <v>6173.6080000000002</v>
      </c>
      <c r="G2738" s="41">
        <v>6179.9210000000003</v>
      </c>
      <c r="H2738" s="41">
        <v>239343714.61000001</v>
      </c>
      <c r="I2738">
        <v>775</v>
      </c>
    </row>
    <row r="2739" spans="1:9" x14ac:dyDescent="0.25">
      <c r="A2739" t="s">
        <v>9</v>
      </c>
      <c r="B2739" s="39">
        <v>45761</v>
      </c>
      <c r="C2739" s="40">
        <v>0.72916666666666663</v>
      </c>
      <c r="D2739" s="41">
        <v>6173.6080000000002</v>
      </c>
      <c r="E2739" s="41">
        <v>6178.3429999999998</v>
      </c>
      <c r="F2739" s="41">
        <v>6172.5559999999996</v>
      </c>
      <c r="G2739" s="41">
        <v>6175.7129999999997</v>
      </c>
      <c r="H2739" s="41">
        <v>469330882.66000003</v>
      </c>
      <c r="I2739" s="42">
        <v>1520</v>
      </c>
    </row>
    <row r="2740" spans="1:9" x14ac:dyDescent="0.25">
      <c r="A2740" t="s">
        <v>9</v>
      </c>
      <c r="B2740" s="39">
        <v>45761</v>
      </c>
      <c r="C2740" s="40">
        <v>0.70833333333333337</v>
      </c>
      <c r="D2740" s="41">
        <v>6171.5039999999999</v>
      </c>
      <c r="E2740" s="41">
        <v>6174.1350000000002</v>
      </c>
      <c r="F2740" s="41">
        <v>6165.192</v>
      </c>
      <c r="G2740" s="41">
        <v>6173.0820000000003</v>
      </c>
      <c r="H2740" s="41">
        <v>1604483676.55</v>
      </c>
      <c r="I2740" s="42">
        <v>5200</v>
      </c>
    </row>
    <row r="2741" spans="1:9" x14ac:dyDescent="0.25">
      <c r="A2741" t="s">
        <v>9</v>
      </c>
      <c r="B2741" s="39">
        <v>45761</v>
      </c>
      <c r="C2741" s="40">
        <v>0.6875</v>
      </c>
      <c r="D2741" s="41">
        <v>6170.9780000000001</v>
      </c>
      <c r="E2741" s="41">
        <v>6172.5559999999996</v>
      </c>
      <c r="F2741" s="41">
        <v>6166.2439999999997</v>
      </c>
      <c r="G2741" s="41">
        <v>6170.9780000000001</v>
      </c>
      <c r="H2741" s="41">
        <v>2031509481.0699999</v>
      </c>
      <c r="I2741" s="42">
        <v>6585</v>
      </c>
    </row>
    <row r="2742" spans="1:9" x14ac:dyDescent="0.25">
      <c r="A2742" t="s">
        <v>9</v>
      </c>
      <c r="B2742" s="39">
        <v>45761</v>
      </c>
      <c r="C2742" s="40">
        <v>0.66666666666666663</v>
      </c>
      <c r="D2742" s="41">
        <v>6173.0820000000003</v>
      </c>
      <c r="E2742" s="41">
        <v>6177.2910000000002</v>
      </c>
      <c r="F2742" s="41">
        <v>6168.8739999999998</v>
      </c>
      <c r="G2742" s="41">
        <v>6170.4520000000002</v>
      </c>
      <c r="H2742" s="41">
        <v>2544728691.5300002</v>
      </c>
      <c r="I2742" s="42">
        <v>8245</v>
      </c>
    </row>
    <row r="2743" spans="1:9" x14ac:dyDescent="0.25">
      <c r="A2743" t="s">
        <v>9</v>
      </c>
      <c r="B2743" s="39">
        <v>45761</v>
      </c>
      <c r="C2743" s="40">
        <v>0.64583333333333337</v>
      </c>
      <c r="D2743" s="41">
        <v>6172.5559999999996</v>
      </c>
      <c r="E2743" s="41">
        <v>6177.817</v>
      </c>
      <c r="F2743" s="41">
        <v>6169.4</v>
      </c>
      <c r="G2743" s="41">
        <v>6172.03</v>
      </c>
      <c r="H2743" s="41">
        <v>2072697381.21</v>
      </c>
      <c r="I2743" s="42">
        <v>6715</v>
      </c>
    </row>
    <row r="2744" spans="1:9" x14ac:dyDescent="0.25">
      <c r="A2744" t="s">
        <v>9</v>
      </c>
      <c r="B2744" s="39">
        <v>45761</v>
      </c>
      <c r="C2744" s="40">
        <v>0.625</v>
      </c>
      <c r="D2744" s="41">
        <v>6181.4989999999998</v>
      </c>
      <c r="E2744" s="41">
        <v>6181.4989999999998</v>
      </c>
      <c r="F2744" s="41">
        <v>6168.8739999999998</v>
      </c>
      <c r="G2744" s="41">
        <v>6172.5559999999996</v>
      </c>
      <c r="H2744" s="41">
        <v>2842807036.6300001</v>
      </c>
      <c r="I2744" s="42">
        <v>9210</v>
      </c>
    </row>
    <row r="2745" spans="1:9" x14ac:dyDescent="0.25">
      <c r="A2745" t="s">
        <v>9</v>
      </c>
      <c r="B2745" s="39">
        <v>45761</v>
      </c>
      <c r="C2745" s="40">
        <v>0.60416666666666663</v>
      </c>
      <c r="D2745" s="41">
        <v>6178.8689999999997</v>
      </c>
      <c r="E2745" s="41">
        <v>6182.5510000000004</v>
      </c>
      <c r="F2745" s="41">
        <v>6173.6080000000002</v>
      </c>
      <c r="G2745" s="41">
        <v>6182.0249999999996</v>
      </c>
      <c r="H2745" s="41">
        <v>2411870648.8299999</v>
      </c>
      <c r="I2745" s="42">
        <v>7810</v>
      </c>
    </row>
    <row r="2746" spans="1:9" x14ac:dyDescent="0.25">
      <c r="A2746" t="s">
        <v>9</v>
      </c>
      <c r="B2746" s="39">
        <v>45761</v>
      </c>
      <c r="C2746" s="40">
        <v>0.58333333333333337</v>
      </c>
      <c r="D2746" s="41">
        <v>6172.5559999999996</v>
      </c>
      <c r="E2746" s="41">
        <v>6185.1809999999996</v>
      </c>
      <c r="F2746" s="41">
        <v>6163.6139999999996</v>
      </c>
      <c r="G2746" s="41">
        <v>6178.3429999999998</v>
      </c>
      <c r="H2746" s="41">
        <v>5067656302.1099997</v>
      </c>
      <c r="I2746" s="42">
        <v>16405</v>
      </c>
    </row>
    <row r="2747" spans="1:9" x14ac:dyDescent="0.25">
      <c r="A2747" t="s">
        <v>9</v>
      </c>
      <c r="B2747" s="39">
        <v>45761</v>
      </c>
      <c r="C2747" s="40">
        <v>0.5625</v>
      </c>
      <c r="D2747" s="41">
        <v>6186.2330000000002</v>
      </c>
      <c r="E2747" s="41">
        <v>6187.8119999999999</v>
      </c>
      <c r="F2747" s="41">
        <v>6170.9780000000001</v>
      </c>
      <c r="G2747" s="41">
        <v>6173.0820000000003</v>
      </c>
      <c r="H2747" s="41">
        <v>3076608654.0999999</v>
      </c>
      <c r="I2747" s="42">
        <v>9960</v>
      </c>
    </row>
    <row r="2748" spans="1:9" x14ac:dyDescent="0.25">
      <c r="A2748" t="s">
        <v>9</v>
      </c>
      <c r="B2748" s="39">
        <v>45761</v>
      </c>
      <c r="C2748" s="40">
        <v>0.54166666666666663</v>
      </c>
      <c r="D2748" s="41">
        <v>6184.6549999999997</v>
      </c>
      <c r="E2748" s="41">
        <v>6195.1760000000004</v>
      </c>
      <c r="F2748" s="41">
        <v>6182.5510000000004</v>
      </c>
      <c r="G2748" s="41">
        <v>6186.2330000000002</v>
      </c>
      <c r="H2748" s="41">
        <v>3999694367.3800001</v>
      </c>
      <c r="I2748" s="42">
        <v>12930</v>
      </c>
    </row>
    <row r="2749" spans="1:9" x14ac:dyDescent="0.25">
      <c r="A2749" t="s">
        <v>9</v>
      </c>
      <c r="B2749" s="39">
        <v>45761</v>
      </c>
      <c r="C2749" s="40">
        <v>0.52083333333333337</v>
      </c>
      <c r="D2749" s="41">
        <v>6179.9210000000003</v>
      </c>
      <c r="E2749" s="41">
        <v>6193.0720000000001</v>
      </c>
      <c r="F2749" s="41">
        <v>6174.6610000000001</v>
      </c>
      <c r="G2749" s="41">
        <v>6184.6549999999997</v>
      </c>
      <c r="H2749" s="41">
        <v>3189947183.9699998</v>
      </c>
      <c r="I2749" s="42">
        <v>10315</v>
      </c>
    </row>
    <row r="2750" spans="1:9" x14ac:dyDescent="0.25">
      <c r="A2750" t="s">
        <v>9</v>
      </c>
      <c r="B2750" s="39">
        <v>45761</v>
      </c>
      <c r="C2750" s="40">
        <v>0.5</v>
      </c>
      <c r="D2750" s="41">
        <v>6160.4570000000003</v>
      </c>
      <c r="E2750" s="41">
        <v>6181.4989999999998</v>
      </c>
      <c r="F2750" s="41">
        <v>6156.2489999999998</v>
      </c>
      <c r="G2750" s="41">
        <v>6180.4470000000001</v>
      </c>
      <c r="H2750" s="41">
        <v>2975552375.21</v>
      </c>
      <c r="I2750" s="42">
        <v>9650</v>
      </c>
    </row>
    <row r="2751" spans="1:9" x14ac:dyDescent="0.25">
      <c r="A2751" t="s">
        <v>9</v>
      </c>
      <c r="B2751" s="39">
        <v>45761</v>
      </c>
      <c r="C2751" s="40">
        <v>0.47916666666666669</v>
      </c>
      <c r="D2751" s="41">
        <v>6152.567</v>
      </c>
      <c r="E2751" s="41">
        <v>6164.6660000000002</v>
      </c>
      <c r="F2751" s="41">
        <v>6150.9889999999996</v>
      </c>
      <c r="G2751" s="41">
        <v>6160.4570000000003</v>
      </c>
      <c r="H2751" s="41">
        <v>3590446224.8800001</v>
      </c>
      <c r="I2751" s="42">
        <v>11660</v>
      </c>
    </row>
    <row r="2752" spans="1:9" x14ac:dyDescent="0.25">
      <c r="A2752" t="s">
        <v>9</v>
      </c>
      <c r="B2752" s="39">
        <v>45761</v>
      </c>
      <c r="C2752" s="40">
        <v>0.45833333333333331</v>
      </c>
      <c r="D2752" s="41">
        <v>6154.1450000000004</v>
      </c>
      <c r="E2752" s="41">
        <v>6156.2489999999998</v>
      </c>
      <c r="F2752" s="41">
        <v>6145.7280000000001</v>
      </c>
      <c r="G2752" s="41">
        <v>6152.0410000000002</v>
      </c>
      <c r="H2752" s="41">
        <v>3748226213.8800001</v>
      </c>
      <c r="I2752" s="42">
        <v>12185</v>
      </c>
    </row>
    <row r="2753" spans="1:9" x14ac:dyDescent="0.25">
      <c r="A2753" t="s">
        <v>9</v>
      </c>
      <c r="B2753" s="39">
        <v>45761</v>
      </c>
      <c r="C2753" s="40">
        <v>0.4375</v>
      </c>
      <c r="D2753" s="41">
        <v>6160.4570000000003</v>
      </c>
      <c r="E2753" s="41">
        <v>6161.51</v>
      </c>
      <c r="F2753" s="41">
        <v>6149.4110000000001</v>
      </c>
      <c r="G2753" s="41">
        <v>6154.1450000000004</v>
      </c>
      <c r="H2753" s="41">
        <v>2836068329.4200001</v>
      </c>
      <c r="I2753" s="42">
        <v>9215</v>
      </c>
    </row>
    <row r="2754" spans="1:9" x14ac:dyDescent="0.25">
      <c r="A2754" t="s">
        <v>9</v>
      </c>
      <c r="B2754" s="39">
        <v>45761</v>
      </c>
      <c r="C2754" s="40">
        <v>0.41666666666666669</v>
      </c>
      <c r="D2754" s="41">
        <v>6175.7129999999997</v>
      </c>
      <c r="E2754" s="41">
        <v>6177.2910000000002</v>
      </c>
      <c r="F2754" s="41">
        <v>6146.2539999999999</v>
      </c>
      <c r="G2754" s="41">
        <v>6159.4049999999997</v>
      </c>
      <c r="H2754" s="41">
        <v>5688243222.4799995</v>
      </c>
      <c r="I2754" s="42">
        <v>18475</v>
      </c>
    </row>
    <row r="2755" spans="1:9" x14ac:dyDescent="0.25">
      <c r="A2755" t="s">
        <v>9</v>
      </c>
      <c r="B2755" s="39">
        <v>45761</v>
      </c>
      <c r="C2755" s="40">
        <v>0.39583333333333331</v>
      </c>
      <c r="D2755" s="41">
        <v>6162.5619999999999</v>
      </c>
      <c r="E2755" s="41">
        <v>6175.7129999999997</v>
      </c>
      <c r="F2755" s="41">
        <v>6162.0360000000001</v>
      </c>
      <c r="G2755" s="41">
        <v>6175.1869999999999</v>
      </c>
      <c r="H2755" s="41">
        <v>3474208818.6700001</v>
      </c>
      <c r="I2755" s="42">
        <v>11265</v>
      </c>
    </row>
    <row r="2756" spans="1:9" x14ac:dyDescent="0.25">
      <c r="A2756" t="s">
        <v>9</v>
      </c>
      <c r="B2756" s="39">
        <v>45761</v>
      </c>
      <c r="C2756" s="40">
        <v>0.375</v>
      </c>
      <c r="D2756" s="41">
        <v>6165.192</v>
      </c>
      <c r="E2756" s="41">
        <v>6175.7129999999997</v>
      </c>
      <c r="F2756" s="41">
        <v>6156.2489999999998</v>
      </c>
      <c r="G2756" s="41">
        <v>6160.9840000000004</v>
      </c>
      <c r="H2756" s="41">
        <v>3286791721.5300002</v>
      </c>
      <c r="I2756" s="42">
        <v>10665</v>
      </c>
    </row>
    <row r="2757" spans="1:9" x14ac:dyDescent="0.25">
      <c r="A2757" t="s">
        <v>9</v>
      </c>
      <c r="B2757" s="39">
        <v>45758</v>
      </c>
      <c r="C2757" s="40">
        <v>0.75</v>
      </c>
      <c r="D2757" s="41">
        <v>6189.39</v>
      </c>
      <c r="E2757" s="41">
        <v>6190.9679999999998</v>
      </c>
      <c r="F2757" s="41">
        <v>6182.5510000000004</v>
      </c>
      <c r="G2757" s="41">
        <v>6188.8639999999996</v>
      </c>
      <c r="H2757" s="41">
        <v>368062609.54000002</v>
      </c>
      <c r="I2757" s="42">
        <v>1190</v>
      </c>
    </row>
    <row r="2758" spans="1:9" x14ac:dyDescent="0.25">
      <c r="A2758" t="s">
        <v>9</v>
      </c>
      <c r="B2758" s="39">
        <v>45758</v>
      </c>
      <c r="C2758" s="40">
        <v>0.72916666666666663</v>
      </c>
      <c r="D2758" s="41">
        <v>6190.9679999999998</v>
      </c>
      <c r="E2758" s="41">
        <v>6196.2280000000001</v>
      </c>
      <c r="F2758" s="41">
        <v>6186.759</v>
      </c>
      <c r="G2758" s="41">
        <v>6187.8119999999999</v>
      </c>
      <c r="H2758" s="41">
        <v>1383691692.21</v>
      </c>
      <c r="I2758" s="42">
        <v>4470</v>
      </c>
    </row>
    <row r="2759" spans="1:9" x14ac:dyDescent="0.25">
      <c r="A2759" t="s">
        <v>9</v>
      </c>
      <c r="B2759" s="39">
        <v>45758</v>
      </c>
      <c r="C2759" s="40">
        <v>0.70833333333333337</v>
      </c>
      <c r="D2759" s="41">
        <v>6192.5460000000003</v>
      </c>
      <c r="E2759" s="41">
        <v>6196.7539999999999</v>
      </c>
      <c r="F2759" s="41">
        <v>6184.6549999999997</v>
      </c>
      <c r="G2759" s="41">
        <v>6190.9679999999998</v>
      </c>
      <c r="H2759" s="41">
        <v>1949877238.71</v>
      </c>
      <c r="I2759" s="42">
        <v>6300</v>
      </c>
    </row>
    <row r="2760" spans="1:9" x14ac:dyDescent="0.25">
      <c r="A2760" t="s">
        <v>9</v>
      </c>
      <c r="B2760" s="39">
        <v>45758</v>
      </c>
      <c r="C2760" s="40">
        <v>0.6875</v>
      </c>
      <c r="D2760" s="41">
        <v>6192.02</v>
      </c>
      <c r="E2760" s="41">
        <v>6198.8580000000002</v>
      </c>
      <c r="F2760" s="41">
        <v>6188.8639999999996</v>
      </c>
      <c r="G2760" s="41">
        <v>6191.4939999999997</v>
      </c>
      <c r="H2760" s="41">
        <v>2280312320.0900002</v>
      </c>
      <c r="I2760" s="42">
        <v>7365</v>
      </c>
    </row>
    <row r="2761" spans="1:9" x14ac:dyDescent="0.25">
      <c r="A2761" t="s">
        <v>9</v>
      </c>
      <c r="B2761" s="39">
        <v>45758</v>
      </c>
      <c r="C2761" s="40">
        <v>0.66666666666666663</v>
      </c>
      <c r="D2761" s="41">
        <v>6196.2280000000001</v>
      </c>
      <c r="E2761" s="41">
        <v>6198.3320000000003</v>
      </c>
      <c r="F2761" s="41">
        <v>6187.8119999999999</v>
      </c>
      <c r="G2761" s="41">
        <v>6191.4939999999997</v>
      </c>
      <c r="H2761" s="41">
        <v>2335717773.3099999</v>
      </c>
      <c r="I2761" s="42">
        <v>7545</v>
      </c>
    </row>
    <row r="2762" spans="1:9" x14ac:dyDescent="0.25">
      <c r="A2762" t="s">
        <v>9</v>
      </c>
      <c r="B2762" s="39">
        <v>45758</v>
      </c>
      <c r="C2762" s="40">
        <v>0.64583333333333337</v>
      </c>
      <c r="D2762" s="41">
        <v>6193.0720000000001</v>
      </c>
      <c r="E2762" s="41">
        <v>6205.6970000000001</v>
      </c>
      <c r="F2762" s="41">
        <v>6191.4939999999997</v>
      </c>
      <c r="G2762" s="41">
        <v>6195.7020000000002</v>
      </c>
      <c r="H2762" s="41">
        <v>4806495462.3199997</v>
      </c>
      <c r="I2762" s="42">
        <v>15510</v>
      </c>
    </row>
    <row r="2763" spans="1:9" x14ac:dyDescent="0.25">
      <c r="A2763" t="s">
        <v>9</v>
      </c>
      <c r="B2763" s="39">
        <v>45758</v>
      </c>
      <c r="C2763" s="40">
        <v>0.625</v>
      </c>
      <c r="D2763" s="41">
        <v>6182.0249999999996</v>
      </c>
      <c r="E2763" s="41">
        <v>6194.65</v>
      </c>
      <c r="F2763" s="41">
        <v>6177.2910000000002</v>
      </c>
      <c r="G2763" s="41">
        <v>6193.0720000000001</v>
      </c>
      <c r="H2763" s="41">
        <v>6561807374.3400002</v>
      </c>
      <c r="I2763" s="42">
        <v>21210</v>
      </c>
    </row>
    <row r="2764" spans="1:9" x14ac:dyDescent="0.25">
      <c r="A2764" t="s">
        <v>9</v>
      </c>
      <c r="B2764" s="39">
        <v>45758</v>
      </c>
      <c r="C2764" s="40">
        <v>0.60416666666666663</v>
      </c>
      <c r="D2764" s="41">
        <v>6197.8059999999996</v>
      </c>
      <c r="E2764" s="41">
        <v>6205.6970000000001</v>
      </c>
      <c r="F2764" s="41">
        <v>6172.03</v>
      </c>
      <c r="G2764" s="41">
        <v>6182.0249999999996</v>
      </c>
      <c r="H2764" s="41">
        <v>6126334678.3699999</v>
      </c>
      <c r="I2764" s="42">
        <v>19810</v>
      </c>
    </row>
    <row r="2765" spans="1:9" x14ac:dyDescent="0.25">
      <c r="A2765" t="s">
        <v>9</v>
      </c>
      <c r="B2765" s="39">
        <v>45758</v>
      </c>
      <c r="C2765" s="40">
        <v>0.58333333333333337</v>
      </c>
      <c r="D2765" s="41">
        <v>6204.6450000000004</v>
      </c>
      <c r="E2765" s="41">
        <v>6209.9049999999997</v>
      </c>
      <c r="F2765" s="41">
        <v>6189.39</v>
      </c>
      <c r="G2765" s="41">
        <v>6197.28</v>
      </c>
      <c r="H2765" s="41">
        <v>3860230705.6399999</v>
      </c>
      <c r="I2765" s="42">
        <v>12450</v>
      </c>
    </row>
    <row r="2766" spans="1:9" x14ac:dyDescent="0.25">
      <c r="A2766" t="s">
        <v>9</v>
      </c>
      <c r="B2766" s="39">
        <v>45758</v>
      </c>
      <c r="C2766" s="40">
        <v>0.5625</v>
      </c>
      <c r="D2766" s="41">
        <v>6192.5460000000003</v>
      </c>
      <c r="E2766" s="41">
        <v>6210.9570000000003</v>
      </c>
      <c r="F2766" s="41">
        <v>6187.2860000000001</v>
      </c>
      <c r="G2766" s="41">
        <v>6206.223</v>
      </c>
      <c r="H2766" s="41">
        <v>4651020187.21</v>
      </c>
      <c r="I2766" s="42">
        <v>15005</v>
      </c>
    </row>
    <row r="2767" spans="1:9" x14ac:dyDescent="0.25">
      <c r="A2767" t="s">
        <v>9</v>
      </c>
      <c r="B2767" s="39">
        <v>45758</v>
      </c>
      <c r="C2767" s="40">
        <v>0.54166666666666663</v>
      </c>
      <c r="D2767" s="41">
        <v>6202.0150000000003</v>
      </c>
      <c r="E2767" s="41">
        <v>6202.0150000000003</v>
      </c>
      <c r="F2767" s="41">
        <v>6182.5510000000004</v>
      </c>
      <c r="G2767" s="41">
        <v>6192.5460000000003</v>
      </c>
      <c r="H2767" s="41">
        <v>4217265012.6799998</v>
      </c>
      <c r="I2767" s="42">
        <v>13620</v>
      </c>
    </row>
    <row r="2768" spans="1:9" x14ac:dyDescent="0.25">
      <c r="A2768" t="s">
        <v>9</v>
      </c>
      <c r="B2768" s="39">
        <v>45758</v>
      </c>
      <c r="C2768" s="40">
        <v>0.52083333333333337</v>
      </c>
      <c r="D2768" s="41">
        <v>6213.5879999999997</v>
      </c>
      <c r="E2768" s="41">
        <v>6215.692</v>
      </c>
      <c r="F2768" s="41">
        <v>6200.4369999999999</v>
      </c>
      <c r="G2768" s="41">
        <v>6203.067</v>
      </c>
      <c r="H2768" s="41">
        <v>2965791040.6700001</v>
      </c>
      <c r="I2768" s="42">
        <v>9560</v>
      </c>
    </row>
    <row r="2769" spans="1:9" x14ac:dyDescent="0.25">
      <c r="A2769" t="s">
        <v>9</v>
      </c>
      <c r="B2769" s="39">
        <v>45758</v>
      </c>
      <c r="C2769" s="40">
        <v>0.5</v>
      </c>
      <c r="D2769" s="41">
        <v>6214.1139999999996</v>
      </c>
      <c r="E2769" s="41">
        <v>6221.4780000000001</v>
      </c>
      <c r="F2769" s="41">
        <v>6205.1710000000003</v>
      </c>
      <c r="G2769" s="41">
        <v>6214.1139999999996</v>
      </c>
      <c r="H2769" s="41">
        <v>3834311124</v>
      </c>
      <c r="I2769" s="42">
        <v>12340</v>
      </c>
    </row>
    <row r="2770" spans="1:9" x14ac:dyDescent="0.25">
      <c r="A2770" t="s">
        <v>9</v>
      </c>
      <c r="B2770" s="39">
        <v>45758</v>
      </c>
      <c r="C2770" s="40">
        <v>0.47916666666666669</v>
      </c>
      <c r="D2770" s="41">
        <v>6227.7910000000002</v>
      </c>
      <c r="E2770" s="41">
        <v>6232.5249999999996</v>
      </c>
      <c r="F2770" s="41">
        <v>6212.5349999999999</v>
      </c>
      <c r="G2770" s="41">
        <v>6214.64</v>
      </c>
      <c r="H2770" s="41">
        <v>4618655823.3500004</v>
      </c>
      <c r="I2770" s="42">
        <v>14845</v>
      </c>
    </row>
    <row r="2771" spans="1:9" x14ac:dyDescent="0.25">
      <c r="A2771" t="s">
        <v>9</v>
      </c>
      <c r="B2771" s="39">
        <v>45758</v>
      </c>
      <c r="C2771" s="40">
        <v>0.45833333333333331</v>
      </c>
      <c r="D2771" s="41">
        <v>6208.3270000000002</v>
      </c>
      <c r="E2771" s="41">
        <v>6238.3109999999997</v>
      </c>
      <c r="F2771" s="41">
        <v>6192.02</v>
      </c>
      <c r="G2771" s="41">
        <v>6227.7910000000002</v>
      </c>
      <c r="H2771" s="41">
        <v>6057869749.71</v>
      </c>
      <c r="I2771" s="42">
        <v>19495</v>
      </c>
    </row>
    <row r="2772" spans="1:9" x14ac:dyDescent="0.25">
      <c r="A2772" t="s">
        <v>9</v>
      </c>
      <c r="B2772" s="39">
        <v>45758</v>
      </c>
      <c r="C2772" s="40">
        <v>0.4375</v>
      </c>
      <c r="D2772" s="41">
        <v>6232.5249999999996</v>
      </c>
      <c r="E2772" s="41">
        <v>6245.15</v>
      </c>
      <c r="F2772" s="41">
        <v>6193.598</v>
      </c>
      <c r="G2772" s="41">
        <v>6207.2749999999996</v>
      </c>
      <c r="H2772" s="41">
        <v>7799630996.1800003</v>
      </c>
      <c r="I2772" s="42">
        <v>25080</v>
      </c>
    </row>
    <row r="2773" spans="1:9" x14ac:dyDescent="0.25">
      <c r="A2773" t="s">
        <v>9</v>
      </c>
      <c r="B2773" s="39">
        <v>45758</v>
      </c>
      <c r="C2773" s="40">
        <v>0.41666666666666669</v>
      </c>
      <c r="D2773" s="41">
        <v>6175.1869999999999</v>
      </c>
      <c r="E2773" s="41">
        <v>6237.7849999999999</v>
      </c>
      <c r="F2773" s="41">
        <v>6173.0820000000003</v>
      </c>
      <c r="G2773" s="41">
        <v>6233.5770000000002</v>
      </c>
      <c r="H2773" s="41">
        <v>8369319839.29</v>
      </c>
      <c r="I2773" s="42">
        <v>26955</v>
      </c>
    </row>
    <row r="2774" spans="1:9" x14ac:dyDescent="0.25">
      <c r="A2774" t="s">
        <v>9</v>
      </c>
      <c r="B2774" s="39">
        <v>45758</v>
      </c>
      <c r="C2774" s="40">
        <v>0.39583333333333331</v>
      </c>
      <c r="D2774" s="41">
        <v>6157.8270000000002</v>
      </c>
      <c r="E2774" s="41">
        <v>6194.65</v>
      </c>
      <c r="F2774" s="41">
        <v>6136.7860000000001</v>
      </c>
      <c r="G2774" s="41">
        <v>6174.1350000000002</v>
      </c>
      <c r="H2774" s="41">
        <v>7216763792.5200005</v>
      </c>
      <c r="I2774" s="42">
        <v>23425</v>
      </c>
    </row>
    <row r="2775" spans="1:9" x14ac:dyDescent="0.25">
      <c r="A2775" t="s">
        <v>9</v>
      </c>
      <c r="B2775" s="39">
        <v>45758</v>
      </c>
      <c r="C2775" s="40">
        <v>0.375</v>
      </c>
      <c r="D2775" s="41">
        <v>6155.1970000000001</v>
      </c>
      <c r="E2775" s="41">
        <v>6178.3429999999998</v>
      </c>
      <c r="F2775" s="41">
        <v>6146.2539999999999</v>
      </c>
      <c r="G2775" s="41">
        <v>6158.3530000000001</v>
      </c>
      <c r="H2775" s="41">
        <v>5651201045.6199999</v>
      </c>
      <c r="I2775" s="42">
        <v>18350</v>
      </c>
    </row>
    <row r="2776" spans="1:9" x14ac:dyDescent="0.25">
      <c r="A2776" t="s">
        <v>9</v>
      </c>
      <c r="B2776" s="39">
        <v>45757</v>
      </c>
      <c r="C2776" s="40">
        <v>0.75</v>
      </c>
      <c r="D2776" s="41">
        <v>6212.5349999999999</v>
      </c>
      <c r="E2776" s="41">
        <v>6214.1139999999996</v>
      </c>
      <c r="F2776" s="41">
        <v>6206.223</v>
      </c>
      <c r="G2776" s="41">
        <v>6206.223</v>
      </c>
      <c r="H2776" s="41">
        <v>439370785.80000001</v>
      </c>
      <c r="I2776" s="42">
        <v>1415</v>
      </c>
    </row>
    <row r="2777" spans="1:9" x14ac:dyDescent="0.25">
      <c r="A2777" t="s">
        <v>9</v>
      </c>
      <c r="B2777" s="39">
        <v>45757</v>
      </c>
      <c r="C2777" s="40">
        <v>0.72916666666666663</v>
      </c>
      <c r="D2777" s="41">
        <v>6215.692</v>
      </c>
      <c r="E2777" s="41">
        <v>6219.9</v>
      </c>
      <c r="F2777" s="41">
        <v>6208.8530000000001</v>
      </c>
      <c r="G2777" s="41">
        <v>6212.5349999999999</v>
      </c>
      <c r="H2777" s="41">
        <v>2341871523.7600002</v>
      </c>
      <c r="I2777" s="42">
        <v>7535</v>
      </c>
    </row>
    <row r="2778" spans="1:9" x14ac:dyDescent="0.25">
      <c r="A2778" t="s">
        <v>9</v>
      </c>
      <c r="B2778" s="39">
        <v>45757</v>
      </c>
      <c r="C2778" s="40">
        <v>0.70833333333333337</v>
      </c>
      <c r="D2778" s="41">
        <v>6225.6859999999997</v>
      </c>
      <c r="E2778" s="41">
        <v>6228.317</v>
      </c>
      <c r="F2778" s="41">
        <v>6213.5879999999997</v>
      </c>
      <c r="G2778" s="41">
        <v>6215.1660000000002</v>
      </c>
      <c r="H2778" s="41">
        <v>3129955185.7399998</v>
      </c>
      <c r="I2778" s="42">
        <v>10060</v>
      </c>
    </row>
    <row r="2779" spans="1:9" x14ac:dyDescent="0.25">
      <c r="A2779" t="s">
        <v>9</v>
      </c>
      <c r="B2779" s="39">
        <v>45757</v>
      </c>
      <c r="C2779" s="40">
        <v>0.6875</v>
      </c>
      <c r="D2779" s="41">
        <v>6231.9989999999998</v>
      </c>
      <c r="E2779" s="41">
        <v>6238.3109999999997</v>
      </c>
      <c r="F2779" s="41">
        <v>6222.0039999999999</v>
      </c>
      <c r="G2779" s="41">
        <v>6225.16</v>
      </c>
      <c r="H2779" s="41">
        <v>3396641289.3800001</v>
      </c>
      <c r="I2779" s="42">
        <v>10905</v>
      </c>
    </row>
    <row r="2780" spans="1:9" x14ac:dyDescent="0.25">
      <c r="A2780" t="s">
        <v>9</v>
      </c>
      <c r="B2780" s="39">
        <v>45757</v>
      </c>
      <c r="C2780" s="40">
        <v>0.66666666666666663</v>
      </c>
      <c r="D2780" s="41">
        <v>6220.9520000000002</v>
      </c>
      <c r="E2780" s="41">
        <v>6231.9989999999998</v>
      </c>
      <c r="F2780" s="41">
        <v>6214.1139999999996</v>
      </c>
      <c r="G2780" s="41">
        <v>6231.9989999999998</v>
      </c>
      <c r="H2780" s="41">
        <v>4793270941.7399998</v>
      </c>
      <c r="I2780" s="42">
        <v>15400</v>
      </c>
    </row>
    <row r="2781" spans="1:9" x14ac:dyDescent="0.25">
      <c r="A2781" t="s">
        <v>9</v>
      </c>
      <c r="B2781" s="39">
        <v>45757</v>
      </c>
      <c r="C2781" s="40">
        <v>0.64583333333333337</v>
      </c>
      <c r="D2781" s="41">
        <v>6239.89</v>
      </c>
      <c r="E2781" s="41">
        <v>6243.0460000000003</v>
      </c>
      <c r="F2781" s="41">
        <v>6212.5349999999999</v>
      </c>
      <c r="G2781" s="41">
        <v>6220.4260000000004</v>
      </c>
      <c r="H2781" s="41">
        <v>4708845162.5900002</v>
      </c>
      <c r="I2781" s="42">
        <v>15135</v>
      </c>
    </row>
    <row r="2782" spans="1:9" x14ac:dyDescent="0.25">
      <c r="A2782" t="s">
        <v>9</v>
      </c>
      <c r="B2782" s="39">
        <v>45757</v>
      </c>
      <c r="C2782" s="40">
        <v>0.625</v>
      </c>
      <c r="D2782" s="41">
        <v>6226.7389999999996</v>
      </c>
      <c r="E2782" s="41">
        <v>6260.4049999999997</v>
      </c>
      <c r="F2782" s="41">
        <v>6218.3220000000001</v>
      </c>
      <c r="G2782" s="41">
        <v>6240.4160000000002</v>
      </c>
      <c r="H2782" s="41">
        <v>6058212990.9700003</v>
      </c>
      <c r="I2782" s="42">
        <v>19420</v>
      </c>
    </row>
    <row r="2783" spans="1:9" x14ac:dyDescent="0.25">
      <c r="A2783" t="s">
        <v>9</v>
      </c>
      <c r="B2783" s="39">
        <v>45757</v>
      </c>
      <c r="C2783" s="40">
        <v>0.60416666666666663</v>
      </c>
      <c r="D2783" s="41">
        <v>6251.9880000000003</v>
      </c>
      <c r="E2783" s="41">
        <v>6253.0410000000002</v>
      </c>
      <c r="F2783" s="41">
        <v>6219.3739999999998</v>
      </c>
      <c r="G2783" s="41">
        <v>6227.2650000000003</v>
      </c>
      <c r="H2783" s="41">
        <v>5413958730.3299999</v>
      </c>
      <c r="I2783" s="42">
        <v>17370</v>
      </c>
    </row>
    <row r="2784" spans="1:9" x14ac:dyDescent="0.25">
      <c r="A2784" t="s">
        <v>9</v>
      </c>
      <c r="B2784" s="39">
        <v>45757</v>
      </c>
      <c r="C2784" s="40">
        <v>0.58333333333333337</v>
      </c>
      <c r="D2784" s="41">
        <v>6263.5609999999997</v>
      </c>
      <c r="E2784" s="41">
        <v>6265.6660000000002</v>
      </c>
      <c r="F2784" s="41">
        <v>6248.8320000000003</v>
      </c>
      <c r="G2784" s="41">
        <v>6251.4620000000004</v>
      </c>
      <c r="H2784" s="41">
        <v>2999440783.9000001</v>
      </c>
      <c r="I2784" s="42">
        <v>9585</v>
      </c>
    </row>
    <row r="2785" spans="1:9" x14ac:dyDescent="0.25">
      <c r="A2785" t="s">
        <v>9</v>
      </c>
      <c r="B2785" s="39">
        <v>45757</v>
      </c>
      <c r="C2785" s="40">
        <v>0.5625</v>
      </c>
      <c r="D2785" s="41">
        <v>6278.817</v>
      </c>
      <c r="E2785" s="41">
        <v>6279.8689999999997</v>
      </c>
      <c r="F2785" s="41">
        <v>6255.6710000000003</v>
      </c>
      <c r="G2785" s="41">
        <v>6263.0349999999999</v>
      </c>
      <c r="H2785" s="41">
        <v>5599069535.4700003</v>
      </c>
      <c r="I2785" s="42">
        <v>17870</v>
      </c>
    </row>
    <row r="2786" spans="1:9" x14ac:dyDescent="0.25">
      <c r="A2786" t="s">
        <v>9</v>
      </c>
      <c r="B2786" s="39">
        <v>45757</v>
      </c>
      <c r="C2786" s="40">
        <v>0.54166666666666663</v>
      </c>
      <c r="D2786" s="41">
        <v>6273.03</v>
      </c>
      <c r="E2786" s="41">
        <v>6285.6549999999997</v>
      </c>
      <c r="F2786" s="41">
        <v>6265.1390000000001</v>
      </c>
      <c r="G2786" s="41">
        <v>6277.2380000000003</v>
      </c>
      <c r="H2786" s="41">
        <v>5407324968.1400003</v>
      </c>
      <c r="I2786" s="42">
        <v>17245</v>
      </c>
    </row>
    <row r="2787" spans="1:9" x14ac:dyDescent="0.25">
      <c r="A2787" t="s">
        <v>9</v>
      </c>
      <c r="B2787" s="39">
        <v>45757</v>
      </c>
      <c r="C2787" s="40">
        <v>0.52083333333333337</v>
      </c>
      <c r="D2787" s="41">
        <v>6265.1390000000001</v>
      </c>
      <c r="E2787" s="41">
        <v>6285.1289999999999</v>
      </c>
      <c r="F2787" s="41">
        <v>6264.6130000000003</v>
      </c>
      <c r="G2787" s="41">
        <v>6274.0820000000003</v>
      </c>
      <c r="H2787" s="41">
        <v>5202800121.2399998</v>
      </c>
      <c r="I2787" s="42">
        <v>16580</v>
      </c>
    </row>
    <row r="2788" spans="1:9" x14ac:dyDescent="0.25">
      <c r="A2788" t="s">
        <v>9</v>
      </c>
      <c r="B2788" s="39">
        <v>45757</v>
      </c>
      <c r="C2788" s="40">
        <v>0.5</v>
      </c>
      <c r="D2788" s="41">
        <v>6251.4620000000004</v>
      </c>
      <c r="E2788" s="41">
        <v>6266.7179999999998</v>
      </c>
      <c r="F2788" s="41">
        <v>6243.0460000000003</v>
      </c>
      <c r="G2788" s="41">
        <v>6264.6130000000003</v>
      </c>
      <c r="H2788" s="41">
        <v>4483102876.3999996</v>
      </c>
      <c r="I2788" s="42">
        <v>14335</v>
      </c>
    </row>
    <row r="2789" spans="1:9" x14ac:dyDescent="0.25">
      <c r="A2789" t="s">
        <v>9</v>
      </c>
      <c r="B2789" s="39">
        <v>45757</v>
      </c>
      <c r="C2789" s="40">
        <v>0.47916666666666669</v>
      </c>
      <c r="D2789" s="41">
        <v>6237.7849999999999</v>
      </c>
      <c r="E2789" s="41">
        <v>6255.1450000000004</v>
      </c>
      <c r="F2789" s="41">
        <v>6222.0039999999999</v>
      </c>
      <c r="G2789" s="41">
        <v>6251.4620000000004</v>
      </c>
      <c r="H2789" s="41">
        <v>5972412011.0799999</v>
      </c>
      <c r="I2789" s="42">
        <v>19150</v>
      </c>
    </row>
    <row r="2790" spans="1:9" x14ac:dyDescent="0.25">
      <c r="A2790" t="s">
        <v>9</v>
      </c>
      <c r="B2790" s="39">
        <v>45757</v>
      </c>
      <c r="C2790" s="40">
        <v>0.45833333333333331</v>
      </c>
      <c r="D2790" s="41">
        <v>6228.8429999999998</v>
      </c>
      <c r="E2790" s="41">
        <v>6241.9939999999997</v>
      </c>
      <c r="F2790" s="41">
        <v>6217.27</v>
      </c>
      <c r="G2790" s="41">
        <v>6237.259</v>
      </c>
      <c r="H2790" s="41">
        <v>4703925371.0799999</v>
      </c>
      <c r="I2790" s="42">
        <v>15100</v>
      </c>
    </row>
    <row r="2791" spans="1:9" x14ac:dyDescent="0.25">
      <c r="A2791" t="s">
        <v>9</v>
      </c>
      <c r="B2791" s="39">
        <v>45757</v>
      </c>
      <c r="C2791" s="40">
        <v>0.4375</v>
      </c>
      <c r="D2791" s="41">
        <v>6222.0039999999999</v>
      </c>
      <c r="E2791" s="41">
        <v>6230.4210000000003</v>
      </c>
      <c r="F2791" s="41">
        <v>6202.5410000000002</v>
      </c>
      <c r="G2791" s="41">
        <v>6228.8429999999998</v>
      </c>
      <c r="H2791" s="41">
        <v>6534989315.9399996</v>
      </c>
      <c r="I2791" s="42">
        <v>21030</v>
      </c>
    </row>
    <row r="2792" spans="1:9" x14ac:dyDescent="0.25">
      <c r="A2792" t="s">
        <v>9</v>
      </c>
      <c r="B2792" s="39">
        <v>45757</v>
      </c>
      <c r="C2792" s="40">
        <v>0.41666666666666669</v>
      </c>
      <c r="D2792" s="41">
        <v>6207.8010000000004</v>
      </c>
      <c r="E2792" s="41">
        <v>6238.8370000000004</v>
      </c>
      <c r="F2792" s="41">
        <v>6207.8010000000004</v>
      </c>
      <c r="G2792" s="41">
        <v>6222.0039999999999</v>
      </c>
      <c r="H2792" s="41">
        <v>8105910571.9300003</v>
      </c>
      <c r="I2792" s="42">
        <v>26045</v>
      </c>
    </row>
    <row r="2793" spans="1:9" x14ac:dyDescent="0.25">
      <c r="A2793" t="s">
        <v>9</v>
      </c>
      <c r="B2793" s="39">
        <v>45757</v>
      </c>
      <c r="C2793" s="40">
        <v>0.39583333333333331</v>
      </c>
      <c r="D2793" s="41">
        <v>6169.4</v>
      </c>
      <c r="E2793" s="41">
        <v>6210.4309999999996</v>
      </c>
      <c r="F2793" s="41">
        <v>6146.78</v>
      </c>
      <c r="G2793" s="41">
        <v>6207.8010000000004</v>
      </c>
      <c r="H2793" s="41">
        <v>7810045015.1700001</v>
      </c>
      <c r="I2793" s="42">
        <v>25265</v>
      </c>
    </row>
    <row r="2794" spans="1:9" x14ac:dyDescent="0.25">
      <c r="A2794" t="s">
        <v>9</v>
      </c>
      <c r="B2794" s="39">
        <v>45757</v>
      </c>
      <c r="C2794" s="40">
        <v>0.375</v>
      </c>
      <c r="D2794" s="41">
        <v>6185.7070000000003</v>
      </c>
      <c r="E2794" s="41">
        <v>6193.0720000000001</v>
      </c>
      <c r="F2794" s="41">
        <v>6160.4570000000003</v>
      </c>
      <c r="G2794" s="41">
        <v>6169.4</v>
      </c>
      <c r="H2794" s="41">
        <v>4340630395.8999996</v>
      </c>
      <c r="I2794" s="42">
        <v>14050</v>
      </c>
    </row>
    <row r="2795" spans="1:9" x14ac:dyDescent="0.25">
      <c r="A2795" t="s">
        <v>9</v>
      </c>
      <c r="B2795" s="39">
        <v>45756</v>
      </c>
      <c r="C2795" s="40">
        <v>0.75</v>
      </c>
      <c r="D2795" s="41">
        <v>6145.7280000000001</v>
      </c>
      <c r="E2795" s="41">
        <v>6148.3590000000004</v>
      </c>
      <c r="F2795" s="41">
        <v>6140.4679999999998</v>
      </c>
      <c r="G2795" s="41">
        <v>6146.78</v>
      </c>
      <c r="H2795" s="41">
        <v>838941760.19000006</v>
      </c>
      <c r="I2795" s="42">
        <v>2730</v>
      </c>
    </row>
    <row r="2796" spans="1:9" x14ac:dyDescent="0.25">
      <c r="A2796" t="s">
        <v>9</v>
      </c>
      <c r="B2796" s="39">
        <v>45756</v>
      </c>
      <c r="C2796" s="40">
        <v>0.72916666666666663</v>
      </c>
      <c r="D2796" s="41">
        <v>6161.51</v>
      </c>
      <c r="E2796" s="41">
        <v>6163.0879999999997</v>
      </c>
      <c r="F2796" s="41">
        <v>6142.5720000000001</v>
      </c>
      <c r="G2796" s="41">
        <v>6147.3059999999996</v>
      </c>
      <c r="H2796" s="41">
        <v>2007821230.7</v>
      </c>
      <c r="I2796" s="42">
        <v>6525</v>
      </c>
    </row>
    <row r="2797" spans="1:9" x14ac:dyDescent="0.25">
      <c r="A2797" t="s">
        <v>9</v>
      </c>
      <c r="B2797" s="39">
        <v>45756</v>
      </c>
      <c r="C2797" s="40">
        <v>0.70833333333333337</v>
      </c>
      <c r="D2797" s="41">
        <v>6172.03</v>
      </c>
      <c r="E2797" s="41">
        <v>6174.1350000000002</v>
      </c>
      <c r="F2797" s="41">
        <v>6157.3010000000004</v>
      </c>
      <c r="G2797" s="41">
        <v>6160.4570000000003</v>
      </c>
      <c r="H2797" s="41">
        <v>3401571864.7199998</v>
      </c>
      <c r="I2797" s="42">
        <v>11035</v>
      </c>
    </row>
    <row r="2798" spans="1:9" x14ac:dyDescent="0.25">
      <c r="A2798" t="s">
        <v>9</v>
      </c>
      <c r="B2798" s="39">
        <v>45756</v>
      </c>
      <c r="C2798" s="40">
        <v>0.6875</v>
      </c>
      <c r="D2798" s="41">
        <v>6159.9309999999996</v>
      </c>
      <c r="E2798" s="41">
        <v>6172.03</v>
      </c>
      <c r="F2798" s="41">
        <v>6159.4049999999997</v>
      </c>
      <c r="G2798" s="41">
        <v>6172.03</v>
      </c>
      <c r="H2798" s="41">
        <v>3956747125.5999999</v>
      </c>
      <c r="I2798" s="42">
        <v>12835</v>
      </c>
    </row>
    <row r="2799" spans="1:9" x14ac:dyDescent="0.25">
      <c r="A2799" t="s">
        <v>9</v>
      </c>
      <c r="B2799" s="39">
        <v>45756</v>
      </c>
      <c r="C2799" s="40">
        <v>0.66666666666666663</v>
      </c>
      <c r="D2799" s="41">
        <v>6186.2330000000002</v>
      </c>
      <c r="E2799" s="41">
        <v>6194.65</v>
      </c>
      <c r="F2799" s="41">
        <v>6152.567</v>
      </c>
      <c r="G2799" s="41">
        <v>6161.51</v>
      </c>
      <c r="H2799" s="41">
        <v>4857078441.4700003</v>
      </c>
      <c r="I2799" s="42">
        <v>15750</v>
      </c>
    </row>
    <row r="2800" spans="1:9" x14ac:dyDescent="0.25">
      <c r="A2800" t="s">
        <v>9</v>
      </c>
      <c r="B2800" s="39">
        <v>45756</v>
      </c>
      <c r="C2800" s="40">
        <v>0.64583333333333337</v>
      </c>
      <c r="D2800" s="41">
        <v>6187.2860000000001</v>
      </c>
      <c r="E2800" s="41">
        <v>6192.5460000000003</v>
      </c>
      <c r="F2800" s="41">
        <v>6167.8220000000001</v>
      </c>
      <c r="G2800" s="41">
        <v>6186.2330000000002</v>
      </c>
      <c r="H2800" s="41">
        <v>7391290010.1099997</v>
      </c>
      <c r="I2800" s="42">
        <v>23910</v>
      </c>
    </row>
    <row r="2801" spans="1:9" x14ac:dyDescent="0.25">
      <c r="A2801" t="s">
        <v>9</v>
      </c>
      <c r="B2801" s="39">
        <v>45756</v>
      </c>
      <c r="C2801" s="40">
        <v>0.625</v>
      </c>
      <c r="D2801" s="41">
        <v>6210.4309999999996</v>
      </c>
      <c r="E2801" s="41">
        <v>6214.64</v>
      </c>
      <c r="F2801" s="41">
        <v>6172.03</v>
      </c>
      <c r="G2801" s="41">
        <v>6186.759</v>
      </c>
      <c r="H2801" s="41">
        <v>7578232618.9399996</v>
      </c>
      <c r="I2801" s="42">
        <v>24450</v>
      </c>
    </row>
    <row r="2802" spans="1:9" x14ac:dyDescent="0.25">
      <c r="A2802" t="s">
        <v>9</v>
      </c>
      <c r="B2802" s="39">
        <v>45756</v>
      </c>
      <c r="C2802" s="40">
        <v>0.60416666666666663</v>
      </c>
      <c r="D2802" s="41">
        <v>6227.2650000000003</v>
      </c>
      <c r="E2802" s="41">
        <v>6263.0349999999999</v>
      </c>
      <c r="F2802" s="41">
        <v>6203.067</v>
      </c>
      <c r="G2802" s="41">
        <v>6213.5879999999997</v>
      </c>
      <c r="H2802" s="41">
        <v>8184505983.8800001</v>
      </c>
      <c r="I2802" s="42">
        <v>26270</v>
      </c>
    </row>
    <row r="2803" spans="1:9" x14ac:dyDescent="0.25">
      <c r="A2803" t="s">
        <v>9</v>
      </c>
      <c r="B2803" s="39">
        <v>45756</v>
      </c>
      <c r="C2803" s="40">
        <v>0.58333333333333337</v>
      </c>
      <c r="D2803" s="41">
        <v>6348.78</v>
      </c>
      <c r="E2803" s="41">
        <v>6367.7169999999996</v>
      </c>
      <c r="F2803" s="41">
        <v>6195.1760000000004</v>
      </c>
      <c r="G2803" s="41">
        <v>6229.3689999999997</v>
      </c>
      <c r="H2803" s="41">
        <v>20403253240.040001</v>
      </c>
      <c r="I2803" s="42">
        <v>64775</v>
      </c>
    </row>
    <row r="2804" spans="1:9" x14ac:dyDescent="0.25">
      <c r="A2804" t="s">
        <v>9</v>
      </c>
      <c r="B2804" s="39">
        <v>45756</v>
      </c>
      <c r="C2804" s="40">
        <v>0.5625</v>
      </c>
      <c r="D2804" s="41">
        <v>6371.4</v>
      </c>
      <c r="E2804" s="41">
        <v>6373.5039999999999</v>
      </c>
      <c r="F2804" s="41">
        <v>6345.098</v>
      </c>
      <c r="G2804" s="41">
        <v>6349.3059999999996</v>
      </c>
      <c r="H2804" s="41">
        <v>7055563358.2600002</v>
      </c>
      <c r="I2804" s="42">
        <v>22200</v>
      </c>
    </row>
    <row r="2805" spans="1:9" x14ac:dyDescent="0.25">
      <c r="A2805" t="s">
        <v>9</v>
      </c>
      <c r="B2805" s="39">
        <v>45756</v>
      </c>
      <c r="C2805" s="40">
        <v>0.54166666666666663</v>
      </c>
      <c r="D2805" s="41">
        <v>6390.8630000000003</v>
      </c>
      <c r="E2805" s="41">
        <v>6391.3890000000001</v>
      </c>
      <c r="F2805" s="41">
        <v>6369.2950000000001</v>
      </c>
      <c r="G2805" s="41">
        <v>6370.8739999999998</v>
      </c>
      <c r="H2805" s="41">
        <v>6258314233.8400002</v>
      </c>
      <c r="I2805" s="42">
        <v>19620</v>
      </c>
    </row>
    <row r="2806" spans="1:9" x14ac:dyDescent="0.25">
      <c r="A2806" t="s">
        <v>9</v>
      </c>
      <c r="B2806" s="39">
        <v>45756</v>
      </c>
      <c r="C2806" s="40">
        <v>0.52083333333333337</v>
      </c>
      <c r="D2806" s="41">
        <v>6397.7020000000002</v>
      </c>
      <c r="E2806" s="41">
        <v>6398.7539999999999</v>
      </c>
      <c r="F2806" s="41">
        <v>6374.5559999999996</v>
      </c>
      <c r="G2806" s="41">
        <v>6390.8630000000003</v>
      </c>
      <c r="H2806" s="41">
        <v>3575041267.4299998</v>
      </c>
      <c r="I2806" s="42">
        <v>11195</v>
      </c>
    </row>
    <row r="2807" spans="1:9" x14ac:dyDescent="0.25">
      <c r="A2807" t="s">
        <v>9</v>
      </c>
      <c r="B2807" s="39">
        <v>45756</v>
      </c>
      <c r="C2807" s="40">
        <v>0.5</v>
      </c>
      <c r="D2807" s="41">
        <v>6399.28</v>
      </c>
      <c r="E2807" s="41">
        <v>6408.7479999999996</v>
      </c>
      <c r="F2807" s="41">
        <v>6387.7070000000003</v>
      </c>
      <c r="G2807" s="41">
        <v>6398.7539999999999</v>
      </c>
      <c r="H2807" s="41">
        <v>5153410069.8900003</v>
      </c>
      <c r="I2807" s="42">
        <v>16110</v>
      </c>
    </row>
    <row r="2808" spans="1:9" x14ac:dyDescent="0.25">
      <c r="A2808" t="s">
        <v>9</v>
      </c>
      <c r="B2808" s="39">
        <v>45756</v>
      </c>
      <c r="C2808" s="40">
        <v>0.47916666666666669</v>
      </c>
      <c r="D2808" s="41">
        <v>6401.384</v>
      </c>
      <c r="E2808" s="41">
        <v>6404.54</v>
      </c>
      <c r="F2808" s="41">
        <v>6380.3419999999996</v>
      </c>
      <c r="G2808" s="41">
        <v>6399.28</v>
      </c>
      <c r="H2808" s="41">
        <v>5022805978.1899996</v>
      </c>
      <c r="I2808" s="42">
        <v>15715</v>
      </c>
    </row>
    <row r="2809" spans="1:9" x14ac:dyDescent="0.25">
      <c r="A2809" t="s">
        <v>9</v>
      </c>
      <c r="B2809" s="39">
        <v>45756</v>
      </c>
      <c r="C2809" s="40">
        <v>0.45833333333333331</v>
      </c>
      <c r="D2809" s="41">
        <v>6377.7120000000004</v>
      </c>
      <c r="E2809" s="41">
        <v>6409.2749999999996</v>
      </c>
      <c r="F2809" s="41">
        <v>6370.348</v>
      </c>
      <c r="G2809" s="41">
        <v>6400.8580000000002</v>
      </c>
      <c r="H2809" s="41">
        <v>9597221289.7900009</v>
      </c>
      <c r="I2809" s="42">
        <v>30010</v>
      </c>
    </row>
    <row r="2810" spans="1:9" x14ac:dyDescent="0.25">
      <c r="A2810" t="s">
        <v>9</v>
      </c>
      <c r="B2810" s="39">
        <v>45756</v>
      </c>
      <c r="C2810" s="40">
        <v>0.4375</v>
      </c>
      <c r="D2810" s="41">
        <v>6407.17</v>
      </c>
      <c r="E2810" s="41">
        <v>6407.17</v>
      </c>
      <c r="F2810" s="41">
        <v>6366.1390000000001</v>
      </c>
      <c r="G2810" s="41">
        <v>6377.7120000000004</v>
      </c>
      <c r="H2810" s="41">
        <v>14358660483.43</v>
      </c>
      <c r="I2810" s="42">
        <v>44940</v>
      </c>
    </row>
    <row r="2811" spans="1:9" x14ac:dyDescent="0.25">
      <c r="A2811" t="s">
        <v>9</v>
      </c>
      <c r="B2811" s="39">
        <v>45756</v>
      </c>
      <c r="C2811" s="40">
        <v>0.41666666666666669</v>
      </c>
      <c r="D2811" s="41">
        <v>6420.3209999999999</v>
      </c>
      <c r="E2811" s="41">
        <v>6425.0559999999996</v>
      </c>
      <c r="F2811" s="41">
        <v>6387.1809999999996</v>
      </c>
      <c r="G2811" s="41">
        <v>6407.17</v>
      </c>
      <c r="H2811" s="41">
        <v>11733380562.27</v>
      </c>
      <c r="I2811" s="42">
        <v>36655</v>
      </c>
    </row>
    <row r="2812" spans="1:9" x14ac:dyDescent="0.25">
      <c r="A2812" t="s">
        <v>9</v>
      </c>
      <c r="B2812" s="39">
        <v>45756</v>
      </c>
      <c r="C2812" s="40">
        <v>0.39583333333333331</v>
      </c>
      <c r="D2812" s="41">
        <v>6408.2219999999998</v>
      </c>
      <c r="E2812" s="41">
        <v>6436.1030000000001</v>
      </c>
      <c r="F2812" s="41">
        <v>6399.28</v>
      </c>
      <c r="G2812" s="41">
        <v>6420.3209999999999</v>
      </c>
      <c r="H2812" s="41">
        <v>10109708120.690001</v>
      </c>
      <c r="I2812" s="42">
        <v>31485</v>
      </c>
    </row>
    <row r="2813" spans="1:9" x14ac:dyDescent="0.25">
      <c r="A2813" t="s">
        <v>9</v>
      </c>
      <c r="B2813" s="39">
        <v>45756</v>
      </c>
      <c r="C2813" s="40">
        <v>0.375</v>
      </c>
      <c r="D2813" s="41">
        <v>6361.9309999999996</v>
      </c>
      <c r="E2813" s="41">
        <v>6412.4309999999996</v>
      </c>
      <c r="F2813" s="41">
        <v>6361.9309999999996</v>
      </c>
      <c r="G2813" s="41">
        <v>6407.6959999999999</v>
      </c>
      <c r="H2813" s="41">
        <v>7025396001.54</v>
      </c>
      <c r="I2813" s="42">
        <v>21985</v>
      </c>
    </row>
    <row r="2814" spans="1:9" x14ac:dyDescent="0.25">
      <c r="A2814" t="s">
        <v>9</v>
      </c>
      <c r="B2814" s="39">
        <v>45755</v>
      </c>
      <c r="C2814" s="40">
        <v>0.75</v>
      </c>
      <c r="D2814" s="41">
        <v>6348.78</v>
      </c>
      <c r="E2814" s="41">
        <v>6353.5140000000001</v>
      </c>
      <c r="F2814" s="41">
        <v>6346.15</v>
      </c>
      <c r="G2814" s="41">
        <v>6351.41</v>
      </c>
      <c r="H2814" s="41">
        <v>1138201328.6900001</v>
      </c>
      <c r="I2814" s="42">
        <v>3585</v>
      </c>
    </row>
    <row r="2815" spans="1:9" x14ac:dyDescent="0.25">
      <c r="A2815" t="s">
        <v>9</v>
      </c>
      <c r="B2815" s="39">
        <v>45755</v>
      </c>
      <c r="C2815" s="40">
        <v>0.72916666666666663</v>
      </c>
      <c r="D2815" s="41">
        <v>6350.3580000000002</v>
      </c>
      <c r="E2815" s="41">
        <v>6356.67</v>
      </c>
      <c r="F2815" s="41">
        <v>6346.15</v>
      </c>
      <c r="G2815" s="41">
        <v>6348.78</v>
      </c>
      <c r="H2815" s="41">
        <v>1546462751.1700001</v>
      </c>
      <c r="I2815" s="42">
        <v>4870</v>
      </c>
    </row>
    <row r="2816" spans="1:9" x14ac:dyDescent="0.25">
      <c r="A2816" t="s">
        <v>9</v>
      </c>
      <c r="B2816" s="39">
        <v>45755</v>
      </c>
      <c r="C2816" s="40">
        <v>0.70833333333333337</v>
      </c>
      <c r="D2816" s="41">
        <v>6332.9989999999998</v>
      </c>
      <c r="E2816" s="41">
        <v>6352.4620000000004</v>
      </c>
      <c r="F2816" s="41">
        <v>6328.79</v>
      </c>
      <c r="G2816" s="41">
        <v>6351.41</v>
      </c>
      <c r="H2816" s="41">
        <v>2805378746.23</v>
      </c>
      <c r="I2816" s="42">
        <v>8850</v>
      </c>
    </row>
    <row r="2817" spans="1:9" x14ac:dyDescent="0.25">
      <c r="A2817" t="s">
        <v>9</v>
      </c>
      <c r="B2817" s="39">
        <v>45755</v>
      </c>
      <c r="C2817" s="40">
        <v>0.6875</v>
      </c>
      <c r="D2817" s="41">
        <v>6323.0039999999999</v>
      </c>
      <c r="E2817" s="41">
        <v>6341.9409999999998</v>
      </c>
      <c r="F2817" s="41">
        <v>6320.9</v>
      </c>
      <c r="G2817" s="41">
        <v>6333.5249999999996</v>
      </c>
      <c r="H2817" s="41">
        <v>4186903678.6100001</v>
      </c>
      <c r="I2817" s="42">
        <v>13220</v>
      </c>
    </row>
    <row r="2818" spans="1:9" x14ac:dyDescent="0.25">
      <c r="A2818" t="s">
        <v>9</v>
      </c>
      <c r="B2818" s="39">
        <v>45755</v>
      </c>
      <c r="C2818" s="40">
        <v>0.66666666666666663</v>
      </c>
      <c r="D2818" s="41">
        <v>6319.848</v>
      </c>
      <c r="E2818" s="41">
        <v>6328.79</v>
      </c>
      <c r="F2818" s="41">
        <v>6312.4830000000002</v>
      </c>
      <c r="G2818" s="41">
        <v>6323.0039999999999</v>
      </c>
      <c r="H2818" s="41">
        <v>3362733523.4000001</v>
      </c>
      <c r="I2818" s="42">
        <v>10640</v>
      </c>
    </row>
    <row r="2819" spans="1:9" x14ac:dyDescent="0.25">
      <c r="A2819" t="s">
        <v>9</v>
      </c>
      <c r="B2819" s="39">
        <v>45755</v>
      </c>
      <c r="C2819" s="40">
        <v>0.64583333333333337</v>
      </c>
      <c r="D2819" s="41">
        <v>6324.0559999999996</v>
      </c>
      <c r="E2819" s="41">
        <v>6324.0559999999996</v>
      </c>
      <c r="F2819" s="41">
        <v>6304.5919999999996</v>
      </c>
      <c r="G2819" s="41">
        <v>6319.848</v>
      </c>
      <c r="H2819" s="41">
        <v>4562512993.21</v>
      </c>
      <c r="I2819" s="42">
        <v>14450</v>
      </c>
    </row>
    <row r="2820" spans="1:9" x14ac:dyDescent="0.25">
      <c r="A2820" t="s">
        <v>9</v>
      </c>
      <c r="B2820" s="39">
        <v>45755</v>
      </c>
      <c r="C2820" s="40">
        <v>0.625</v>
      </c>
      <c r="D2820" s="41">
        <v>6310.9049999999997</v>
      </c>
      <c r="E2820" s="41">
        <v>6326.16</v>
      </c>
      <c r="F2820" s="41">
        <v>6309.3270000000002</v>
      </c>
      <c r="G2820" s="41">
        <v>6325.1080000000002</v>
      </c>
      <c r="H2820" s="41">
        <v>8228311723.3599997</v>
      </c>
      <c r="I2820" s="42">
        <v>26045</v>
      </c>
    </row>
    <row r="2821" spans="1:9" x14ac:dyDescent="0.25">
      <c r="A2821" t="s">
        <v>9</v>
      </c>
      <c r="B2821" s="39">
        <v>45755</v>
      </c>
      <c r="C2821" s="40">
        <v>0.60416666666666663</v>
      </c>
      <c r="D2821" s="41">
        <v>6328.2640000000001</v>
      </c>
      <c r="E2821" s="41">
        <v>6329.8419999999996</v>
      </c>
      <c r="F2821" s="41">
        <v>6309.3270000000002</v>
      </c>
      <c r="G2821" s="41">
        <v>6310.9049999999997</v>
      </c>
      <c r="H2821" s="41">
        <v>4656339111.7700005</v>
      </c>
      <c r="I2821" s="42">
        <v>14740</v>
      </c>
    </row>
    <row r="2822" spans="1:9" x14ac:dyDescent="0.25">
      <c r="A2822" t="s">
        <v>9</v>
      </c>
      <c r="B2822" s="39">
        <v>45755</v>
      </c>
      <c r="C2822" s="40">
        <v>0.58333333333333337</v>
      </c>
      <c r="D2822" s="41">
        <v>6327.2120000000004</v>
      </c>
      <c r="E2822" s="41">
        <v>6338.259</v>
      </c>
      <c r="F2822" s="41">
        <v>6323.0039999999999</v>
      </c>
      <c r="G2822" s="41">
        <v>6328.2640000000001</v>
      </c>
      <c r="H2822" s="41">
        <v>5057770690.5600004</v>
      </c>
      <c r="I2822" s="42">
        <v>15980</v>
      </c>
    </row>
    <row r="2823" spans="1:9" x14ac:dyDescent="0.25">
      <c r="A2823" t="s">
        <v>9</v>
      </c>
      <c r="B2823" s="39">
        <v>45755</v>
      </c>
      <c r="C2823" s="40">
        <v>0.5625</v>
      </c>
      <c r="D2823" s="41">
        <v>6309.8530000000001</v>
      </c>
      <c r="E2823" s="41">
        <v>6335.1030000000001</v>
      </c>
      <c r="F2823" s="41">
        <v>6307.223</v>
      </c>
      <c r="G2823" s="41">
        <v>6327.2120000000004</v>
      </c>
      <c r="H2823" s="41">
        <v>7191455732.6800003</v>
      </c>
      <c r="I2823" s="42">
        <v>22745</v>
      </c>
    </row>
    <row r="2824" spans="1:9" x14ac:dyDescent="0.25">
      <c r="A2824" t="s">
        <v>9</v>
      </c>
      <c r="B2824" s="39">
        <v>45755</v>
      </c>
      <c r="C2824" s="40">
        <v>0.54166666666666663</v>
      </c>
      <c r="D2824" s="41">
        <v>6324.5820000000003</v>
      </c>
      <c r="E2824" s="41">
        <v>6329.8419999999996</v>
      </c>
      <c r="F2824" s="41">
        <v>6309.8530000000001</v>
      </c>
      <c r="G2824" s="41">
        <v>6309.8530000000001</v>
      </c>
      <c r="H2824" s="41">
        <v>5284718792.5200005</v>
      </c>
      <c r="I2824" s="42">
        <v>16715</v>
      </c>
    </row>
    <row r="2825" spans="1:9" x14ac:dyDescent="0.25">
      <c r="A2825" t="s">
        <v>9</v>
      </c>
      <c r="B2825" s="39">
        <v>45755</v>
      </c>
      <c r="C2825" s="40">
        <v>0.52083333333333337</v>
      </c>
      <c r="D2825" s="41">
        <v>6315.6390000000001</v>
      </c>
      <c r="E2825" s="41">
        <v>6325.1080000000002</v>
      </c>
      <c r="F2825" s="41">
        <v>6299.8580000000002</v>
      </c>
      <c r="G2825" s="41">
        <v>6324.0559999999996</v>
      </c>
      <c r="H2825" s="41">
        <v>6056115931.4899998</v>
      </c>
      <c r="I2825" s="42">
        <v>19185</v>
      </c>
    </row>
    <row r="2826" spans="1:9" x14ac:dyDescent="0.25">
      <c r="A2826" t="s">
        <v>9</v>
      </c>
      <c r="B2826" s="39">
        <v>45755</v>
      </c>
      <c r="C2826" s="40">
        <v>0.5</v>
      </c>
      <c r="D2826" s="41">
        <v>6278.817</v>
      </c>
      <c r="E2826" s="41">
        <v>6320.3739999999998</v>
      </c>
      <c r="F2826" s="41">
        <v>6276.1859999999997</v>
      </c>
      <c r="G2826" s="41">
        <v>6315.6390000000001</v>
      </c>
      <c r="H2826" s="41">
        <v>8739549603.1900005</v>
      </c>
      <c r="I2826" s="42">
        <v>27750</v>
      </c>
    </row>
    <row r="2827" spans="1:9" x14ac:dyDescent="0.25">
      <c r="A2827" t="s">
        <v>9</v>
      </c>
      <c r="B2827" s="39">
        <v>45755</v>
      </c>
      <c r="C2827" s="40">
        <v>0.47916666666666669</v>
      </c>
      <c r="D2827" s="41">
        <v>6243.5720000000001</v>
      </c>
      <c r="E2827" s="41">
        <v>6290.3890000000001</v>
      </c>
      <c r="F2827" s="41">
        <v>6243.0460000000003</v>
      </c>
      <c r="G2827" s="41">
        <v>6278.29</v>
      </c>
      <c r="H2827" s="41">
        <v>9030219986.3500004</v>
      </c>
      <c r="I2827" s="42">
        <v>28820</v>
      </c>
    </row>
    <row r="2828" spans="1:9" x14ac:dyDescent="0.25">
      <c r="A2828" t="s">
        <v>9</v>
      </c>
      <c r="B2828" s="39">
        <v>45755</v>
      </c>
      <c r="C2828" s="40">
        <v>0.45833333333333331</v>
      </c>
      <c r="D2828" s="41">
        <v>6221.4780000000001</v>
      </c>
      <c r="E2828" s="41">
        <v>6246.7280000000001</v>
      </c>
      <c r="F2828" s="41">
        <v>6215.692</v>
      </c>
      <c r="G2828" s="41">
        <v>6245.15</v>
      </c>
      <c r="H2828" s="41">
        <v>4102132948.5599999</v>
      </c>
      <c r="I2828" s="42">
        <v>13170</v>
      </c>
    </row>
    <row r="2829" spans="1:9" x14ac:dyDescent="0.25">
      <c r="A2829" t="s">
        <v>9</v>
      </c>
      <c r="B2829" s="39">
        <v>45755</v>
      </c>
      <c r="C2829" s="40">
        <v>0.4375</v>
      </c>
      <c r="D2829" s="41">
        <v>6204.6450000000004</v>
      </c>
      <c r="E2829" s="41">
        <v>6229.3689999999997</v>
      </c>
      <c r="F2829" s="41">
        <v>6202.5410000000002</v>
      </c>
      <c r="G2829" s="41">
        <v>6222.0039999999999</v>
      </c>
      <c r="H2829" s="41">
        <v>5413177297.5299997</v>
      </c>
      <c r="I2829" s="42">
        <v>17405</v>
      </c>
    </row>
    <row r="2830" spans="1:9" x14ac:dyDescent="0.25">
      <c r="A2830" t="s">
        <v>9</v>
      </c>
      <c r="B2830" s="39">
        <v>45755</v>
      </c>
      <c r="C2830" s="40">
        <v>0.41666666666666669</v>
      </c>
      <c r="D2830" s="41">
        <v>6226.7389999999996</v>
      </c>
      <c r="E2830" s="41">
        <v>6241.4679999999998</v>
      </c>
      <c r="F2830" s="41">
        <v>6200.4369999999999</v>
      </c>
      <c r="G2830" s="41">
        <v>6204.6450000000004</v>
      </c>
      <c r="H2830" s="41">
        <v>7913444671.9099998</v>
      </c>
      <c r="I2830" s="42">
        <v>25425</v>
      </c>
    </row>
    <row r="2831" spans="1:9" x14ac:dyDescent="0.25">
      <c r="A2831" t="s">
        <v>9</v>
      </c>
      <c r="B2831" s="39">
        <v>45755</v>
      </c>
      <c r="C2831" s="40">
        <v>0.39583333333333331</v>
      </c>
      <c r="D2831" s="41">
        <v>6212.009</v>
      </c>
      <c r="E2831" s="41">
        <v>6231.473</v>
      </c>
      <c r="F2831" s="41">
        <v>6207.2749999999996</v>
      </c>
      <c r="G2831" s="41">
        <v>6226.7389999999996</v>
      </c>
      <c r="H2831" s="41">
        <v>3912440069.7600002</v>
      </c>
      <c r="I2831" s="42">
        <v>12585</v>
      </c>
    </row>
    <row r="2832" spans="1:9" x14ac:dyDescent="0.25">
      <c r="A2832" t="s">
        <v>9</v>
      </c>
      <c r="B2832" s="39">
        <v>45755</v>
      </c>
      <c r="C2832" s="40">
        <v>0.375</v>
      </c>
      <c r="D2832" s="41">
        <v>6207.2749999999996</v>
      </c>
      <c r="E2832" s="41">
        <v>6214.1139999999996</v>
      </c>
      <c r="F2832" s="41">
        <v>6189.9160000000002</v>
      </c>
      <c r="G2832" s="41">
        <v>6211.4830000000002</v>
      </c>
      <c r="H2832" s="41">
        <v>5893283588.8299999</v>
      </c>
      <c r="I2832" s="42">
        <v>19000</v>
      </c>
    </row>
    <row r="2833" spans="1:9" x14ac:dyDescent="0.25">
      <c r="A2833" t="s">
        <v>9</v>
      </c>
      <c r="B2833" s="39">
        <v>45754</v>
      </c>
      <c r="C2833" s="40">
        <v>0.75</v>
      </c>
      <c r="D2833" s="41">
        <v>6247.78</v>
      </c>
      <c r="E2833" s="41">
        <v>6249.3580000000002</v>
      </c>
      <c r="F2833" s="41">
        <v>6243.0460000000003</v>
      </c>
      <c r="G2833" s="41">
        <v>6249.3580000000002</v>
      </c>
      <c r="H2833" s="41">
        <v>655891980.78999996</v>
      </c>
      <c r="I2833" s="42">
        <v>2100</v>
      </c>
    </row>
    <row r="2834" spans="1:9" x14ac:dyDescent="0.25">
      <c r="A2834" t="s">
        <v>9</v>
      </c>
      <c r="B2834" s="39">
        <v>45754</v>
      </c>
      <c r="C2834" s="40">
        <v>0.72916666666666663</v>
      </c>
      <c r="D2834" s="41">
        <v>6245.6760000000004</v>
      </c>
      <c r="E2834" s="41">
        <v>6253.567</v>
      </c>
      <c r="F2834" s="41">
        <v>6244.098</v>
      </c>
      <c r="G2834" s="41">
        <v>6247.78</v>
      </c>
      <c r="H2834" s="41">
        <v>2260709692.8899999</v>
      </c>
      <c r="I2834" s="42">
        <v>7235</v>
      </c>
    </row>
    <row r="2835" spans="1:9" x14ac:dyDescent="0.25">
      <c r="A2835" t="s">
        <v>9</v>
      </c>
      <c r="B2835" s="39">
        <v>45754</v>
      </c>
      <c r="C2835" s="40">
        <v>0.70833333333333337</v>
      </c>
      <c r="D2835" s="41">
        <v>6243.5720000000001</v>
      </c>
      <c r="E2835" s="41">
        <v>6250.41</v>
      </c>
      <c r="F2835" s="41">
        <v>6239.3639999999996</v>
      </c>
      <c r="G2835" s="41">
        <v>6245.6760000000004</v>
      </c>
      <c r="H2835" s="41">
        <v>5738133406.6000004</v>
      </c>
      <c r="I2835" s="42">
        <v>18380</v>
      </c>
    </row>
    <row r="2836" spans="1:9" x14ac:dyDescent="0.25">
      <c r="A2836" t="s">
        <v>9</v>
      </c>
      <c r="B2836" s="39">
        <v>45754</v>
      </c>
      <c r="C2836" s="40">
        <v>0.6875</v>
      </c>
      <c r="D2836" s="41">
        <v>6245.6760000000004</v>
      </c>
      <c r="E2836" s="41">
        <v>6247.2539999999999</v>
      </c>
      <c r="F2836" s="41">
        <v>6236.2070000000003</v>
      </c>
      <c r="G2836" s="41">
        <v>6244.098</v>
      </c>
      <c r="H2836" s="41">
        <v>2267134222.5700002</v>
      </c>
      <c r="I2836" s="42">
        <v>7265</v>
      </c>
    </row>
    <row r="2837" spans="1:9" x14ac:dyDescent="0.25">
      <c r="A2837" t="s">
        <v>9</v>
      </c>
      <c r="B2837" s="39">
        <v>45754</v>
      </c>
      <c r="C2837" s="40">
        <v>0.66666666666666663</v>
      </c>
      <c r="D2837" s="41">
        <v>6250.9359999999997</v>
      </c>
      <c r="E2837" s="41">
        <v>6251.4620000000004</v>
      </c>
      <c r="F2837" s="41">
        <v>6239.89</v>
      </c>
      <c r="G2837" s="41">
        <v>6246.2020000000002</v>
      </c>
      <c r="H2837" s="41">
        <v>4583805919.2700005</v>
      </c>
      <c r="I2837" s="42">
        <v>14680</v>
      </c>
    </row>
    <row r="2838" spans="1:9" x14ac:dyDescent="0.25">
      <c r="A2838" t="s">
        <v>9</v>
      </c>
      <c r="B2838" s="39">
        <v>45754</v>
      </c>
      <c r="C2838" s="40">
        <v>0.64583333333333337</v>
      </c>
      <c r="D2838" s="41">
        <v>6239.89</v>
      </c>
      <c r="E2838" s="41">
        <v>6252.5150000000003</v>
      </c>
      <c r="F2838" s="41">
        <v>6234.1030000000001</v>
      </c>
      <c r="G2838" s="41">
        <v>6250.9359999999997</v>
      </c>
      <c r="H2838" s="41">
        <v>3785563630.8299999</v>
      </c>
      <c r="I2838" s="42">
        <v>12130</v>
      </c>
    </row>
    <row r="2839" spans="1:9" x14ac:dyDescent="0.25">
      <c r="A2839" t="s">
        <v>9</v>
      </c>
      <c r="B2839" s="39">
        <v>45754</v>
      </c>
      <c r="C2839" s="40">
        <v>0.625</v>
      </c>
      <c r="D2839" s="41">
        <v>6226.2120000000004</v>
      </c>
      <c r="E2839" s="41">
        <v>6242.52</v>
      </c>
      <c r="F2839" s="41">
        <v>6218.3220000000001</v>
      </c>
      <c r="G2839" s="41">
        <v>6241.4679999999998</v>
      </c>
      <c r="H2839" s="41">
        <v>3792533006.6999998</v>
      </c>
      <c r="I2839" s="42">
        <v>12180</v>
      </c>
    </row>
    <row r="2840" spans="1:9" x14ac:dyDescent="0.25">
      <c r="A2840" t="s">
        <v>9</v>
      </c>
      <c r="B2840" s="39">
        <v>45754</v>
      </c>
      <c r="C2840" s="40">
        <v>0.60416666666666663</v>
      </c>
      <c r="D2840" s="41">
        <v>6228.8429999999998</v>
      </c>
      <c r="E2840" s="41">
        <v>6236.7330000000002</v>
      </c>
      <c r="F2840" s="41">
        <v>6219.9</v>
      </c>
      <c r="G2840" s="41">
        <v>6225.6859999999997</v>
      </c>
      <c r="H2840" s="41">
        <v>4918407634.0200005</v>
      </c>
      <c r="I2840" s="42">
        <v>15795</v>
      </c>
    </row>
    <row r="2841" spans="1:9" x14ac:dyDescent="0.25">
      <c r="A2841" t="s">
        <v>9</v>
      </c>
      <c r="B2841" s="39">
        <v>45754</v>
      </c>
      <c r="C2841" s="40">
        <v>0.58333333333333337</v>
      </c>
      <c r="D2841" s="41">
        <v>6254.0929999999998</v>
      </c>
      <c r="E2841" s="41">
        <v>6254.0929999999998</v>
      </c>
      <c r="F2841" s="41">
        <v>6226.7389999999996</v>
      </c>
      <c r="G2841" s="41">
        <v>6228.8429999999998</v>
      </c>
      <c r="H2841" s="41">
        <v>5594903954.1700001</v>
      </c>
      <c r="I2841" s="42">
        <v>17935</v>
      </c>
    </row>
    <row r="2842" spans="1:9" x14ac:dyDescent="0.25">
      <c r="A2842" t="s">
        <v>9</v>
      </c>
      <c r="B2842" s="39">
        <v>45754</v>
      </c>
      <c r="C2842" s="40">
        <v>0.5625</v>
      </c>
      <c r="D2842" s="41">
        <v>6261.4570000000003</v>
      </c>
      <c r="E2842" s="41">
        <v>6262.509</v>
      </c>
      <c r="F2842" s="41">
        <v>6249.3580000000002</v>
      </c>
      <c r="G2842" s="41">
        <v>6256.1970000000001</v>
      </c>
      <c r="H2842" s="41">
        <v>4675827851.2600002</v>
      </c>
      <c r="I2842" s="42">
        <v>14950</v>
      </c>
    </row>
    <row r="2843" spans="1:9" x14ac:dyDescent="0.25">
      <c r="A2843" t="s">
        <v>9</v>
      </c>
      <c r="B2843" s="39">
        <v>45754</v>
      </c>
      <c r="C2843" s="40">
        <v>0.54166666666666663</v>
      </c>
      <c r="D2843" s="41">
        <v>6259.8789999999999</v>
      </c>
      <c r="E2843" s="41">
        <v>6269.8739999999998</v>
      </c>
      <c r="F2843" s="41">
        <v>6257.2489999999998</v>
      </c>
      <c r="G2843" s="41">
        <v>6260.4049999999997</v>
      </c>
      <c r="H2843" s="41">
        <v>5840618016.3100004</v>
      </c>
      <c r="I2843" s="42">
        <v>18655</v>
      </c>
    </row>
    <row r="2844" spans="1:9" x14ac:dyDescent="0.25">
      <c r="A2844" t="s">
        <v>9</v>
      </c>
      <c r="B2844" s="39">
        <v>45754</v>
      </c>
      <c r="C2844" s="40">
        <v>0.52083333333333337</v>
      </c>
      <c r="D2844" s="41">
        <v>6258.3010000000004</v>
      </c>
      <c r="E2844" s="41">
        <v>6264.6130000000003</v>
      </c>
      <c r="F2844" s="41">
        <v>6241.4679999999998</v>
      </c>
      <c r="G2844" s="41">
        <v>6259.3530000000001</v>
      </c>
      <c r="H2844" s="41">
        <v>10586771795.15</v>
      </c>
      <c r="I2844" s="42">
        <v>33870</v>
      </c>
    </row>
    <row r="2845" spans="1:9" x14ac:dyDescent="0.25">
      <c r="A2845" t="s">
        <v>9</v>
      </c>
      <c r="B2845" s="39">
        <v>45754</v>
      </c>
      <c r="C2845" s="40">
        <v>0.5</v>
      </c>
      <c r="D2845" s="41">
        <v>6207.8010000000004</v>
      </c>
      <c r="E2845" s="41">
        <v>6265.6660000000002</v>
      </c>
      <c r="F2845" s="41">
        <v>6193.598</v>
      </c>
      <c r="G2845" s="41">
        <v>6258.8270000000002</v>
      </c>
      <c r="H2845" s="41">
        <v>7574763646.46</v>
      </c>
      <c r="I2845" s="42">
        <v>24330</v>
      </c>
    </row>
    <row r="2846" spans="1:9" x14ac:dyDescent="0.25">
      <c r="A2846" t="s">
        <v>9</v>
      </c>
      <c r="B2846" s="39">
        <v>45754</v>
      </c>
      <c r="C2846" s="40">
        <v>0.47916666666666669</v>
      </c>
      <c r="D2846" s="41">
        <v>6199.91</v>
      </c>
      <c r="E2846" s="41">
        <v>6223.0559999999996</v>
      </c>
      <c r="F2846" s="41">
        <v>6186.759</v>
      </c>
      <c r="G2846" s="41">
        <v>6207.8010000000004</v>
      </c>
      <c r="H2846" s="41">
        <v>6228589934.5200005</v>
      </c>
      <c r="I2846" s="42">
        <v>20070</v>
      </c>
    </row>
    <row r="2847" spans="1:9" x14ac:dyDescent="0.25">
      <c r="A2847" t="s">
        <v>9</v>
      </c>
      <c r="B2847" s="39">
        <v>45754</v>
      </c>
      <c r="C2847" s="40">
        <v>0.45833333333333331</v>
      </c>
      <c r="D2847" s="41">
        <v>6218.848</v>
      </c>
      <c r="E2847" s="41">
        <v>6231.9989999999998</v>
      </c>
      <c r="F2847" s="41">
        <v>6144.6760000000004</v>
      </c>
      <c r="G2847" s="41">
        <v>6200.4369999999999</v>
      </c>
      <c r="H2847" s="41">
        <v>16595141419.58</v>
      </c>
      <c r="I2847" s="42">
        <v>53695</v>
      </c>
    </row>
    <row r="2848" spans="1:9" x14ac:dyDescent="0.25">
      <c r="A2848" t="s">
        <v>9</v>
      </c>
      <c r="B2848" s="39">
        <v>45754</v>
      </c>
      <c r="C2848" s="40">
        <v>0.4375</v>
      </c>
      <c r="D2848" s="41">
        <v>6229.3689999999997</v>
      </c>
      <c r="E2848" s="41">
        <v>6241.4679999999998</v>
      </c>
      <c r="F2848" s="41">
        <v>6217.27</v>
      </c>
      <c r="G2848" s="41">
        <v>6218.3220000000001</v>
      </c>
      <c r="H2848" s="41">
        <v>12049794435.1</v>
      </c>
      <c r="I2848" s="42">
        <v>38685</v>
      </c>
    </row>
    <row r="2849" spans="1:9" x14ac:dyDescent="0.25">
      <c r="A2849" t="s">
        <v>9</v>
      </c>
      <c r="B2849" s="39">
        <v>45754</v>
      </c>
      <c r="C2849" s="40">
        <v>0.41666666666666669</v>
      </c>
      <c r="D2849" s="41">
        <v>6196.2280000000001</v>
      </c>
      <c r="E2849" s="41">
        <v>6236.2070000000003</v>
      </c>
      <c r="F2849" s="41">
        <v>6187.8119999999999</v>
      </c>
      <c r="G2849" s="41">
        <v>6229.3689999999997</v>
      </c>
      <c r="H2849" s="41">
        <v>8307784307.4399996</v>
      </c>
      <c r="I2849" s="42">
        <v>26750</v>
      </c>
    </row>
    <row r="2850" spans="1:9" x14ac:dyDescent="0.25">
      <c r="A2850" t="s">
        <v>9</v>
      </c>
      <c r="B2850" s="39">
        <v>45754</v>
      </c>
      <c r="C2850" s="40">
        <v>0.39583333333333331</v>
      </c>
      <c r="D2850" s="41">
        <v>6219.9</v>
      </c>
      <c r="E2850" s="41">
        <v>6221.4780000000001</v>
      </c>
      <c r="F2850" s="41">
        <v>6187.8119999999999</v>
      </c>
      <c r="G2850" s="41">
        <v>6198.3320000000003</v>
      </c>
      <c r="H2850" s="41">
        <v>9248033004.7099991</v>
      </c>
      <c r="I2850" s="42">
        <v>29830</v>
      </c>
    </row>
    <row r="2851" spans="1:9" x14ac:dyDescent="0.25">
      <c r="A2851" t="s">
        <v>9</v>
      </c>
      <c r="B2851" s="39">
        <v>45754</v>
      </c>
      <c r="C2851" s="40">
        <v>0.375</v>
      </c>
      <c r="D2851" s="41">
        <v>6207.2749999999996</v>
      </c>
      <c r="E2851" s="41">
        <v>6233.0510000000004</v>
      </c>
      <c r="F2851" s="41">
        <v>6197.28</v>
      </c>
      <c r="G2851" s="41">
        <v>6220.4260000000004</v>
      </c>
      <c r="H2851" s="41">
        <v>8444532023.3199997</v>
      </c>
      <c r="I2851" s="42">
        <v>27165</v>
      </c>
    </row>
    <row r="2852" spans="1:9" x14ac:dyDescent="0.25">
      <c r="A2852" t="s">
        <v>9</v>
      </c>
      <c r="B2852" s="39">
        <v>45751</v>
      </c>
      <c r="C2852" s="40">
        <v>0.75</v>
      </c>
      <c r="D2852" s="41">
        <v>6175.1869999999999</v>
      </c>
      <c r="E2852" s="41">
        <v>6189.9160000000002</v>
      </c>
      <c r="F2852" s="41">
        <v>6172.5559999999996</v>
      </c>
      <c r="G2852" s="41">
        <v>6189.9160000000002</v>
      </c>
      <c r="H2852" s="41">
        <v>1499750376.25</v>
      </c>
      <c r="I2852" s="42">
        <v>4855</v>
      </c>
    </row>
    <row r="2853" spans="1:9" x14ac:dyDescent="0.25">
      <c r="A2853" t="s">
        <v>9</v>
      </c>
      <c r="B2853" s="39">
        <v>45751</v>
      </c>
      <c r="C2853" s="40">
        <v>0.72916666666666663</v>
      </c>
      <c r="D2853" s="41">
        <v>6183.0770000000002</v>
      </c>
      <c r="E2853" s="41">
        <v>6183.0770000000002</v>
      </c>
      <c r="F2853" s="41">
        <v>6171.5039999999999</v>
      </c>
      <c r="G2853" s="41">
        <v>6174.6610000000001</v>
      </c>
      <c r="H2853" s="41">
        <v>1453473431.1500001</v>
      </c>
      <c r="I2853" s="42">
        <v>4705</v>
      </c>
    </row>
    <row r="2854" spans="1:9" x14ac:dyDescent="0.25">
      <c r="A2854" t="s">
        <v>9</v>
      </c>
      <c r="B2854" s="39">
        <v>45751</v>
      </c>
      <c r="C2854" s="40">
        <v>0.70833333333333337</v>
      </c>
      <c r="D2854" s="41">
        <v>6169.4</v>
      </c>
      <c r="E2854" s="41">
        <v>6186.2330000000002</v>
      </c>
      <c r="F2854" s="41">
        <v>6162.5619999999999</v>
      </c>
      <c r="G2854" s="41">
        <v>6183.0770000000002</v>
      </c>
      <c r="H2854" s="41">
        <v>5736307783.8900003</v>
      </c>
      <c r="I2854" s="42">
        <v>18580</v>
      </c>
    </row>
    <row r="2855" spans="1:9" x14ac:dyDescent="0.25">
      <c r="A2855" t="s">
        <v>9</v>
      </c>
      <c r="B2855" s="39">
        <v>45751</v>
      </c>
      <c r="C2855" s="40">
        <v>0.6875</v>
      </c>
      <c r="D2855" s="41">
        <v>6167.8220000000001</v>
      </c>
      <c r="E2855" s="41">
        <v>6169.4</v>
      </c>
      <c r="F2855" s="41">
        <v>6157.3010000000004</v>
      </c>
      <c r="G2855" s="41">
        <v>6169.4</v>
      </c>
      <c r="H2855" s="41">
        <v>19507423382.169998</v>
      </c>
      <c r="I2855" s="42">
        <v>63300</v>
      </c>
    </row>
    <row r="2856" spans="1:9" x14ac:dyDescent="0.25">
      <c r="A2856" t="s">
        <v>9</v>
      </c>
      <c r="B2856" s="39">
        <v>45751</v>
      </c>
      <c r="C2856" s="40">
        <v>0.66666666666666663</v>
      </c>
      <c r="D2856" s="41">
        <v>6171.5039999999999</v>
      </c>
      <c r="E2856" s="41">
        <v>6177.2910000000002</v>
      </c>
      <c r="F2856" s="41">
        <v>6166.77</v>
      </c>
      <c r="G2856" s="41">
        <v>6166.77</v>
      </c>
      <c r="H2856" s="41">
        <v>5421222951.7700005</v>
      </c>
      <c r="I2856" s="42">
        <v>17560</v>
      </c>
    </row>
    <row r="2857" spans="1:9" x14ac:dyDescent="0.25">
      <c r="A2857" t="s">
        <v>9</v>
      </c>
      <c r="B2857" s="39">
        <v>45751</v>
      </c>
      <c r="C2857" s="40">
        <v>0.64583333333333337</v>
      </c>
      <c r="D2857" s="41">
        <v>6157.3010000000004</v>
      </c>
      <c r="E2857" s="41">
        <v>6175.1869999999999</v>
      </c>
      <c r="F2857" s="41">
        <v>6154.6710000000003</v>
      </c>
      <c r="G2857" s="41">
        <v>6172.03</v>
      </c>
      <c r="H2857" s="41">
        <v>3105172245.5900002</v>
      </c>
      <c r="I2857" s="42">
        <v>10070</v>
      </c>
    </row>
    <row r="2858" spans="1:9" x14ac:dyDescent="0.25">
      <c r="A2858" t="s">
        <v>9</v>
      </c>
      <c r="B2858" s="39">
        <v>45751</v>
      </c>
      <c r="C2858" s="40">
        <v>0.625</v>
      </c>
      <c r="D2858" s="41">
        <v>6152.567</v>
      </c>
      <c r="E2858" s="41">
        <v>6167.2960000000003</v>
      </c>
      <c r="F2858" s="41">
        <v>6147.3059999999996</v>
      </c>
      <c r="G2858" s="41">
        <v>6157.3010000000004</v>
      </c>
      <c r="H2858" s="41">
        <v>5829624826.9899998</v>
      </c>
      <c r="I2858" s="42">
        <v>18935</v>
      </c>
    </row>
    <row r="2859" spans="1:9" x14ac:dyDescent="0.25">
      <c r="A2859" t="s">
        <v>9</v>
      </c>
      <c r="B2859" s="39">
        <v>45751</v>
      </c>
      <c r="C2859" s="40">
        <v>0.60416666666666663</v>
      </c>
      <c r="D2859" s="41">
        <v>6164.14</v>
      </c>
      <c r="E2859" s="41">
        <v>6173.0820000000003</v>
      </c>
      <c r="F2859" s="41">
        <v>6144.15</v>
      </c>
      <c r="G2859" s="41">
        <v>6152.567</v>
      </c>
      <c r="H2859" s="41">
        <v>4644248470.9700003</v>
      </c>
      <c r="I2859" s="42">
        <v>15085</v>
      </c>
    </row>
    <row r="2860" spans="1:9" x14ac:dyDescent="0.25">
      <c r="A2860" t="s">
        <v>9</v>
      </c>
      <c r="B2860" s="39">
        <v>45751</v>
      </c>
      <c r="C2860" s="40">
        <v>0.58333333333333337</v>
      </c>
      <c r="D2860" s="41">
        <v>6138.3639999999996</v>
      </c>
      <c r="E2860" s="41">
        <v>6169.4</v>
      </c>
      <c r="F2860" s="41">
        <v>6135.2079999999996</v>
      </c>
      <c r="G2860" s="41">
        <v>6163.6139999999996</v>
      </c>
      <c r="H2860" s="41">
        <v>4920043750.7399998</v>
      </c>
      <c r="I2860" s="42">
        <v>15990</v>
      </c>
    </row>
    <row r="2861" spans="1:9" x14ac:dyDescent="0.25">
      <c r="A2861" t="s">
        <v>9</v>
      </c>
      <c r="B2861" s="39">
        <v>45751</v>
      </c>
      <c r="C2861" s="40">
        <v>0.5625</v>
      </c>
      <c r="D2861" s="41">
        <v>6147.3059999999996</v>
      </c>
      <c r="E2861" s="41">
        <v>6150.4629999999997</v>
      </c>
      <c r="F2861" s="41">
        <v>6134.1549999999997</v>
      </c>
      <c r="G2861" s="41">
        <v>6138.89</v>
      </c>
      <c r="H2861" s="41">
        <v>4055201477.8699999</v>
      </c>
      <c r="I2861" s="42">
        <v>13205</v>
      </c>
    </row>
    <row r="2862" spans="1:9" x14ac:dyDescent="0.25">
      <c r="A2862" t="s">
        <v>9</v>
      </c>
      <c r="B2862" s="39">
        <v>45751</v>
      </c>
      <c r="C2862" s="40">
        <v>0.54166666666666663</v>
      </c>
      <c r="D2862" s="41">
        <v>6132.5770000000002</v>
      </c>
      <c r="E2862" s="41">
        <v>6155.1970000000001</v>
      </c>
      <c r="F2862" s="41">
        <v>6128.3689999999997</v>
      </c>
      <c r="G2862" s="41">
        <v>6147.3059999999996</v>
      </c>
      <c r="H2862" s="41">
        <v>4916750870.2299995</v>
      </c>
      <c r="I2862" s="42">
        <v>16015</v>
      </c>
    </row>
    <row r="2863" spans="1:9" x14ac:dyDescent="0.25">
      <c r="A2863" t="s">
        <v>9</v>
      </c>
      <c r="B2863" s="39">
        <v>45751</v>
      </c>
      <c r="C2863" s="40">
        <v>0.52083333333333337</v>
      </c>
      <c r="D2863" s="41">
        <v>6132.0510000000004</v>
      </c>
      <c r="E2863" s="41">
        <v>6136.7860000000001</v>
      </c>
      <c r="F2863" s="41">
        <v>6117.848</v>
      </c>
      <c r="G2863" s="41">
        <v>6133.1030000000001</v>
      </c>
      <c r="H2863" s="41">
        <v>5121203123.5799999</v>
      </c>
      <c r="I2863" s="42">
        <v>16715</v>
      </c>
    </row>
    <row r="2864" spans="1:9" x14ac:dyDescent="0.25">
      <c r="A2864" t="s">
        <v>9</v>
      </c>
      <c r="B2864" s="39">
        <v>45751</v>
      </c>
      <c r="C2864" s="40">
        <v>0.5</v>
      </c>
      <c r="D2864" s="41">
        <v>6142.0460000000003</v>
      </c>
      <c r="E2864" s="41">
        <v>6152.0410000000002</v>
      </c>
      <c r="F2864" s="41">
        <v>6112.5879999999997</v>
      </c>
      <c r="G2864" s="41">
        <v>6132.5770000000002</v>
      </c>
      <c r="H2864" s="41">
        <v>10572266366.540001</v>
      </c>
      <c r="I2864" s="42">
        <v>34500</v>
      </c>
    </row>
    <row r="2865" spans="1:9" x14ac:dyDescent="0.25">
      <c r="A2865" t="s">
        <v>9</v>
      </c>
      <c r="B2865" s="39">
        <v>45751</v>
      </c>
      <c r="C2865" s="40">
        <v>0.47916666666666669</v>
      </c>
      <c r="D2865" s="41">
        <v>6120.4780000000001</v>
      </c>
      <c r="E2865" s="41">
        <v>6152.567</v>
      </c>
      <c r="F2865" s="41">
        <v>6113.1139999999996</v>
      </c>
      <c r="G2865" s="41">
        <v>6142.0460000000003</v>
      </c>
      <c r="H2865" s="41">
        <v>15659667458.23</v>
      </c>
      <c r="I2865" s="42">
        <v>51060</v>
      </c>
    </row>
    <row r="2866" spans="1:9" x14ac:dyDescent="0.25">
      <c r="A2866" t="s">
        <v>9</v>
      </c>
      <c r="B2866" s="39">
        <v>45751</v>
      </c>
      <c r="C2866" s="40">
        <v>0.45833333333333331</v>
      </c>
      <c r="D2866" s="41">
        <v>6112.0619999999999</v>
      </c>
      <c r="E2866" s="41">
        <v>6123.1090000000004</v>
      </c>
      <c r="F2866" s="41">
        <v>6102.067</v>
      </c>
      <c r="G2866" s="41">
        <v>6118.9</v>
      </c>
      <c r="H2866" s="41">
        <v>7874878161.8900003</v>
      </c>
      <c r="I2866" s="42">
        <v>25765</v>
      </c>
    </row>
    <row r="2867" spans="1:9" x14ac:dyDescent="0.25">
      <c r="A2867" t="s">
        <v>9</v>
      </c>
      <c r="B2867" s="39">
        <v>45751</v>
      </c>
      <c r="C2867" s="40">
        <v>0.4375</v>
      </c>
      <c r="D2867" s="41">
        <v>6071.5569999999998</v>
      </c>
      <c r="E2867" s="41">
        <v>6118.9</v>
      </c>
      <c r="F2867" s="41">
        <v>6068.4</v>
      </c>
      <c r="G2867" s="41">
        <v>6113.1139999999996</v>
      </c>
      <c r="H2867" s="41">
        <v>12381737016.35</v>
      </c>
      <c r="I2867" s="42">
        <v>40575</v>
      </c>
    </row>
    <row r="2868" spans="1:9" x14ac:dyDescent="0.25">
      <c r="A2868" t="s">
        <v>9</v>
      </c>
      <c r="B2868" s="39">
        <v>45751</v>
      </c>
      <c r="C2868" s="40">
        <v>0.41666666666666669</v>
      </c>
      <c r="D2868" s="41">
        <v>6061.5619999999999</v>
      </c>
      <c r="E2868" s="41">
        <v>6084.7079999999996</v>
      </c>
      <c r="F2868" s="41">
        <v>6052.0929999999998</v>
      </c>
      <c r="G2868" s="41">
        <v>6071.5569999999998</v>
      </c>
      <c r="H2868" s="41">
        <v>8439345792.4200001</v>
      </c>
      <c r="I2868" s="42">
        <v>27800</v>
      </c>
    </row>
    <row r="2869" spans="1:9" x14ac:dyDescent="0.25">
      <c r="A2869" t="s">
        <v>9</v>
      </c>
      <c r="B2869" s="39">
        <v>45751</v>
      </c>
      <c r="C2869" s="40">
        <v>0.39583333333333331</v>
      </c>
      <c r="D2869" s="41">
        <v>6066.2960000000003</v>
      </c>
      <c r="E2869" s="41">
        <v>6071.0309999999999</v>
      </c>
      <c r="F2869" s="41">
        <v>6048.4110000000001</v>
      </c>
      <c r="G2869" s="41">
        <v>6064.192</v>
      </c>
      <c r="H2869" s="41">
        <v>8335889980.8900003</v>
      </c>
      <c r="I2869" s="42">
        <v>27505</v>
      </c>
    </row>
    <row r="2870" spans="1:9" x14ac:dyDescent="0.25">
      <c r="A2870" t="s">
        <v>9</v>
      </c>
      <c r="B2870" s="39">
        <v>45751</v>
      </c>
      <c r="C2870" s="40">
        <v>0.375</v>
      </c>
      <c r="D2870" s="41">
        <v>6021.5829999999996</v>
      </c>
      <c r="E2870" s="41">
        <v>6080.4989999999998</v>
      </c>
      <c r="F2870" s="41">
        <v>6021.0569999999998</v>
      </c>
      <c r="G2870" s="41">
        <v>6067.348</v>
      </c>
      <c r="H2870" s="41">
        <v>14546865588.870001</v>
      </c>
      <c r="I2870" s="42">
        <v>48010</v>
      </c>
    </row>
    <row r="2871" spans="1:9" x14ac:dyDescent="0.25">
      <c r="A2871" t="s">
        <v>9</v>
      </c>
      <c r="B2871" s="39">
        <v>45750</v>
      </c>
      <c r="C2871" s="40">
        <v>0.75</v>
      </c>
      <c r="D2871" s="41">
        <v>5949.5150000000003</v>
      </c>
      <c r="E2871" s="41">
        <v>5957.4059999999999</v>
      </c>
      <c r="F2871" s="41">
        <v>5948.4629999999997</v>
      </c>
      <c r="G2871" s="41">
        <v>5956.3540000000003</v>
      </c>
      <c r="H2871" s="41">
        <v>574491722.17999995</v>
      </c>
      <c r="I2871" s="42">
        <v>1930</v>
      </c>
    </row>
    <row r="2872" spans="1:9" x14ac:dyDescent="0.25">
      <c r="A2872" t="s">
        <v>9</v>
      </c>
      <c r="B2872" s="39">
        <v>45750</v>
      </c>
      <c r="C2872" s="40">
        <v>0.72916666666666663</v>
      </c>
      <c r="D2872" s="41">
        <v>5951.0929999999998</v>
      </c>
      <c r="E2872" s="41">
        <v>5955.3019999999997</v>
      </c>
      <c r="F2872" s="41">
        <v>5950.0410000000002</v>
      </c>
      <c r="G2872" s="41">
        <v>5950.567</v>
      </c>
      <c r="H2872" s="41">
        <v>1147475944.48</v>
      </c>
      <c r="I2872" s="42">
        <v>3855</v>
      </c>
    </row>
    <row r="2873" spans="1:9" x14ac:dyDescent="0.25">
      <c r="A2873" t="s">
        <v>9</v>
      </c>
      <c r="B2873" s="39">
        <v>45750</v>
      </c>
      <c r="C2873" s="40">
        <v>0.70833333333333337</v>
      </c>
      <c r="D2873" s="41">
        <v>5949.5150000000003</v>
      </c>
      <c r="E2873" s="41">
        <v>5955.8280000000004</v>
      </c>
      <c r="F2873" s="41">
        <v>5947.4110000000001</v>
      </c>
      <c r="G2873" s="41">
        <v>5950.567</v>
      </c>
      <c r="H2873" s="41">
        <v>1899891446.77</v>
      </c>
      <c r="I2873" s="42">
        <v>6385</v>
      </c>
    </row>
    <row r="2874" spans="1:9" x14ac:dyDescent="0.25">
      <c r="A2874" t="s">
        <v>9</v>
      </c>
      <c r="B2874" s="39">
        <v>45750</v>
      </c>
      <c r="C2874" s="40">
        <v>0.6875</v>
      </c>
      <c r="D2874" s="41">
        <v>5946.3590000000004</v>
      </c>
      <c r="E2874" s="41">
        <v>5951.6189999999997</v>
      </c>
      <c r="F2874" s="41">
        <v>5941.0990000000002</v>
      </c>
      <c r="G2874" s="41">
        <v>5949.5150000000003</v>
      </c>
      <c r="H2874" s="41">
        <v>2254647078.9200001</v>
      </c>
      <c r="I2874" s="42">
        <v>7585</v>
      </c>
    </row>
    <row r="2875" spans="1:9" x14ac:dyDescent="0.25">
      <c r="A2875" t="s">
        <v>9</v>
      </c>
      <c r="B2875" s="39">
        <v>45750</v>
      </c>
      <c r="C2875" s="40">
        <v>0.66666666666666663</v>
      </c>
      <c r="D2875" s="41">
        <v>5939.5209999999997</v>
      </c>
      <c r="E2875" s="41">
        <v>5948.4629999999997</v>
      </c>
      <c r="F2875" s="41">
        <v>5936.89</v>
      </c>
      <c r="G2875" s="41">
        <v>5946.3590000000004</v>
      </c>
      <c r="H2875" s="41">
        <v>2916299595.0599999</v>
      </c>
      <c r="I2875" s="42">
        <v>9815</v>
      </c>
    </row>
    <row r="2876" spans="1:9" x14ac:dyDescent="0.25">
      <c r="A2876" t="s">
        <v>9</v>
      </c>
      <c r="B2876" s="39">
        <v>45750</v>
      </c>
      <c r="C2876" s="40">
        <v>0.64583333333333337</v>
      </c>
      <c r="D2876" s="41">
        <v>5941.625</v>
      </c>
      <c r="E2876" s="41">
        <v>5947.4110000000001</v>
      </c>
      <c r="F2876" s="41">
        <v>5938.4679999999998</v>
      </c>
      <c r="G2876" s="41">
        <v>5938.9949999999999</v>
      </c>
      <c r="H2876" s="41">
        <v>5371820801.4899998</v>
      </c>
      <c r="I2876" s="42">
        <v>18080</v>
      </c>
    </row>
    <row r="2877" spans="1:9" x14ac:dyDescent="0.25">
      <c r="A2877" t="s">
        <v>9</v>
      </c>
      <c r="B2877" s="39">
        <v>45750</v>
      </c>
      <c r="C2877" s="40">
        <v>0.625</v>
      </c>
      <c r="D2877" s="41">
        <v>5937.4160000000002</v>
      </c>
      <c r="E2877" s="41">
        <v>5942.6769999999997</v>
      </c>
      <c r="F2877" s="41">
        <v>5931.63</v>
      </c>
      <c r="G2877" s="41">
        <v>5941.625</v>
      </c>
      <c r="H2877" s="41">
        <v>2407190863.1799998</v>
      </c>
      <c r="I2877" s="42">
        <v>8110</v>
      </c>
    </row>
    <row r="2878" spans="1:9" x14ac:dyDescent="0.25">
      <c r="A2878" t="s">
        <v>9</v>
      </c>
      <c r="B2878" s="39">
        <v>45750</v>
      </c>
      <c r="C2878" s="40">
        <v>0.60416666666666663</v>
      </c>
      <c r="D2878" s="41">
        <v>5930.5780000000004</v>
      </c>
      <c r="E2878" s="41">
        <v>5938.4679999999998</v>
      </c>
      <c r="F2878" s="41">
        <v>5928.4740000000002</v>
      </c>
      <c r="G2878" s="41">
        <v>5937.942</v>
      </c>
      <c r="H2878" s="41">
        <v>3043157491.0700002</v>
      </c>
      <c r="I2878" s="42">
        <v>10260</v>
      </c>
    </row>
    <row r="2879" spans="1:9" x14ac:dyDescent="0.25">
      <c r="A2879" t="s">
        <v>9</v>
      </c>
      <c r="B2879" s="39">
        <v>45750</v>
      </c>
      <c r="C2879" s="40">
        <v>0.58333333333333337</v>
      </c>
      <c r="D2879" s="41">
        <v>5926.37</v>
      </c>
      <c r="E2879" s="41">
        <v>5932.1559999999999</v>
      </c>
      <c r="F2879" s="41">
        <v>5924.2650000000003</v>
      </c>
      <c r="G2879" s="41">
        <v>5931.1040000000003</v>
      </c>
      <c r="H2879" s="41">
        <v>1753280213.03</v>
      </c>
      <c r="I2879" s="42">
        <v>5915</v>
      </c>
    </row>
    <row r="2880" spans="1:9" x14ac:dyDescent="0.25">
      <c r="A2880" t="s">
        <v>9</v>
      </c>
      <c r="B2880" s="39">
        <v>45750</v>
      </c>
      <c r="C2880" s="40">
        <v>0.5625</v>
      </c>
      <c r="D2880" s="41">
        <v>5923.2129999999997</v>
      </c>
      <c r="E2880" s="41">
        <v>5927.9480000000003</v>
      </c>
      <c r="F2880" s="41">
        <v>5918.4790000000003</v>
      </c>
      <c r="G2880" s="41">
        <v>5926.8959999999997</v>
      </c>
      <c r="H2880" s="41">
        <v>1880792634.6300001</v>
      </c>
      <c r="I2880" s="42">
        <v>6350</v>
      </c>
    </row>
    <row r="2881" spans="1:9" x14ac:dyDescent="0.25">
      <c r="A2881" t="s">
        <v>9</v>
      </c>
      <c r="B2881" s="39">
        <v>45750</v>
      </c>
      <c r="C2881" s="40">
        <v>0.54166666666666663</v>
      </c>
      <c r="D2881" s="41">
        <v>5923.7389999999996</v>
      </c>
      <c r="E2881" s="41">
        <v>5932.1559999999999</v>
      </c>
      <c r="F2881" s="41">
        <v>5919.5309999999999</v>
      </c>
      <c r="G2881" s="41">
        <v>5922.6869999999999</v>
      </c>
      <c r="H2881" s="41">
        <v>2278397270.5300002</v>
      </c>
      <c r="I2881" s="42">
        <v>7690</v>
      </c>
    </row>
    <row r="2882" spans="1:9" x14ac:dyDescent="0.25">
      <c r="A2882" t="s">
        <v>9</v>
      </c>
      <c r="B2882" s="39">
        <v>45750</v>
      </c>
      <c r="C2882" s="40">
        <v>0.52083333333333337</v>
      </c>
      <c r="D2882" s="41">
        <v>5925.8440000000001</v>
      </c>
      <c r="E2882" s="41">
        <v>5934.26</v>
      </c>
      <c r="F2882" s="41">
        <v>5920.5829999999996</v>
      </c>
      <c r="G2882" s="41">
        <v>5922.6869999999999</v>
      </c>
      <c r="H2882" s="41">
        <v>3764803715.0599999</v>
      </c>
      <c r="I2882" s="42">
        <v>12700</v>
      </c>
    </row>
    <row r="2883" spans="1:9" x14ac:dyDescent="0.25">
      <c r="A2883" t="s">
        <v>9</v>
      </c>
      <c r="B2883" s="39">
        <v>45750</v>
      </c>
      <c r="C2883" s="40">
        <v>0.5</v>
      </c>
      <c r="D2883" s="41">
        <v>5915.3230000000003</v>
      </c>
      <c r="E2883" s="41">
        <v>5934.7860000000001</v>
      </c>
      <c r="F2883" s="41">
        <v>5913.2190000000001</v>
      </c>
      <c r="G2883" s="41">
        <v>5925.317</v>
      </c>
      <c r="H2883" s="41">
        <v>4261791295.8000002</v>
      </c>
      <c r="I2883" s="42">
        <v>14385</v>
      </c>
    </row>
    <row r="2884" spans="1:9" x14ac:dyDescent="0.25">
      <c r="A2884" t="s">
        <v>9</v>
      </c>
      <c r="B2884" s="39">
        <v>45750</v>
      </c>
      <c r="C2884" s="40">
        <v>0.47916666666666669</v>
      </c>
      <c r="D2884" s="41">
        <v>5919.0050000000001</v>
      </c>
      <c r="E2884" s="41">
        <v>5924.7910000000002</v>
      </c>
      <c r="F2884" s="41">
        <v>5912.1660000000002</v>
      </c>
      <c r="G2884" s="41">
        <v>5914.7969999999996</v>
      </c>
      <c r="H2884" s="41">
        <v>4655181954.71</v>
      </c>
      <c r="I2884" s="42">
        <v>15730</v>
      </c>
    </row>
    <row r="2885" spans="1:9" x14ac:dyDescent="0.25">
      <c r="A2885" t="s">
        <v>9</v>
      </c>
      <c r="B2885" s="39">
        <v>45750</v>
      </c>
      <c r="C2885" s="40">
        <v>0.45833333333333331</v>
      </c>
      <c r="D2885" s="41">
        <v>5933.7340000000004</v>
      </c>
      <c r="E2885" s="41">
        <v>5934.26</v>
      </c>
      <c r="F2885" s="41">
        <v>5916.9009999999998</v>
      </c>
      <c r="G2885" s="41">
        <v>5921.1090000000004</v>
      </c>
      <c r="H2885" s="41">
        <v>6706146771.71</v>
      </c>
      <c r="I2885" s="42">
        <v>22645</v>
      </c>
    </row>
    <row r="2886" spans="1:9" x14ac:dyDescent="0.25">
      <c r="A2886" t="s">
        <v>9</v>
      </c>
      <c r="B2886" s="39">
        <v>45750</v>
      </c>
      <c r="C2886" s="40">
        <v>0.4375</v>
      </c>
      <c r="D2886" s="41">
        <v>5937.4160000000002</v>
      </c>
      <c r="E2886" s="41">
        <v>5941.625</v>
      </c>
      <c r="F2886" s="41">
        <v>5917.9530000000004</v>
      </c>
      <c r="G2886" s="41">
        <v>5932.6819999999998</v>
      </c>
      <c r="H2886" s="41">
        <v>7804125089.6199999</v>
      </c>
      <c r="I2886" s="42">
        <v>26330</v>
      </c>
    </row>
    <row r="2887" spans="1:9" x14ac:dyDescent="0.25">
      <c r="A2887" t="s">
        <v>9</v>
      </c>
      <c r="B2887" s="39">
        <v>45750</v>
      </c>
      <c r="C2887" s="40">
        <v>0.41666666666666669</v>
      </c>
      <c r="D2887" s="41">
        <v>5957.9319999999998</v>
      </c>
      <c r="E2887" s="41">
        <v>5962.6660000000002</v>
      </c>
      <c r="F2887" s="41">
        <v>5931.63</v>
      </c>
      <c r="G2887" s="41">
        <v>5936.89</v>
      </c>
      <c r="H2887" s="41">
        <v>7742628616.2600002</v>
      </c>
      <c r="I2887" s="42">
        <v>26060</v>
      </c>
    </row>
    <row r="2888" spans="1:9" x14ac:dyDescent="0.25">
      <c r="A2888" t="s">
        <v>9</v>
      </c>
      <c r="B2888" s="39">
        <v>45750</v>
      </c>
      <c r="C2888" s="40">
        <v>0.39583333333333331</v>
      </c>
      <c r="D2888" s="41">
        <v>5946.3590000000004</v>
      </c>
      <c r="E2888" s="41">
        <v>5966.875</v>
      </c>
      <c r="F2888" s="41">
        <v>5937.942</v>
      </c>
      <c r="G2888" s="41">
        <v>5957.9319999999998</v>
      </c>
      <c r="H2888" s="41">
        <v>7296601843.0799999</v>
      </c>
      <c r="I2888" s="42">
        <v>24515</v>
      </c>
    </row>
    <row r="2889" spans="1:9" x14ac:dyDescent="0.25">
      <c r="A2889" t="s">
        <v>9</v>
      </c>
      <c r="B2889" s="39">
        <v>45750</v>
      </c>
      <c r="C2889" s="40">
        <v>0.375</v>
      </c>
      <c r="D2889" s="41">
        <v>5948.4629999999997</v>
      </c>
      <c r="E2889" s="41">
        <v>5954.25</v>
      </c>
      <c r="F2889" s="41">
        <v>5926.8959999999997</v>
      </c>
      <c r="G2889" s="41">
        <v>5945.8329999999996</v>
      </c>
      <c r="H2889" s="41">
        <v>10271238119.18</v>
      </c>
      <c r="I2889" s="42">
        <v>34575</v>
      </c>
    </row>
    <row r="2890" spans="1:9" x14ac:dyDescent="0.25">
      <c r="A2890" t="s">
        <v>9</v>
      </c>
      <c r="B2890" s="39">
        <v>45749</v>
      </c>
      <c r="C2890" s="40">
        <v>0.75</v>
      </c>
      <c r="D2890" s="41">
        <v>5987.9160000000002</v>
      </c>
      <c r="E2890" s="41">
        <v>6020.0050000000001</v>
      </c>
      <c r="F2890" s="41">
        <v>5986.8639999999996</v>
      </c>
      <c r="G2890" s="41">
        <v>6017.375</v>
      </c>
      <c r="H2890" s="41">
        <v>859433789.96000004</v>
      </c>
      <c r="I2890" s="42">
        <v>2865</v>
      </c>
    </row>
    <row r="2891" spans="1:9" x14ac:dyDescent="0.25">
      <c r="A2891" t="s">
        <v>9</v>
      </c>
      <c r="B2891" s="39">
        <v>45749</v>
      </c>
      <c r="C2891" s="40">
        <v>0.72916666666666663</v>
      </c>
      <c r="D2891" s="41">
        <v>6021.5829999999996</v>
      </c>
      <c r="E2891" s="41">
        <v>6024.2129999999997</v>
      </c>
      <c r="F2891" s="41">
        <v>5970.5569999999998</v>
      </c>
      <c r="G2891" s="41">
        <v>5986.8639999999996</v>
      </c>
      <c r="H2891" s="41">
        <v>6679512695.8900003</v>
      </c>
      <c r="I2891" s="42">
        <v>22300</v>
      </c>
    </row>
    <row r="2892" spans="1:9" x14ac:dyDescent="0.25">
      <c r="A2892" t="s">
        <v>9</v>
      </c>
      <c r="B2892" s="39">
        <v>45749</v>
      </c>
      <c r="C2892" s="40">
        <v>0.70833333333333337</v>
      </c>
      <c r="D2892" s="41">
        <v>6022.1090000000004</v>
      </c>
      <c r="E2892" s="41">
        <v>6036.3119999999999</v>
      </c>
      <c r="F2892" s="41">
        <v>5985.2860000000001</v>
      </c>
      <c r="G2892" s="41">
        <v>6023.1610000000001</v>
      </c>
      <c r="H2892" s="41">
        <v>14152443233.5</v>
      </c>
      <c r="I2892" s="42">
        <v>47035</v>
      </c>
    </row>
    <row r="2893" spans="1:9" x14ac:dyDescent="0.25">
      <c r="A2893" t="s">
        <v>9</v>
      </c>
      <c r="B2893" s="39">
        <v>45749</v>
      </c>
      <c r="C2893" s="40">
        <v>0.6875</v>
      </c>
      <c r="D2893" s="41">
        <v>6020.5309999999999</v>
      </c>
      <c r="E2893" s="41">
        <v>6025.2650000000003</v>
      </c>
      <c r="F2893" s="41">
        <v>6018.4269999999997</v>
      </c>
      <c r="G2893" s="41">
        <v>6022.1090000000004</v>
      </c>
      <c r="H2893" s="41">
        <v>1384859896.1099999</v>
      </c>
      <c r="I2893" s="42">
        <v>4600</v>
      </c>
    </row>
    <row r="2894" spans="1:9" x14ac:dyDescent="0.25">
      <c r="A2894" t="s">
        <v>9</v>
      </c>
      <c r="B2894" s="39">
        <v>45749</v>
      </c>
      <c r="C2894" s="40">
        <v>0.66666666666666663</v>
      </c>
      <c r="D2894" s="41">
        <v>6017.9009999999998</v>
      </c>
      <c r="E2894" s="41">
        <v>6020.0050000000001</v>
      </c>
      <c r="F2894" s="41">
        <v>6014.2179999999998</v>
      </c>
      <c r="G2894" s="41">
        <v>6020.0050000000001</v>
      </c>
      <c r="H2894" s="41">
        <v>1568738188.9200001</v>
      </c>
      <c r="I2894" s="42">
        <v>5215</v>
      </c>
    </row>
    <row r="2895" spans="1:9" x14ac:dyDescent="0.25">
      <c r="A2895" t="s">
        <v>9</v>
      </c>
      <c r="B2895" s="39">
        <v>45749</v>
      </c>
      <c r="C2895" s="40">
        <v>0.64583333333333337</v>
      </c>
      <c r="D2895" s="41">
        <v>6017.375</v>
      </c>
      <c r="E2895" s="41">
        <v>6020.0050000000001</v>
      </c>
      <c r="F2895" s="41">
        <v>6007.9059999999999</v>
      </c>
      <c r="G2895" s="41">
        <v>6017.9009999999998</v>
      </c>
      <c r="H2895" s="41">
        <v>3898340744.23</v>
      </c>
      <c r="I2895" s="42">
        <v>12965</v>
      </c>
    </row>
    <row r="2896" spans="1:9" x14ac:dyDescent="0.25">
      <c r="A2896" t="s">
        <v>9</v>
      </c>
      <c r="B2896" s="39">
        <v>45749</v>
      </c>
      <c r="C2896" s="40">
        <v>0.625</v>
      </c>
      <c r="D2896" s="41">
        <v>6020.5309999999999</v>
      </c>
      <c r="E2896" s="41">
        <v>6020.5309999999999</v>
      </c>
      <c r="F2896" s="41">
        <v>6013.692</v>
      </c>
      <c r="G2896" s="41">
        <v>6016.848</v>
      </c>
      <c r="H2896" s="41">
        <v>3438543552.1900001</v>
      </c>
      <c r="I2896" s="42">
        <v>11430</v>
      </c>
    </row>
    <row r="2897" spans="1:9" x14ac:dyDescent="0.25">
      <c r="A2897" t="s">
        <v>9</v>
      </c>
      <c r="B2897" s="39">
        <v>45749</v>
      </c>
      <c r="C2897" s="40">
        <v>0.60416666666666663</v>
      </c>
      <c r="D2897" s="41">
        <v>6022.6350000000002</v>
      </c>
      <c r="E2897" s="41">
        <v>6023.6869999999999</v>
      </c>
      <c r="F2897" s="41">
        <v>6011.0619999999999</v>
      </c>
      <c r="G2897" s="41">
        <v>6021.0569999999998</v>
      </c>
      <c r="H2897" s="41">
        <v>3779417770.98</v>
      </c>
      <c r="I2897" s="42">
        <v>12555</v>
      </c>
    </row>
    <row r="2898" spans="1:9" x14ac:dyDescent="0.25">
      <c r="A2898" t="s">
        <v>9</v>
      </c>
      <c r="B2898" s="39">
        <v>45749</v>
      </c>
      <c r="C2898" s="40">
        <v>0.58333333333333337</v>
      </c>
      <c r="D2898" s="41">
        <v>6016.848</v>
      </c>
      <c r="E2898" s="41">
        <v>6028.4210000000003</v>
      </c>
      <c r="F2898" s="41">
        <v>6016.3220000000001</v>
      </c>
      <c r="G2898" s="41">
        <v>6023.1610000000001</v>
      </c>
      <c r="H2898" s="41">
        <v>2051095143.47</v>
      </c>
      <c r="I2898" s="42">
        <v>6810</v>
      </c>
    </row>
    <row r="2899" spans="1:9" x14ac:dyDescent="0.25">
      <c r="A2899" t="s">
        <v>9</v>
      </c>
      <c r="B2899" s="39">
        <v>45749</v>
      </c>
      <c r="C2899" s="40">
        <v>0.5625</v>
      </c>
      <c r="D2899" s="41">
        <v>6022.6350000000002</v>
      </c>
      <c r="E2899" s="41">
        <v>6026.317</v>
      </c>
      <c r="F2899" s="41">
        <v>6015.27</v>
      </c>
      <c r="G2899" s="41">
        <v>6016.3220000000001</v>
      </c>
      <c r="H2899" s="41">
        <v>2612666264.8299999</v>
      </c>
      <c r="I2899" s="42">
        <v>8675</v>
      </c>
    </row>
    <row r="2900" spans="1:9" x14ac:dyDescent="0.25">
      <c r="A2900" t="s">
        <v>9</v>
      </c>
      <c r="B2900" s="39">
        <v>45749</v>
      </c>
      <c r="C2900" s="40">
        <v>0.54166666666666663</v>
      </c>
      <c r="D2900" s="41">
        <v>6026.317</v>
      </c>
      <c r="E2900" s="41">
        <v>6027.3689999999997</v>
      </c>
      <c r="F2900" s="41">
        <v>6014.7439999999997</v>
      </c>
      <c r="G2900" s="41">
        <v>6023.1610000000001</v>
      </c>
      <c r="H2900" s="41">
        <v>2172649896.1300001</v>
      </c>
      <c r="I2900" s="42">
        <v>7215</v>
      </c>
    </row>
    <row r="2901" spans="1:9" x14ac:dyDescent="0.25">
      <c r="A2901" t="s">
        <v>9</v>
      </c>
      <c r="B2901" s="39">
        <v>45749</v>
      </c>
      <c r="C2901" s="40">
        <v>0.52083333333333337</v>
      </c>
      <c r="D2901" s="41">
        <v>6020.0050000000001</v>
      </c>
      <c r="E2901" s="41">
        <v>6027.3689999999997</v>
      </c>
      <c r="F2901" s="41">
        <v>6017.9009999999998</v>
      </c>
      <c r="G2901" s="41">
        <v>6027.3689999999997</v>
      </c>
      <c r="H2901" s="41">
        <v>1502670425.72</v>
      </c>
      <c r="I2901" s="42">
        <v>4990</v>
      </c>
    </row>
    <row r="2902" spans="1:9" x14ac:dyDescent="0.25">
      <c r="A2902" t="s">
        <v>9</v>
      </c>
      <c r="B2902" s="39">
        <v>45749</v>
      </c>
      <c r="C2902" s="40">
        <v>0.5</v>
      </c>
      <c r="D2902" s="41">
        <v>6028.4210000000003</v>
      </c>
      <c r="E2902" s="41">
        <v>6037.89</v>
      </c>
      <c r="F2902" s="41">
        <v>6015.27</v>
      </c>
      <c r="G2902" s="41">
        <v>6018.4269999999997</v>
      </c>
      <c r="H2902" s="41">
        <v>4144914882.1900001</v>
      </c>
      <c r="I2902" s="42">
        <v>13750</v>
      </c>
    </row>
    <row r="2903" spans="1:9" x14ac:dyDescent="0.25">
      <c r="A2903" t="s">
        <v>9</v>
      </c>
      <c r="B2903" s="39">
        <v>45749</v>
      </c>
      <c r="C2903" s="40">
        <v>0.47916666666666669</v>
      </c>
      <c r="D2903" s="41">
        <v>6033.6819999999998</v>
      </c>
      <c r="E2903" s="41">
        <v>6041.0460000000003</v>
      </c>
      <c r="F2903" s="41">
        <v>6023.6869999999999</v>
      </c>
      <c r="G2903" s="41">
        <v>6028.4210000000003</v>
      </c>
      <c r="H2903" s="41">
        <v>3939074803.1300001</v>
      </c>
      <c r="I2903" s="42">
        <v>13060</v>
      </c>
    </row>
    <row r="2904" spans="1:9" x14ac:dyDescent="0.25">
      <c r="A2904" t="s">
        <v>9</v>
      </c>
      <c r="B2904" s="39">
        <v>45749</v>
      </c>
      <c r="C2904" s="40">
        <v>0.45833333333333331</v>
      </c>
      <c r="D2904" s="41">
        <v>6013.1660000000002</v>
      </c>
      <c r="E2904" s="41">
        <v>6035.26</v>
      </c>
      <c r="F2904" s="41">
        <v>6011.0619999999999</v>
      </c>
      <c r="G2904" s="41">
        <v>6033.6819999999998</v>
      </c>
      <c r="H2904" s="41">
        <v>7150644740.3999996</v>
      </c>
      <c r="I2904" s="42">
        <v>23740</v>
      </c>
    </row>
    <row r="2905" spans="1:9" x14ac:dyDescent="0.25">
      <c r="A2905" t="s">
        <v>9</v>
      </c>
      <c r="B2905" s="39">
        <v>45749</v>
      </c>
      <c r="C2905" s="40">
        <v>0.4375</v>
      </c>
      <c r="D2905" s="41">
        <v>5996.8590000000004</v>
      </c>
      <c r="E2905" s="41">
        <v>6017.9009999999998</v>
      </c>
      <c r="F2905" s="41">
        <v>5995.2809999999999</v>
      </c>
      <c r="G2905" s="41">
        <v>6012.64</v>
      </c>
      <c r="H2905" s="41">
        <v>4660468001.7600002</v>
      </c>
      <c r="I2905" s="42">
        <v>15520</v>
      </c>
    </row>
    <row r="2906" spans="1:9" x14ac:dyDescent="0.25">
      <c r="A2906" t="s">
        <v>9</v>
      </c>
      <c r="B2906" s="39">
        <v>45749</v>
      </c>
      <c r="C2906" s="40">
        <v>0.41666666666666669</v>
      </c>
      <c r="D2906" s="41">
        <v>6008.4319999999998</v>
      </c>
      <c r="E2906" s="41">
        <v>6008.9579999999996</v>
      </c>
      <c r="F2906" s="41">
        <v>5984.76</v>
      </c>
      <c r="G2906" s="41">
        <v>5996.3329999999996</v>
      </c>
      <c r="H2906" s="41">
        <v>4189588851.1100001</v>
      </c>
      <c r="I2906" s="42">
        <v>13980</v>
      </c>
    </row>
    <row r="2907" spans="1:9" x14ac:dyDescent="0.25">
      <c r="A2907" t="s">
        <v>9</v>
      </c>
      <c r="B2907" s="39">
        <v>45749</v>
      </c>
      <c r="C2907" s="40">
        <v>0.39583333333333331</v>
      </c>
      <c r="D2907" s="41">
        <v>6008.9579999999996</v>
      </c>
      <c r="E2907" s="41">
        <v>6012.1139999999996</v>
      </c>
      <c r="F2907" s="41">
        <v>6000.0150000000003</v>
      </c>
      <c r="G2907" s="41">
        <v>6008.9579999999996</v>
      </c>
      <c r="H2907" s="41">
        <v>6420846339.0100002</v>
      </c>
      <c r="I2907" s="42">
        <v>21380</v>
      </c>
    </row>
    <row r="2908" spans="1:9" x14ac:dyDescent="0.25">
      <c r="A2908" t="s">
        <v>9</v>
      </c>
      <c r="B2908" s="39">
        <v>45749</v>
      </c>
      <c r="C2908" s="40">
        <v>0.375</v>
      </c>
      <c r="D2908" s="41">
        <v>6004.2240000000002</v>
      </c>
      <c r="E2908" s="41">
        <v>6009.4840000000004</v>
      </c>
      <c r="F2908" s="41">
        <v>5987.39</v>
      </c>
      <c r="G2908" s="41">
        <v>6008.4319999999998</v>
      </c>
      <c r="H2908" s="41">
        <v>3258208929.5799999</v>
      </c>
      <c r="I2908" s="42">
        <v>10865</v>
      </c>
    </row>
    <row r="2909" spans="1:9" x14ac:dyDescent="0.25">
      <c r="A2909" t="s">
        <v>9</v>
      </c>
      <c r="B2909" s="39">
        <v>45748</v>
      </c>
      <c r="C2909" s="40">
        <v>0.75</v>
      </c>
      <c r="D2909" s="41">
        <v>6008.4319999999998</v>
      </c>
      <c r="E2909" s="41">
        <v>6011.5879999999997</v>
      </c>
      <c r="F2909" s="41">
        <v>6006.3280000000004</v>
      </c>
      <c r="G2909" s="41">
        <v>6008.9579999999996</v>
      </c>
      <c r="H2909" s="41">
        <v>331976116.31999999</v>
      </c>
      <c r="I2909" s="42">
        <v>1105</v>
      </c>
    </row>
    <row r="2910" spans="1:9" x14ac:dyDescent="0.25">
      <c r="A2910" t="s">
        <v>9</v>
      </c>
      <c r="B2910" s="39">
        <v>45748</v>
      </c>
      <c r="C2910" s="40">
        <v>0.72916666666666663</v>
      </c>
      <c r="D2910" s="41">
        <v>6013.692</v>
      </c>
      <c r="E2910" s="41">
        <v>6013.692</v>
      </c>
      <c r="F2910" s="41">
        <v>6007.38</v>
      </c>
      <c r="G2910" s="41">
        <v>6008.4319999999998</v>
      </c>
      <c r="H2910" s="41">
        <v>967691165.45000005</v>
      </c>
      <c r="I2910" s="42">
        <v>3220</v>
      </c>
    </row>
    <row r="2911" spans="1:9" x14ac:dyDescent="0.25">
      <c r="A2911" t="s">
        <v>9</v>
      </c>
      <c r="B2911" s="39">
        <v>45748</v>
      </c>
      <c r="C2911" s="40">
        <v>0.70833333333333337</v>
      </c>
      <c r="D2911" s="41">
        <v>6008.9579999999996</v>
      </c>
      <c r="E2911" s="41">
        <v>6013.692</v>
      </c>
      <c r="F2911" s="41">
        <v>6008.9579999999996</v>
      </c>
      <c r="G2911" s="41">
        <v>6013.1660000000002</v>
      </c>
      <c r="H2911" s="41">
        <v>1250251191.4300001</v>
      </c>
      <c r="I2911" s="42">
        <v>4160</v>
      </c>
    </row>
    <row r="2912" spans="1:9" x14ac:dyDescent="0.25">
      <c r="A2912" t="s">
        <v>9</v>
      </c>
      <c r="B2912" s="39">
        <v>45748</v>
      </c>
      <c r="C2912" s="40">
        <v>0.6875</v>
      </c>
      <c r="D2912" s="41">
        <v>6012.1139999999996</v>
      </c>
      <c r="E2912" s="41">
        <v>6013.1660000000002</v>
      </c>
      <c r="F2912" s="41">
        <v>6008.4319999999998</v>
      </c>
      <c r="G2912" s="41">
        <v>6009.4840000000004</v>
      </c>
      <c r="H2912" s="41">
        <v>1635046878.5599999</v>
      </c>
      <c r="I2912" s="42">
        <v>5440</v>
      </c>
    </row>
    <row r="2913" spans="1:9" x14ac:dyDescent="0.25">
      <c r="A2913" t="s">
        <v>9</v>
      </c>
      <c r="B2913" s="39">
        <v>45748</v>
      </c>
      <c r="C2913" s="40">
        <v>0.66666666666666663</v>
      </c>
      <c r="D2913" s="41">
        <v>6008.9579999999996</v>
      </c>
      <c r="E2913" s="41">
        <v>6013.1660000000002</v>
      </c>
      <c r="F2913" s="41">
        <v>6006.3280000000004</v>
      </c>
      <c r="G2913" s="41">
        <v>6012.1139999999996</v>
      </c>
      <c r="H2913" s="41">
        <v>1679591573.0999999</v>
      </c>
      <c r="I2913" s="42">
        <v>5590</v>
      </c>
    </row>
    <row r="2914" spans="1:9" x14ac:dyDescent="0.25">
      <c r="A2914" t="s">
        <v>9</v>
      </c>
      <c r="B2914" s="39">
        <v>45748</v>
      </c>
      <c r="C2914" s="40">
        <v>0.64583333333333337</v>
      </c>
      <c r="D2914" s="41">
        <v>6012.64</v>
      </c>
      <c r="E2914" s="41">
        <v>6015.27</v>
      </c>
      <c r="F2914" s="41">
        <v>6005.8019999999997</v>
      </c>
      <c r="G2914" s="41">
        <v>6008.9579999999996</v>
      </c>
      <c r="H2914" s="41">
        <v>2010442620.8099999</v>
      </c>
      <c r="I2914" s="42">
        <v>6690</v>
      </c>
    </row>
    <row r="2915" spans="1:9" x14ac:dyDescent="0.25">
      <c r="A2915" t="s">
        <v>9</v>
      </c>
      <c r="B2915" s="39">
        <v>45748</v>
      </c>
      <c r="C2915" s="40">
        <v>0.625</v>
      </c>
      <c r="D2915" s="41">
        <v>6011.5879999999997</v>
      </c>
      <c r="E2915" s="41">
        <v>6015.27</v>
      </c>
      <c r="F2915" s="41">
        <v>6008.4319999999998</v>
      </c>
      <c r="G2915" s="41">
        <v>6013.1660000000002</v>
      </c>
      <c r="H2915" s="41">
        <v>3522798631.2800002</v>
      </c>
      <c r="I2915" s="42">
        <v>11720</v>
      </c>
    </row>
    <row r="2916" spans="1:9" x14ac:dyDescent="0.25">
      <c r="A2916" t="s">
        <v>9</v>
      </c>
      <c r="B2916" s="39">
        <v>45748</v>
      </c>
      <c r="C2916" s="40">
        <v>0.60416666666666663</v>
      </c>
      <c r="D2916" s="41">
        <v>6012.1139999999996</v>
      </c>
      <c r="E2916" s="41">
        <v>6014.2179999999998</v>
      </c>
      <c r="F2916" s="41">
        <v>6007.9059999999999</v>
      </c>
      <c r="G2916" s="41">
        <v>6012.64</v>
      </c>
      <c r="H2916" s="41">
        <v>1971810355.76</v>
      </c>
      <c r="I2916" s="42">
        <v>6560</v>
      </c>
    </row>
    <row r="2917" spans="1:9" x14ac:dyDescent="0.25">
      <c r="A2917" t="s">
        <v>9</v>
      </c>
      <c r="B2917" s="39">
        <v>45748</v>
      </c>
      <c r="C2917" s="40">
        <v>0.58333333333333337</v>
      </c>
      <c r="D2917" s="41">
        <v>6014.2179999999998</v>
      </c>
      <c r="E2917" s="41">
        <v>6021.5829999999996</v>
      </c>
      <c r="F2917" s="41">
        <v>6010.5360000000001</v>
      </c>
      <c r="G2917" s="41">
        <v>6011.5879999999997</v>
      </c>
      <c r="H2917" s="41">
        <v>2738736415.5500002</v>
      </c>
      <c r="I2917" s="42">
        <v>9105</v>
      </c>
    </row>
    <row r="2918" spans="1:9" x14ac:dyDescent="0.25">
      <c r="A2918" t="s">
        <v>9</v>
      </c>
      <c r="B2918" s="39">
        <v>45748</v>
      </c>
      <c r="C2918" s="40">
        <v>0.5625</v>
      </c>
      <c r="D2918" s="41">
        <v>6008.4319999999998</v>
      </c>
      <c r="E2918" s="41">
        <v>6020.0050000000001</v>
      </c>
      <c r="F2918" s="41">
        <v>6002.6450000000004</v>
      </c>
      <c r="G2918" s="41">
        <v>6013.692</v>
      </c>
      <c r="H2918" s="41">
        <v>3305444188.52</v>
      </c>
      <c r="I2918" s="42">
        <v>10995</v>
      </c>
    </row>
    <row r="2919" spans="1:9" x14ac:dyDescent="0.25">
      <c r="A2919" t="s">
        <v>9</v>
      </c>
      <c r="B2919" s="39">
        <v>45748</v>
      </c>
      <c r="C2919" s="40">
        <v>0.54166666666666663</v>
      </c>
      <c r="D2919" s="41">
        <v>6015.27</v>
      </c>
      <c r="E2919" s="41">
        <v>6015.27</v>
      </c>
      <c r="F2919" s="41">
        <v>5999.4889999999996</v>
      </c>
      <c r="G2919" s="41">
        <v>6008.9579999999996</v>
      </c>
      <c r="H2919" s="41">
        <v>4278806988.52</v>
      </c>
      <c r="I2919" s="42">
        <v>14245</v>
      </c>
    </row>
    <row r="2920" spans="1:9" x14ac:dyDescent="0.25">
      <c r="A2920" t="s">
        <v>9</v>
      </c>
      <c r="B2920" s="39">
        <v>45748</v>
      </c>
      <c r="C2920" s="40">
        <v>0.52083333333333337</v>
      </c>
      <c r="D2920" s="41">
        <v>6018.9530000000004</v>
      </c>
      <c r="E2920" s="41">
        <v>6022.1090000000004</v>
      </c>
      <c r="F2920" s="41">
        <v>6008.4319999999998</v>
      </c>
      <c r="G2920" s="41">
        <v>6015.7960000000003</v>
      </c>
      <c r="H2920" s="41">
        <v>2997241804.1100001</v>
      </c>
      <c r="I2920" s="42">
        <v>9965</v>
      </c>
    </row>
    <row r="2921" spans="1:9" x14ac:dyDescent="0.25">
      <c r="A2921" t="s">
        <v>9</v>
      </c>
      <c r="B2921" s="39">
        <v>45748</v>
      </c>
      <c r="C2921" s="40">
        <v>0.5</v>
      </c>
      <c r="D2921" s="41">
        <v>6018.9530000000004</v>
      </c>
      <c r="E2921" s="41">
        <v>6022.1090000000004</v>
      </c>
      <c r="F2921" s="41">
        <v>6012.64</v>
      </c>
      <c r="G2921" s="41">
        <v>6020.5309999999999</v>
      </c>
      <c r="H2921" s="41">
        <v>3444674945.9299998</v>
      </c>
      <c r="I2921" s="42">
        <v>11450</v>
      </c>
    </row>
    <row r="2922" spans="1:9" x14ac:dyDescent="0.25">
      <c r="A2922" t="s">
        <v>9</v>
      </c>
      <c r="B2922" s="39">
        <v>45748</v>
      </c>
      <c r="C2922" s="40">
        <v>0.47916666666666669</v>
      </c>
      <c r="D2922" s="41">
        <v>6034.7340000000004</v>
      </c>
      <c r="E2922" s="41">
        <v>6038.4160000000002</v>
      </c>
      <c r="F2922" s="41">
        <v>6016.3220000000001</v>
      </c>
      <c r="G2922" s="41">
        <v>6019.4790000000003</v>
      </c>
      <c r="H2922" s="41">
        <v>6110717595.1800003</v>
      </c>
      <c r="I2922" s="42">
        <v>20280</v>
      </c>
    </row>
    <row r="2923" spans="1:9" x14ac:dyDescent="0.25">
      <c r="A2923" t="s">
        <v>9</v>
      </c>
      <c r="B2923" s="39">
        <v>45748</v>
      </c>
      <c r="C2923" s="40">
        <v>0.45833333333333331</v>
      </c>
      <c r="D2923" s="41">
        <v>6047.8850000000002</v>
      </c>
      <c r="E2923" s="41">
        <v>6052.6189999999997</v>
      </c>
      <c r="F2923" s="41">
        <v>6031.0519999999997</v>
      </c>
      <c r="G2923" s="41">
        <v>6034.7340000000004</v>
      </c>
      <c r="H2923" s="41">
        <v>3505581202.1199999</v>
      </c>
      <c r="I2923" s="42">
        <v>11600</v>
      </c>
    </row>
    <row r="2924" spans="1:9" x14ac:dyDescent="0.25">
      <c r="A2924" t="s">
        <v>9</v>
      </c>
      <c r="B2924" s="39">
        <v>45748</v>
      </c>
      <c r="C2924" s="40">
        <v>0.4375</v>
      </c>
      <c r="D2924" s="41">
        <v>6039.9939999999997</v>
      </c>
      <c r="E2924" s="41">
        <v>6056.3010000000004</v>
      </c>
      <c r="F2924" s="41">
        <v>6037.3639999999996</v>
      </c>
      <c r="G2924" s="41">
        <v>6048.4110000000001</v>
      </c>
      <c r="H2924" s="41">
        <v>7253365410.6700001</v>
      </c>
      <c r="I2924" s="42">
        <v>23980</v>
      </c>
    </row>
    <row r="2925" spans="1:9" x14ac:dyDescent="0.25">
      <c r="A2925" t="s">
        <v>9</v>
      </c>
      <c r="B2925" s="39">
        <v>45748</v>
      </c>
      <c r="C2925" s="40">
        <v>0.41666666666666669</v>
      </c>
      <c r="D2925" s="41">
        <v>6056.8280000000004</v>
      </c>
      <c r="E2925" s="41">
        <v>6062.0879999999997</v>
      </c>
      <c r="F2925" s="41">
        <v>6037.89</v>
      </c>
      <c r="G2925" s="41">
        <v>6039.9939999999997</v>
      </c>
      <c r="H2925" s="41">
        <v>3836112811.8899999</v>
      </c>
      <c r="I2925" s="42">
        <v>12670</v>
      </c>
    </row>
    <row r="2926" spans="1:9" x14ac:dyDescent="0.25">
      <c r="A2926" t="s">
        <v>9</v>
      </c>
      <c r="B2926" s="39">
        <v>45748</v>
      </c>
      <c r="C2926" s="40">
        <v>0.39583333333333331</v>
      </c>
      <c r="D2926" s="41">
        <v>6042.098</v>
      </c>
      <c r="E2926" s="41">
        <v>6057.3540000000003</v>
      </c>
      <c r="F2926" s="41">
        <v>6039.9939999999997</v>
      </c>
      <c r="G2926" s="41">
        <v>6056.3010000000004</v>
      </c>
      <c r="H2926" s="41">
        <v>2935886441.0500002</v>
      </c>
      <c r="I2926" s="42">
        <v>9710</v>
      </c>
    </row>
    <row r="2927" spans="1:9" x14ac:dyDescent="0.25">
      <c r="A2927" t="s">
        <v>9</v>
      </c>
      <c r="B2927" s="39">
        <v>45748</v>
      </c>
      <c r="C2927" s="40">
        <v>0.375</v>
      </c>
      <c r="D2927" s="41">
        <v>6045.2550000000001</v>
      </c>
      <c r="E2927" s="41">
        <v>6049.4629999999997</v>
      </c>
      <c r="F2927" s="41">
        <v>6032.1040000000003</v>
      </c>
      <c r="G2927" s="41">
        <v>6042.6239999999998</v>
      </c>
      <c r="H2927" s="41">
        <v>3536920313.52</v>
      </c>
      <c r="I2927" s="42">
        <v>11710</v>
      </c>
    </row>
    <row r="2928" spans="1:9" x14ac:dyDescent="0.25">
      <c r="A2928" t="s">
        <v>9</v>
      </c>
      <c r="B2928" s="39">
        <v>45747</v>
      </c>
      <c r="C2928" s="40">
        <v>0.75</v>
      </c>
      <c r="D2928" s="41">
        <v>6035.26</v>
      </c>
      <c r="E2928" s="41">
        <v>6035.26</v>
      </c>
      <c r="F2928" s="41">
        <v>6028.4210000000003</v>
      </c>
      <c r="G2928" s="41">
        <v>6032.63</v>
      </c>
      <c r="H2928" s="41">
        <v>630389286.04999995</v>
      </c>
      <c r="I2928" s="42">
        <v>2090</v>
      </c>
    </row>
    <row r="2929" spans="1:9" x14ac:dyDescent="0.25">
      <c r="A2929" t="s">
        <v>9</v>
      </c>
      <c r="B2929" s="39">
        <v>45747</v>
      </c>
      <c r="C2929" s="40">
        <v>0.72916666666666663</v>
      </c>
      <c r="D2929" s="41">
        <v>6034.7340000000004</v>
      </c>
      <c r="E2929" s="41">
        <v>6038.4160000000002</v>
      </c>
      <c r="F2929" s="41">
        <v>6032.63</v>
      </c>
      <c r="G2929" s="41">
        <v>6035.26</v>
      </c>
      <c r="H2929" s="41">
        <v>1668852724.24</v>
      </c>
      <c r="I2929" s="42">
        <v>5530</v>
      </c>
    </row>
    <row r="2930" spans="1:9" x14ac:dyDescent="0.25">
      <c r="A2930" t="s">
        <v>9</v>
      </c>
      <c r="B2930" s="39">
        <v>45747</v>
      </c>
      <c r="C2930" s="40">
        <v>0.70833333333333337</v>
      </c>
      <c r="D2930" s="41">
        <v>6036.3119999999999</v>
      </c>
      <c r="E2930" s="41">
        <v>6037.89</v>
      </c>
      <c r="F2930" s="41">
        <v>6031.5780000000004</v>
      </c>
      <c r="G2930" s="41">
        <v>6034.7340000000004</v>
      </c>
      <c r="H2930" s="41">
        <v>1277755863.8800001</v>
      </c>
      <c r="I2930" s="42">
        <v>4235</v>
      </c>
    </row>
    <row r="2931" spans="1:9" x14ac:dyDescent="0.25">
      <c r="A2931" t="s">
        <v>9</v>
      </c>
      <c r="B2931" s="39">
        <v>45747</v>
      </c>
      <c r="C2931" s="40">
        <v>0.6875</v>
      </c>
      <c r="D2931" s="41">
        <v>6035.7860000000001</v>
      </c>
      <c r="E2931" s="41">
        <v>6038.942</v>
      </c>
      <c r="F2931" s="41">
        <v>6032.1040000000003</v>
      </c>
      <c r="G2931" s="41">
        <v>6036.8379999999997</v>
      </c>
      <c r="H2931" s="41">
        <v>2669447970.8699999</v>
      </c>
      <c r="I2931" s="42">
        <v>8845</v>
      </c>
    </row>
    <row r="2932" spans="1:9" x14ac:dyDescent="0.25">
      <c r="A2932" t="s">
        <v>9</v>
      </c>
      <c r="B2932" s="39">
        <v>45747</v>
      </c>
      <c r="C2932" s="40">
        <v>0.66666666666666663</v>
      </c>
      <c r="D2932" s="41">
        <v>6043.15</v>
      </c>
      <c r="E2932" s="41">
        <v>6046.3069999999998</v>
      </c>
      <c r="F2932" s="41">
        <v>6034.7340000000004</v>
      </c>
      <c r="G2932" s="41">
        <v>6035.7860000000001</v>
      </c>
      <c r="H2932" s="41">
        <v>4282570017.5100002</v>
      </c>
      <c r="I2932" s="42">
        <v>14180</v>
      </c>
    </row>
    <row r="2933" spans="1:9" x14ac:dyDescent="0.25">
      <c r="A2933" t="s">
        <v>9</v>
      </c>
      <c r="B2933" s="39">
        <v>45747</v>
      </c>
      <c r="C2933" s="40">
        <v>0.64583333333333337</v>
      </c>
      <c r="D2933" s="41">
        <v>6035.26</v>
      </c>
      <c r="E2933" s="41">
        <v>6044.2030000000004</v>
      </c>
      <c r="F2933" s="41">
        <v>6030.5259999999998</v>
      </c>
      <c r="G2933" s="41">
        <v>6043.15</v>
      </c>
      <c r="H2933" s="41">
        <v>6044386680.3400002</v>
      </c>
      <c r="I2933" s="42">
        <v>20015</v>
      </c>
    </row>
    <row r="2934" spans="1:9" x14ac:dyDescent="0.25">
      <c r="A2934" t="s">
        <v>9</v>
      </c>
      <c r="B2934" s="39">
        <v>45747</v>
      </c>
      <c r="C2934" s="40">
        <v>0.625</v>
      </c>
      <c r="D2934" s="41">
        <v>6052.0929999999998</v>
      </c>
      <c r="E2934" s="41">
        <v>6053.6710000000003</v>
      </c>
      <c r="F2934" s="41">
        <v>6033.1559999999999</v>
      </c>
      <c r="G2934" s="41">
        <v>6035.26</v>
      </c>
      <c r="H2934" s="41">
        <v>4342495734.6599998</v>
      </c>
      <c r="I2934" s="42">
        <v>14375</v>
      </c>
    </row>
    <row r="2935" spans="1:9" x14ac:dyDescent="0.25">
      <c r="A2935" t="s">
        <v>9</v>
      </c>
      <c r="B2935" s="39">
        <v>45747</v>
      </c>
      <c r="C2935" s="40">
        <v>0.60416666666666663</v>
      </c>
      <c r="D2935" s="41">
        <v>6054.1970000000001</v>
      </c>
      <c r="E2935" s="41">
        <v>6056.8280000000004</v>
      </c>
      <c r="F2935" s="41">
        <v>6049.4629999999997</v>
      </c>
      <c r="G2935" s="41">
        <v>6053.1450000000004</v>
      </c>
      <c r="H2935" s="41">
        <v>2060945904.8599999</v>
      </c>
      <c r="I2935" s="42">
        <v>6810</v>
      </c>
    </row>
    <row r="2936" spans="1:9" x14ac:dyDescent="0.25">
      <c r="A2936" t="s">
        <v>9</v>
      </c>
      <c r="B2936" s="39">
        <v>45747</v>
      </c>
      <c r="C2936" s="40">
        <v>0.58333333333333337</v>
      </c>
      <c r="D2936" s="41">
        <v>6053.6710000000003</v>
      </c>
      <c r="E2936" s="41">
        <v>6055.7749999999996</v>
      </c>
      <c r="F2936" s="41">
        <v>6050.5150000000003</v>
      </c>
      <c r="G2936" s="41">
        <v>6054.723</v>
      </c>
      <c r="H2936" s="41">
        <v>2536371621.46</v>
      </c>
      <c r="I2936" s="42">
        <v>8380</v>
      </c>
    </row>
    <row r="2937" spans="1:9" x14ac:dyDescent="0.25">
      <c r="A2937" t="s">
        <v>9</v>
      </c>
      <c r="B2937" s="39">
        <v>45747</v>
      </c>
      <c r="C2937" s="40">
        <v>0.5625</v>
      </c>
      <c r="D2937" s="41">
        <v>6062.6139999999996</v>
      </c>
      <c r="E2937" s="41">
        <v>6064.192</v>
      </c>
      <c r="F2937" s="41">
        <v>6049.4629999999997</v>
      </c>
      <c r="G2937" s="41">
        <v>6054.1970000000001</v>
      </c>
      <c r="H2937" s="41">
        <v>1748258238.1900001</v>
      </c>
      <c r="I2937" s="42">
        <v>5775</v>
      </c>
    </row>
    <row r="2938" spans="1:9" x14ac:dyDescent="0.25">
      <c r="A2938" t="s">
        <v>9</v>
      </c>
      <c r="B2938" s="39">
        <v>45747</v>
      </c>
      <c r="C2938" s="40">
        <v>0.54166666666666663</v>
      </c>
      <c r="D2938" s="41">
        <v>6073.6610000000001</v>
      </c>
      <c r="E2938" s="41">
        <v>6074.1869999999999</v>
      </c>
      <c r="F2938" s="41">
        <v>6058.4059999999999</v>
      </c>
      <c r="G2938" s="41">
        <v>6062.6139999999996</v>
      </c>
      <c r="H2938" s="41">
        <v>8208555755.4200001</v>
      </c>
      <c r="I2938" s="42">
        <v>27055</v>
      </c>
    </row>
    <row r="2939" spans="1:9" x14ac:dyDescent="0.25">
      <c r="A2939" t="s">
        <v>9</v>
      </c>
      <c r="B2939" s="39">
        <v>45747</v>
      </c>
      <c r="C2939" s="40">
        <v>0.52083333333333337</v>
      </c>
      <c r="D2939" s="41">
        <v>6064.192</v>
      </c>
      <c r="E2939" s="41">
        <v>6074.1869999999999</v>
      </c>
      <c r="F2939" s="41">
        <v>6059.9840000000004</v>
      </c>
      <c r="G2939" s="41">
        <v>6073.6610000000001</v>
      </c>
      <c r="H2939" s="41">
        <v>11586320090.139999</v>
      </c>
      <c r="I2939" s="42">
        <v>38175</v>
      </c>
    </row>
    <row r="2940" spans="1:9" x14ac:dyDescent="0.25">
      <c r="A2940" t="s">
        <v>9</v>
      </c>
      <c r="B2940" s="39">
        <v>45747</v>
      </c>
      <c r="C2940" s="40">
        <v>0.5</v>
      </c>
      <c r="D2940" s="41">
        <v>6058.4059999999999</v>
      </c>
      <c r="E2940" s="41">
        <v>6069.4520000000002</v>
      </c>
      <c r="F2940" s="41">
        <v>6058.4059999999999</v>
      </c>
      <c r="G2940" s="41">
        <v>6064.192</v>
      </c>
      <c r="H2940" s="41">
        <v>3992682382.25</v>
      </c>
      <c r="I2940" s="42">
        <v>13170</v>
      </c>
    </row>
    <row r="2941" spans="1:9" x14ac:dyDescent="0.25">
      <c r="A2941" t="s">
        <v>9</v>
      </c>
      <c r="B2941" s="39">
        <v>45747</v>
      </c>
      <c r="C2941" s="40">
        <v>0.47916666666666669</v>
      </c>
      <c r="D2941" s="41">
        <v>6073.6610000000001</v>
      </c>
      <c r="E2941" s="41">
        <v>6073.6610000000001</v>
      </c>
      <c r="F2941" s="41">
        <v>6053.1450000000004</v>
      </c>
      <c r="G2941" s="41">
        <v>6058.4059999999999</v>
      </c>
      <c r="H2941" s="41">
        <v>5177393823.3800001</v>
      </c>
      <c r="I2941" s="42">
        <v>17085</v>
      </c>
    </row>
    <row r="2942" spans="1:9" x14ac:dyDescent="0.25">
      <c r="A2942" t="s">
        <v>9</v>
      </c>
      <c r="B2942" s="39">
        <v>45747</v>
      </c>
      <c r="C2942" s="40">
        <v>0.45833333333333331</v>
      </c>
      <c r="D2942" s="41">
        <v>6073.6610000000001</v>
      </c>
      <c r="E2942" s="41">
        <v>6087.8639999999996</v>
      </c>
      <c r="F2942" s="41">
        <v>6073.6610000000001</v>
      </c>
      <c r="G2942" s="41">
        <v>6074.1869999999999</v>
      </c>
      <c r="H2942" s="41">
        <v>4183233495.73</v>
      </c>
      <c r="I2942" s="42">
        <v>13760</v>
      </c>
    </row>
    <row r="2943" spans="1:9" x14ac:dyDescent="0.25">
      <c r="A2943" t="s">
        <v>9</v>
      </c>
      <c r="B2943" s="39">
        <v>45747</v>
      </c>
      <c r="C2943" s="40">
        <v>0.4375</v>
      </c>
      <c r="D2943" s="41">
        <v>6069.9790000000003</v>
      </c>
      <c r="E2943" s="41">
        <v>6083.6559999999999</v>
      </c>
      <c r="F2943" s="41">
        <v>6064.192</v>
      </c>
      <c r="G2943" s="41">
        <v>6074.1869999999999</v>
      </c>
      <c r="H2943" s="41">
        <v>4667050343.5100002</v>
      </c>
      <c r="I2943" s="42">
        <v>15365</v>
      </c>
    </row>
    <row r="2944" spans="1:9" x14ac:dyDescent="0.25">
      <c r="A2944" t="s">
        <v>9</v>
      </c>
      <c r="B2944" s="39">
        <v>45747</v>
      </c>
      <c r="C2944" s="40">
        <v>0.41666666666666669</v>
      </c>
      <c r="D2944" s="41">
        <v>6091.02</v>
      </c>
      <c r="E2944" s="41">
        <v>6096.2809999999999</v>
      </c>
      <c r="F2944" s="41">
        <v>6067.348</v>
      </c>
      <c r="G2944" s="41">
        <v>6069.9790000000003</v>
      </c>
      <c r="H2944" s="41">
        <v>7060975917.9899998</v>
      </c>
      <c r="I2944" s="42">
        <v>23200</v>
      </c>
    </row>
    <row r="2945" spans="1:9" x14ac:dyDescent="0.25">
      <c r="A2945" t="s">
        <v>9</v>
      </c>
      <c r="B2945" s="39">
        <v>45747</v>
      </c>
      <c r="C2945" s="40">
        <v>0.39583333333333331</v>
      </c>
      <c r="D2945" s="41">
        <v>6109.9579999999996</v>
      </c>
      <c r="E2945" s="41">
        <v>6119.4260000000004</v>
      </c>
      <c r="F2945" s="41">
        <v>6086.2860000000001</v>
      </c>
      <c r="G2945" s="41">
        <v>6090.4939999999997</v>
      </c>
      <c r="H2945" s="41">
        <v>10086080627.969999</v>
      </c>
      <c r="I2945" s="42">
        <v>33035</v>
      </c>
    </row>
    <row r="2946" spans="1:9" x14ac:dyDescent="0.25">
      <c r="A2946" t="s">
        <v>9</v>
      </c>
      <c r="B2946" s="39">
        <v>45747</v>
      </c>
      <c r="C2946" s="40">
        <v>0.375</v>
      </c>
      <c r="D2946" s="41">
        <v>6098.9110000000001</v>
      </c>
      <c r="E2946" s="41">
        <v>6114.1660000000002</v>
      </c>
      <c r="F2946" s="41">
        <v>6091.5460000000003</v>
      </c>
      <c r="G2946" s="41">
        <v>6109.9579999999996</v>
      </c>
      <c r="H2946" s="41">
        <v>15869010439.360001</v>
      </c>
      <c r="I2946" s="42">
        <v>51965</v>
      </c>
    </row>
    <row r="2947" spans="1:9" x14ac:dyDescent="0.25">
      <c r="A2947" t="s">
        <v>9</v>
      </c>
      <c r="B2947" s="39">
        <v>45744</v>
      </c>
      <c r="C2947" s="40">
        <v>0.75</v>
      </c>
      <c r="D2947" s="41">
        <v>6095.2479999999996</v>
      </c>
      <c r="E2947" s="41">
        <v>6096.3050000000003</v>
      </c>
      <c r="F2947" s="41">
        <v>6091.5460000000003</v>
      </c>
      <c r="G2947" s="41">
        <v>6091.5460000000003</v>
      </c>
      <c r="H2947" s="41">
        <v>467778662.51999998</v>
      </c>
      <c r="I2947" s="42">
        <v>1535</v>
      </c>
    </row>
    <row r="2948" spans="1:9" x14ac:dyDescent="0.25">
      <c r="A2948" t="s">
        <v>9</v>
      </c>
      <c r="B2948" s="39">
        <v>45744</v>
      </c>
      <c r="C2948" s="40">
        <v>0.72916666666666663</v>
      </c>
      <c r="D2948" s="41">
        <v>6093.1329999999998</v>
      </c>
      <c r="E2948" s="41">
        <v>6096.3050000000003</v>
      </c>
      <c r="F2948" s="41">
        <v>6091.5460000000003</v>
      </c>
      <c r="G2948" s="41">
        <v>6094.19</v>
      </c>
      <c r="H2948" s="41">
        <v>4101043050.6799998</v>
      </c>
      <c r="I2948" s="42">
        <v>13460</v>
      </c>
    </row>
    <row r="2949" spans="1:9" x14ac:dyDescent="0.25">
      <c r="A2949" t="s">
        <v>9</v>
      </c>
      <c r="B2949" s="39">
        <v>45744</v>
      </c>
      <c r="C2949" s="40">
        <v>0.70833333333333337</v>
      </c>
      <c r="D2949" s="41">
        <v>6095.2479999999996</v>
      </c>
      <c r="E2949" s="41">
        <v>6100.0069999999996</v>
      </c>
      <c r="F2949" s="41">
        <v>6092.6040000000003</v>
      </c>
      <c r="G2949" s="41">
        <v>6093.1329999999998</v>
      </c>
      <c r="H2949" s="41">
        <v>3311740074.6300001</v>
      </c>
      <c r="I2949" s="42">
        <v>10865</v>
      </c>
    </row>
    <row r="2950" spans="1:9" x14ac:dyDescent="0.25">
      <c r="A2950" t="s">
        <v>9</v>
      </c>
      <c r="B2950" s="39">
        <v>45744</v>
      </c>
      <c r="C2950" s="40">
        <v>0.6875</v>
      </c>
      <c r="D2950" s="41">
        <v>6092.6040000000003</v>
      </c>
      <c r="E2950" s="41">
        <v>6095.7759999999998</v>
      </c>
      <c r="F2950" s="41">
        <v>6089.96</v>
      </c>
      <c r="G2950" s="41">
        <v>6095.2479999999996</v>
      </c>
      <c r="H2950" s="41">
        <v>1818803761.5599999</v>
      </c>
      <c r="I2950" s="42">
        <v>5970</v>
      </c>
    </row>
    <row r="2951" spans="1:9" x14ac:dyDescent="0.25">
      <c r="A2951" t="s">
        <v>9</v>
      </c>
      <c r="B2951" s="39">
        <v>45744</v>
      </c>
      <c r="C2951" s="40">
        <v>0.66666666666666663</v>
      </c>
      <c r="D2951" s="41">
        <v>6090.4889999999996</v>
      </c>
      <c r="E2951" s="41">
        <v>6094.7190000000001</v>
      </c>
      <c r="F2951" s="41">
        <v>6089.96</v>
      </c>
      <c r="G2951" s="41">
        <v>6092.0749999999998</v>
      </c>
      <c r="H2951" s="41">
        <v>1507928152.8900001</v>
      </c>
      <c r="I2951" s="42">
        <v>4950</v>
      </c>
    </row>
    <row r="2952" spans="1:9" x14ac:dyDescent="0.25">
      <c r="A2952" t="s">
        <v>9</v>
      </c>
      <c r="B2952" s="39">
        <v>45744</v>
      </c>
      <c r="C2952" s="40">
        <v>0.64583333333333337</v>
      </c>
      <c r="D2952" s="41">
        <v>6089.96</v>
      </c>
      <c r="E2952" s="41">
        <v>6094.7190000000001</v>
      </c>
      <c r="F2952" s="41">
        <v>6086.2579999999998</v>
      </c>
      <c r="G2952" s="41">
        <v>6089.96</v>
      </c>
      <c r="H2952" s="41">
        <v>2658603778.3400002</v>
      </c>
      <c r="I2952" s="42">
        <v>8730</v>
      </c>
    </row>
    <row r="2953" spans="1:9" x14ac:dyDescent="0.25">
      <c r="A2953" t="s">
        <v>9</v>
      </c>
      <c r="B2953" s="39">
        <v>45744</v>
      </c>
      <c r="C2953" s="40">
        <v>0.625</v>
      </c>
      <c r="D2953" s="41">
        <v>6090.4889999999996</v>
      </c>
      <c r="E2953" s="41">
        <v>6091.5460000000003</v>
      </c>
      <c r="F2953" s="41">
        <v>6079.384</v>
      </c>
      <c r="G2953" s="41">
        <v>6090.4889999999996</v>
      </c>
      <c r="H2953" s="41">
        <v>4946520843.2700005</v>
      </c>
      <c r="I2953" s="42">
        <v>16255</v>
      </c>
    </row>
    <row r="2954" spans="1:9" x14ac:dyDescent="0.25">
      <c r="A2954" t="s">
        <v>9</v>
      </c>
      <c r="B2954" s="39">
        <v>45744</v>
      </c>
      <c r="C2954" s="40">
        <v>0.60416666666666663</v>
      </c>
      <c r="D2954" s="41">
        <v>6098.9489999999996</v>
      </c>
      <c r="E2954" s="41">
        <v>6104.7659999999996</v>
      </c>
      <c r="F2954" s="41">
        <v>6088.902</v>
      </c>
      <c r="G2954" s="41">
        <v>6091.5460000000003</v>
      </c>
      <c r="H2954" s="41">
        <v>5427812876.5799999</v>
      </c>
      <c r="I2954" s="42">
        <v>17810</v>
      </c>
    </row>
    <row r="2955" spans="1:9" x14ac:dyDescent="0.25">
      <c r="A2955" t="s">
        <v>9</v>
      </c>
      <c r="B2955" s="39">
        <v>45744</v>
      </c>
      <c r="C2955" s="40">
        <v>0.58333333333333337</v>
      </c>
      <c r="D2955" s="41">
        <v>6102.6509999999998</v>
      </c>
      <c r="E2955" s="41">
        <v>6102.6509999999998</v>
      </c>
      <c r="F2955" s="41">
        <v>6093.6610000000001</v>
      </c>
      <c r="G2955" s="41">
        <v>6097.8919999999998</v>
      </c>
      <c r="H2955" s="41">
        <v>2300384244.3800001</v>
      </c>
      <c r="I2955" s="42">
        <v>7545</v>
      </c>
    </row>
    <row r="2956" spans="1:9" x14ac:dyDescent="0.25">
      <c r="A2956" t="s">
        <v>9</v>
      </c>
      <c r="B2956" s="39">
        <v>45744</v>
      </c>
      <c r="C2956" s="40">
        <v>0.5625</v>
      </c>
      <c r="D2956" s="41">
        <v>6104.2370000000001</v>
      </c>
      <c r="E2956" s="41">
        <v>6107.41</v>
      </c>
      <c r="F2956" s="41">
        <v>6101.0640000000003</v>
      </c>
      <c r="G2956" s="41">
        <v>6102.1220000000003</v>
      </c>
      <c r="H2956" s="41">
        <v>2504568959.6799998</v>
      </c>
      <c r="I2956" s="42">
        <v>8205</v>
      </c>
    </row>
    <row r="2957" spans="1:9" x14ac:dyDescent="0.25">
      <c r="A2957" t="s">
        <v>9</v>
      </c>
      <c r="B2957" s="39">
        <v>45744</v>
      </c>
      <c r="C2957" s="40">
        <v>0.54166666666666663</v>
      </c>
      <c r="D2957" s="41">
        <v>6101.5929999999998</v>
      </c>
      <c r="E2957" s="41">
        <v>6103.7079999999996</v>
      </c>
      <c r="F2957" s="41">
        <v>6100.0069999999996</v>
      </c>
      <c r="G2957" s="41">
        <v>6103.7079999999996</v>
      </c>
      <c r="H2957" s="41">
        <v>3043158013</v>
      </c>
      <c r="I2957" s="42">
        <v>9975</v>
      </c>
    </row>
    <row r="2958" spans="1:9" x14ac:dyDescent="0.25">
      <c r="A2958" t="s">
        <v>9</v>
      </c>
      <c r="B2958" s="39">
        <v>45744</v>
      </c>
      <c r="C2958" s="40">
        <v>0.52083333333333337</v>
      </c>
      <c r="D2958" s="41">
        <v>6094.7190000000001</v>
      </c>
      <c r="E2958" s="41">
        <v>6102.1220000000003</v>
      </c>
      <c r="F2958" s="41">
        <v>6094.7190000000001</v>
      </c>
      <c r="G2958" s="41">
        <v>6101.5929999999998</v>
      </c>
      <c r="H2958" s="41">
        <v>1170981572.5899999</v>
      </c>
      <c r="I2958" s="42">
        <v>3840</v>
      </c>
    </row>
    <row r="2959" spans="1:9" x14ac:dyDescent="0.25">
      <c r="A2959" t="s">
        <v>9</v>
      </c>
      <c r="B2959" s="39">
        <v>45744</v>
      </c>
      <c r="C2959" s="40">
        <v>0.5</v>
      </c>
      <c r="D2959" s="41">
        <v>6102.6509999999998</v>
      </c>
      <c r="E2959" s="41">
        <v>6104.7659999999996</v>
      </c>
      <c r="F2959" s="41">
        <v>6088.3739999999998</v>
      </c>
      <c r="G2959" s="41">
        <v>6094.7190000000001</v>
      </c>
      <c r="H2959" s="41">
        <v>6232918047.8699999</v>
      </c>
      <c r="I2959" s="42">
        <v>20445</v>
      </c>
    </row>
    <row r="2960" spans="1:9" x14ac:dyDescent="0.25">
      <c r="A2960" t="s">
        <v>9</v>
      </c>
      <c r="B2960" s="39">
        <v>45744</v>
      </c>
      <c r="C2960" s="40">
        <v>0.47916666666666669</v>
      </c>
      <c r="D2960" s="41">
        <v>6107.41</v>
      </c>
      <c r="E2960" s="41">
        <v>6108.9960000000001</v>
      </c>
      <c r="F2960" s="41">
        <v>6096.8339999999998</v>
      </c>
      <c r="G2960" s="41">
        <v>6102.6509999999998</v>
      </c>
      <c r="H2960" s="41">
        <v>4371690262.8100004</v>
      </c>
      <c r="I2960" s="42">
        <v>14325</v>
      </c>
    </row>
    <row r="2961" spans="1:9" x14ac:dyDescent="0.25">
      <c r="A2961" t="s">
        <v>9</v>
      </c>
      <c r="B2961" s="39">
        <v>45744</v>
      </c>
      <c r="C2961" s="40">
        <v>0.45833333333333331</v>
      </c>
      <c r="D2961" s="41">
        <v>6089.96</v>
      </c>
      <c r="E2961" s="41">
        <v>6116.9279999999999</v>
      </c>
      <c r="F2961" s="41">
        <v>6086.2579999999998</v>
      </c>
      <c r="G2961" s="41">
        <v>6107.41</v>
      </c>
      <c r="H2961" s="41">
        <v>8117873912.3599997</v>
      </c>
      <c r="I2961" s="42">
        <v>26610</v>
      </c>
    </row>
    <row r="2962" spans="1:9" x14ac:dyDescent="0.25">
      <c r="A2962" t="s">
        <v>9</v>
      </c>
      <c r="B2962" s="39">
        <v>45744</v>
      </c>
      <c r="C2962" s="40">
        <v>0.4375</v>
      </c>
      <c r="D2962" s="41">
        <v>6104.2370000000001</v>
      </c>
      <c r="E2962" s="41">
        <v>6105.8230000000003</v>
      </c>
      <c r="F2962" s="41">
        <v>6086.7870000000003</v>
      </c>
      <c r="G2962" s="41">
        <v>6087.8450000000003</v>
      </c>
      <c r="H2962" s="41">
        <v>4472254710.5</v>
      </c>
      <c r="I2962" s="42">
        <v>14675</v>
      </c>
    </row>
    <row r="2963" spans="1:9" x14ac:dyDescent="0.25">
      <c r="A2963" t="s">
        <v>9</v>
      </c>
      <c r="B2963" s="39">
        <v>45744</v>
      </c>
      <c r="C2963" s="40">
        <v>0.41666666666666669</v>
      </c>
      <c r="D2963" s="41">
        <v>6102.1220000000003</v>
      </c>
      <c r="E2963" s="41">
        <v>6112.1689999999999</v>
      </c>
      <c r="F2963" s="41">
        <v>6097.3630000000003</v>
      </c>
      <c r="G2963" s="41">
        <v>6104.2370000000001</v>
      </c>
      <c r="H2963" s="41">
        <v>9178602729.1599998</v>
      </c>
      <c r="I2963" s="42">
        <v>30080</v>
      </c>
    </row>
    <row r="2964" spans="1:9" x14ac:dyDescent="0.25">
      <c r="A2964" t="s">
        <v>9</v>
      </c>
      <c r="B2964" s="39">
        <v>45744</v>
      </c>
      <c r="C2964" s="40">
        <v>0.39583333333333331</v>
      </c>
      <c r="D2964" s="41">
        <v>6106.3519999999999</v>
      </c>
      <c r="E2964" s="41">
        <v>6108.9960000000001</v>
      </c>
      <c r="F2964" s="41">
        <v>6087.3159999999998</v>
      </c>
      <c r="G2964" s="41">
        <v>6102.1220000000003</v>
      </c>
      <c r="H2964" s="41">
        <v>8071086528.0699997</v>
      </c>
      <c r="I2964" s="42">
        <v>26470</v>
      </c>
    </row>
    <row r="2965" spans="1:9" x14ac:dyDescent="0.25">
      <c r="A2965" t="s">
        <v>9</v>
      </c>
      <c r="B2965" s="39">
        <v>45744</v>
      </c>
      <c r="C2965" s="40">
        <v>0.375</v>
      </c>
      <c r="D2965" s="41">
        <v>6080.9709999999995</v>
      </c>
      <c r="E2965" s="41">
        <v>6112.1689999999999</v>
      </c>
      <c r="F2965" s="41">
        <v>6080.9709999999995</v>
      </c>
      <c r="G2965" s="41">
        <v>6107.41</v>
      </c>
      <c r="H2965" s="41">
        <v>4554718356.0600004</v>
      </c>
      <c r="I2965" s="42">
        <v>14925</v>
      </c>
    </row>
    <row r="2966" spans="1:9" x14ac:dyDescent="0.25">
      <c r="A2966" t="s">
        <v>9</v>
      </c>
      <c r="B2966" s="39">
        <v>45743</v>
      </c>
      <c r="C2966" s="40">
        <v>0.75</v>
      </c>
      <c r="D2966" s="41">
        <v>6080.9709999999995</v>
      </c>
      <c r="E2966" s="41">
        <v>6082.5569999999998</v>
      </c>
      <c r="F2966" s="41">
        <v>6071.9809999999998</v>
      </c>
      <c r="G2966" s="41">
        <v>6075.1540000000005</v>
      </c>
      <c r="H2966" s="41">
        <v>471049960.30000001</v>
      </c>
      <c r="I2966" s="42">
        <v>1550</v>
      </c>
    </row>
    <row r="2967" spans="1:9" x14ac:dyDescent="0.25">
      <c r="A2967" t="s">
        <v>9</v>
      </c>
      <c r="B2967" s="39">
        <v>45743</v>
      </c>
      <c r="C2967" s="40">
        <v>0.72916666666666663</v>
      </c>
      <c r="D2967" s="41">
        <v>6083.0860000000002</v>
      </c>
      <c r="E2967" s="41">
        <v>6084.143</v>
      </c>
      <c r="F2967" s="41">
        <v>6079.9129999999996</v>
      </c>
      <c r="G2967" s="41">
        <v>6080.442</v>
      </c>
      <c r="H2967" s="41">
        <v>1573722536.1300001</v>
      </c>
      <c r="I2967" s="42">
        <v>5175</v>
      </c>
    </row>
    <row r="2968" spans="1:9" x14ac:dyDescent="0.25">
      <c r="A2968" t="s">
        <v>9</v>
      </c>
      <c r="B2968" s="39">
        <v>45743</v>
      </c>
      <c r="C2968" s="40">
        <v>0.70833333333333337</v>
      </c>
      <c r="D2968" s="41">
        <v>6093.6610000000001</v>
      </c>
      <c r="E2968" s="41">
        <v>6093.6610000000001</v>
      </c>
      <c r="F2968" s="41">
        <v>6078.3270000000002</v>
      </c>
      <c r="G2968" s="41">
        <v>6084.143</v>
      </c>
      <c r="H2968" s="41">
        <v>2600554833.1100001</v>
      </c>
      <c r="I2968" s="42">
        <v>8550</v>
      </c>
    </row>
    <row r="2969" spans="1:9" x14ac:dyDescent="0.25">
      <c r="A2969" t="s">
        <v>9</v>
      </c>
      <c r="B2969" s="39">
        <v>45743</v>
      </c>
      <c r="C2969" s="40">
        <v>0.6875</v>
      </c>
      <c r="D2969" s="41">
        <v>6092.6040000000003</v>
      </c>
      <c r="E2969" s="41">
        <v>6094.19</v>
      </c>
      <c r="F2969" s="41">
        <v>6086.7870000000003</v>
      </c>
      <c r="G2969" s="41">
        <v>6093.1329999999998</v>
      </c>
      <c r="H2969" s="41">
        <v>3811104752.5300002</v>
      </c>
      <c r="I2969" s="42">
        <v>12515</v>
      </c>
    </row>
    <row r="2970" spans="1:9" x14ac:dyDescent="0.25">
      <c r="A2970" t="s">
        <v>9</v>
      </c>
      <c r="B2970" s="39">
        <v>45743</v>
      </c>
      <c r="C2970" s="40">
        <v>0.66666666666666663</v>
      </c>
      <c r="D2970" s="41">
        <v>6086.7870000000003</v>
      </c>
      <c r="E2970" s="41">
        <v>6098.42</v>
      </c>
      <c r="F2970" s="41">
        <v>6083.0860000000002</v>
      </c>
      <c r="G2970" s="41">
        <v>6093.1329999999998</v>
      </c>
      <c r="H2970" s="41">
        <v>3319034331.0500002</v>
      </c>
      <c r="I2970" s="42">
        <v>10900</v>
      </c>
    </row>
    <row r="2971" spans="1:9" x14ac:dyDescent="0.25">
      <c r="A2971" t="s">
        <v>9</v>
      </c>
      <c r="B2971" s="39">
        <v>45743</v>
      </c>
      <c r="C2971" s="40">
        <v>0.64583333333333337</v>
      </c>
      <c r="D2971" s="41">
        <v>6078.3270000000002</v>
      </c>
      <c r="E2971" s="41">
        <v>6088.902</v>
      </c>
      <c r="F2971" s="41">
        <v>6078.3270000000002</v>
      </c>
      <c r="G2971" s="41">
        <v>6087.3159999999998</v>
      </c>
      <c r="H2971" s="41">
        <v>2085465294.05</v>
      </c>
      <c r="I2971" s="42">
        <v>6855</v>
      </c>
    </row>
    <row r="2972" spans="1:9" x14ac:dyDescent="0.25">
      <c r="A2972" t="s">
        <v>9</v>
      </c>
      <c r="B2972" s="39">
        <v>45743</v>
      </c>
      <c r="C2972" s="40">
        <v>0.625</v>
      </c>
      <c r="D2972" s="41">
        <v>6084.6719999999996</v>
      </c>
      <c r="E2972" s="41">
        <v>6085.201</v>
      </c>
      <c r="F2972" s="41">
        <v>6074.625</v>
      </c>
      <c r="G2972" s="41">
        <v>6077.7979999999998</v>
      </c>
      <c r="H2972" s="41">
        <v>4113212394.7800002</v>
      </c>
      <c r="I2972" s="42">
        <v>13530</v>
      </c>
    </row>
    <row r="2973" spans="1:9" x14ac:dyDescent="0.25">
      <c r="A2973" t="s">
        <v>9</v>
      </c>
      <c r="B2973" s="39">
        <v>45743</v>
      </c>
      <c r="C2973" s="40">
        <v>0.60416666666666663</v>
      </c>
      <c r="D2973" s="41">
        <v>6071.9809999999998</v>
      </c>
      <c r="E2973" s="41">
        <v>6100.5349999999999</v>
      </c>
      <c r="F2973" s="41">
        <v>6068.28</v>
      </c>
      <c r="G2973" s="41">
        <v>6084.143</v>
      </c>
      <c r="H2973" s="41">
        <v>6956519177.1899996</v>
      </c>
      <c r="I2973" s="42">
        <v>22900</v>
      </c>
    </row>
    <row r="2974" spans="1:9" x14ac:dyDescent="0.25">
      <c r="A2974" t="s">
        <v>9</v>
      </c>
      <c r="B2974" s="39">
        <v>45743</v>
      </c>
      <c r="C2974" s="40">
        <v>0.58333333333333337</v>
      </c>
      <c r="D2974" s="41">
        <v>6071.9809999999998</v>
      </c>
      <c r="E2974" s="41">
        <v>6073.5680000000002</v>
      </c>
      <c r="F2974" s="41">
        <v>6066.6940000000004</v>
      </c>
      <c r="G2974" s="41">
        <v>6071.4530000000004</v>
      </c>
      <c r="H2974" s="41">
        <v>2049797361.0599999</v>
      </c>
      <c r="I2974" s="42">
        <v>6755</v>
      </c>
    </row>
    <row r="2975" spans="1:9" x14ac:dyDescent="0.25">
      <c r="A2975" t="s">
        <v>9</v>
      </c>
      <c r="B2975" s="39">
        <v>45743</v>
      </c>
      <c r="C2975" s="40">
        <v>0.5625</v>
      </c>
      <c r="D2975" s="41">
        <v>6069.3370000000004</v>
      </c>
      <c r="E2975" s="41">
        <v>6073.5680000000002</v>
      </c>
      <c r="F2975" s="41">
        <v>6069.3370000000004</v>
      </c>
      <c r="G2975" s="41">
        <v>6070.924</v>
      </c>
      <c r="H2975" s="41">
        <v>1508595605.51</v>
      </c>
      <c r="I2975" s="42">
        <v>4970</v>
      </c>
    </row>
    <row r="2976" spans="1:9" x14ac:dyDescent="0.25">
      <c r="A2976" t="s">
        <v>9</v>
      </c>
      <c r="B2976" s="39">
        <v>45743</v>
      </c>
      <c r="C2976" s="40">
        <v>0.54166666666666663</v>
      </c>
      <c r="D2976" s="41">
        <v>6068.8090000000002</v>
      </c>
      <c r="E2976" s="41">
        <v>6073.0389999999998</v>
      </c>
      <c r="F2976" s="41">
        <v>6067.7510000000002</v>
      </c>
      <c r="G2976" s="41">
        <v>6069.866</v>
      </c>
      <c r="H2976" s="41">
        <v>2074429522.1800001</v>
      </c>
      <c r="I2976" s="42">
        <v>6835</v>
      </c>
    </row>
    <row r="2977" spans="1:9" x14ac:dyDescent="0.25">
      <c r="A2977" t="s">
        <v>9</v>
      </c>
      <c r="B2977" s="39">
        <v>45743</v>
      </c>
      <c r="C2977" s="40">
        <v>0.52083333333333337</v>
      </c>
      <c r="D2977" s="41">
        <v>6075.683</v>
      </c>
      <c r="E2977" s="41">
        <v>6076.2120000000004</v>
      </c>
      <c r="F2977" s="41">
        <v>6065.6360000000004</v>
      </c>
      <c r="G2977" s="41">
        <v>6069.3370000000004</v>
      </c>
      <c r="H2977" s="41">
        <v>4029714587.6300001</v>
      </c>
      <c r="I2977" s="42">
        <v>13275</v>
      </c>
    </row>
    <row r="2978" spans="1:9" x14ac:dyDescent="0.25">
      <c r="A2978" t="s">
        <v>9</v>
      </c>
      <c r="B2978" s="39">
        <v>45743</v>
      </c>
      <c r="C2978" s="40">
        <v>0.5</v>
      </c>
      <c r="D2978" s="41">
        <v>6075.683</v>
      </c>
      <c r="E2978" s="41">
        <v>6080.442</v>
      </c>
      <c r="F2978" s="41">
        <v>6072.51</v>
      </c>
      <c r="G2978" s="41">
        <v>6075.1540000000005</v>
      </c>
      <c r="H2978" s="41">
        <v>3359940094.8299999</v>
      </c>
      <c r="I2978" s="42">
        <v>11060</v>
      </c>
    </row>
    <row r="2979" spans="1:9" x14ac:dyDescent="0.25">
      <c r="A2979" t="s">
        <v>9</v>
      </c>
      <c r="B2979" s="39">
        <v>45743</v>
      </c>
      <c r="C2979" s="40">
        <v>0.47916666666666669</v>
      </c>
      <c r="D2979" s="41">
        <v>6066.165</v>
      </c>
      <c r="E2979" s="41">
        <v>6077.7979999999998</v>
      </c>
      <c r="F2979" s="41">
        <v>6060.8770000000004</v>
      </c>
      <c r="G2979" s="41">
        <v>6075.1540000000005</v>
      </c>
      <c r="H2979" s="41">
        <v>4889725899.9200001</v>
      </c>
      <c r="I2979" s="42">
        <v>16115</v>
      </c>
    </row>
    <row r="2980" spans="1:9" x14ac:dyDescent="0.25">
      <c r="A2980" t="s">
        <v>9</v>
      </c>
      <c r="B2980" s="39">
        <v>45743</v>
      </c>
      <c r="C2980" s="40">
        <v>0.45833333333333331</v>
      </c>
      <c r="D2980" s="41">
        <v>6086.2579999999998</v>
      </c>
      <c r="E2980" s="41">
        <v>6092.6040000000003</v>
      </c>
      <c r="F2980" s="41">
        <v>6065.107</v>
      </c>
      <c r="G2980" s="41">
        <v>6065.6360000000004</v>
      </c>
      <c r="H2980" s="41">
        <v>6266560885.4499998</v>
      </c>
      <c r="I2980" s="42">
        <v>20605</v>
      </c>
    </row>
    <row r="2981" spans="1:9" x14ac:dyDescent="0.25">
      <c r="A2981" t="s">
        <v>9</v>
      </c>
      <c r="B2981" s="39">
        <v>45743</v>
      </c>
      <c r="C2981" s="40">
        <v>0.4375</v>
      </c>
      <c r="D2981" s="41">
        <v>6102.6509999999998</v>
      </c>
      <c r="E2981" s="41">
        <v>6103.7079999999996</v>
      </c>
      <c r="F2981" s="41">
        <v>6084.6719999999996</v>
      </c>
      <c r="G2981" s="41">
        <v>6085.73</v>
      </c>
      <c r="H2981" s="41">
        <v>5762015485</v>
      </c>
      <c r="I2981" s="42">
        <v>18910</v>
      </c>
    </row>
    <row r="2982" spans="1:9" x14ac:dyDescent="0.25">
      <c r="A2982" t="s">
        <v>9</v>
      </c>
      <c r="B2982" s="39">
        <v>45743</v>
      </c>
      <c r="C2982" s="40">
        <v>0.41666666666666669</v>
      </c>
      <c r="D2982" s="41">
        <v>6093.1329999999998</v>
      </c>
      <c r="E2982" s="41">
        <v>6107.9380000000001</v>
      </c>
      <c r="F2982" s="41">
        <v>6091.5460000000003</v>
      </c>
      <c r="G2982" s="41">
        <v>6102.1220000000003</v>
      </c>
      <c r="H2982" s="41">
        <v>9248871120.3999996</v>
      </c>
      <c r="I2982" s="42">
        <v>30330</v>
      </c>
    </row>
    <row r="2983" spans="1:9" x14ac:dyDescent="0.25">
      <c r="A2983" t="s">
        <v>9</v>
      </c>
      <c r="B2983" s="39">
        <v>45743</v>
      </c>
      <c r="C2983" s="40">
        <v>0.39583333333333331</v>
      </c>
      <c r="D2983" s="41">
        <v>6070.924</v>
      </c>
      <c r="E2983" s="41">
        <v>6095.7759999999998</v>
      </c>
      <c r="F2983" s="41">
        <v>6067.2219999999998</v>
      </c>
      <c r="G2983" s="41">
        <v>6093.1329999999998</v>
      </c>
      <c r="H2983" s="41">
        <v>4429690692.4700003</v>
      </c>
      <c r="I2983" s="42">
        <v>14565</v>
      </c>
    </row>
    <row r="2984" spans="1:9" x14ac:dyDescent="0.25">
      <c r="A2984" t="s">
        <v>9</v>
      </c>
      <c r="B2984" s="39">
        <v>45743</v>
      </c>
      <c r="C2984" s="40">
        <v>0.375</v>
      </c>
      <c r="D2984" s="41">
        <v>6061.9350000000004</v>
      </c>
      <c r="E2984" s="41">
        <v>6076.74</v>
      </c>
      <c r="F2984" s="41">
        <v>6056.1180000000004</v>
      </c>
      <c r="G2984" s="41">
        <v>6071.4530000000004</v>
      </c>
      <c r="H2984" s="41">
        <v>3736879235.7800002</v>
      </c>
      <c r="I2984" s="42">
        <v>12320</v>
      </c>
    </row>
    <row r="2985" spans="1:9" x14ac:dyDescent="0.25">
      <c r="A2985" t="s">
        <v>9</v>
      </c>
      <c r="B2985" s="39">
        <v>45742</v>
      </c>
      <c r="C2985" s="40">
        <v>0.75</v>
      </c>
      <c r="D2985" s="41">
        <v>6071.9809999999998</v>
      </c>
      <c r="E2985" s="41">
        <v>6074.625</v>
      </c>
      <c r="F2985" s="41">
        <v>6069.866</v>
      </c>
      <c r="G2985" s="41">
        <v>6072.51</v>
      </c>
      <c r="H2985" s="41">
        <v>1079215760.5599999</v>
      </c>
      <c r="I2985" s="42">
        <v>3555</v>
      </c>
    </row>
    <row r="2986" spans="1:9" x14ac:dyDescent="0.25">
      <c r="A2986" t="s">
        <v>9</v>
      </c>
      <c r="B2986" s="39">
        <v>45742</v>
      </c>
      <c r="C2986" s="40">
        <v>0.72916666666666663</v>
      </c>
      <c r="D2986" s="41">
        <v>6069.866</v>
      </c>
      <c r="E2986" s="41">
        <v>6072.51</v>
      </c>
      <c r="F2986" s="41">
        <v>6069.3370000000004</v>
      </c>
      <c r="G2986" s="41">
        <v>6071.4530000000004</v>
      </c>
      <c r="H2986" s="41">
        <v>617704860.17999995</v>
      </c>
      <c r="I2986" s="42">
        <v>2035</v>
      </c>
    </row>
    <row r="2987" spans="1:9" x14ac:dyDescent="0.25">
      <c r="A2987" t="s">
        <v>9</v>
      </c>
      <c r="B2987" s="39">
        <v>45742</v>
      </c>
      <c r="C2987" s="40">
        <v>0.70833333333333337</v>
      </c>
      <c r="D2987" s="41">
        <v>6068.28</v>
      </c>
      <c r="E2987" s="41">
        <v>6074.0959999999995</v>
      </c>
      <c r="F2987" s="41">
        <v>6065.107</v>
      </c>
      <c r="G2987" s="41">
        <v>6070.3950000000004</v>
      </c>
      <c r="H2987" s="41">
        <v>3301132746.8099999</v>
      </c>
      <c r="I2987" s="42">
        <v>10880</v>
      </c>
    </row>
    <row r="2988" spans="1:9" x14ac:dyDescent="0.25">
      <c r="A2988" t="s">
        <v>9</v>
      </c>
      <c r="B2988" s="39">
        <v>45742</v>
      </c>
      <c r="C2988" s="40">
        <v>0.6875</v>
      </c>
      <c r="D2988" s="41">
        <v>6070.3950000000004</v>
      </c>
      <c r="E2988" s="41">
        <v>6072.51</v>
      </c>
      <c r="F2988" s="41">
        <v>6061.9350000000004</v>
      </c>
      <c r="G2988" s="41">
        <v>6067.7510000000002</v>
      </c>
      <c r="H2988" s="41">
        <v>2803229220.3899999</v>
      </c>
      <c r="I2988" s="42">
        <v>9240</v>
      </c>
    </row>
    <row r="2989" spans="1:9" x14ac:dyDescent="0.25">
      <c r="A2989" t="s">
        <v>9</v>
      </c>
      <c r="B2989" s="39">
        <v>45742</v>
      </c>
      <c r="C2989" s="40">
        <v>0.66666666666666663</v>
      </c>
      <c r="D2989" s="41">
        <v>6068.28</v>
      </c>
      <c r="E2989" s="41">
        <v>6071.9809999999998</v>
      </c>
      <c r="F2989" s="41">
        <v>6065.107</v>
      </c>
      <c r="G2989" s="41">
        <v>6070.3950000000004</v>
      </c>
      <c r="H2989" s="41">
        <v>2240985588.0700002</v>
      </c>
      <c r="I2989" s="42">
        <v>7385</v>
      </c>
    </row>
    <row r="2990" spans="1:9" x14ac:dyDescent="0.25">
      <c r="A2990" t="s">
        <v>9</v>
      </c>
      <c r="B2990" s="39">
        <v>45742</v>
      </c>
      <c r="C2990" s="40">
        <v>0.64583333333333337</v>
      </c>
      <c r="D2990" s="41">
        <v>6068.8090000000002</v>
      </c>
      <c r="E2990" s="41">
        <v>6071.9809999999998</v>
      </c>
      <c r="F2990" s="41">
        <v>6065.6360000000004</v>
      </c>
      <c r="G2990" s="41">
        <v>6068.28</v>
      </c>
      <c r="H2990" s="41">
        <v>3251624260.3699999</v>
      </c>
      <c r="I2990" s="42">
        <v>10715</v>
      </c>
    </row>
    <row r="2991" spans="1:9" x14ac:dyDescent="0.25">
      <c r="A2991" t="s">
        <v>9</v>
      </c>
      <c r="B2991" s="39">
        <v>45742</v>
      </c>
      <c r="C2991" s="40">
        <v>0.625</v>
      </c>
      <c r="D2991" s="41">
        <v>6075.683</v>
      </c>
      <c r="E2991" s="41">
        <v>6075.683</v>
      </c>
      <c r="F2991" s="41">
        <v>6064.05</v>
      </c>
      <c r="G2991" s="41">
        <v>6068.28</v>
      </c>
      <c r="H2991" s="41">
        <v>3042718861.1700001</v>
      </c>
      <c r="I2991" s="42">
        <v>10025</v>
      </c>
    </row>
    <row r="2992" spans="1:9" x14ac:dyDescent="0.25">
      <c r="A2992" t="s">
        <v>9</v>
      </c>
      <c r="B2992" s="39">
        <v>45742</v>
      </c>
      <c r="C2992" s="40">
        <v>0.60416666666666663</v>
      </c>
      <c r="D2992" s="41">
        <v>6076.2120000000004</v>
      </c>
      <c r="E2992" s="41">
        <v>6080.9709999999995</v>
      </c>
      <c r="F2992" s="41">
        <v>6070.3950000000004</v>
      </c>
      <c r="G2992" s="41">
        <v>6075.1540000000005</v>
      </c>
      <c r="H2992" s="41">
        <v>4845749906.9700003</v>
      </c>
      <c r="I2992" s="42">
        <v>15950</v>
      </c>
    </row>
    <row r="2993" spans="1:9" x14ac:dyDescent="0.25">
      <c r="A2993" t="s">
        <v>9</v>
      </c>
      <c r="B2993" s="39">
        <v>45742</v>
      </c>
      <c r="C2993" s="40">
        <v>0.58333333333333337</v>
      </c>
      <c r="D2993" s="41">
        <v>6068.8090000000002</v>
      </c>
      <c r="E2993" s="41">
        <v>6076.74</v>
      </c>
      <c r="F2993" s="41">
        <v>6067.2219999999998</v>
      </c>
      <c r="G2993" s="41">
        <v>6075.683</v>
      </c>
      <c r="H2993" s="41">
        <v>2970031168.9899998</v>
      </c>
      <c r="I2993" s="42">
        <v>9785</v>
      </c>
    </row>
    <row r="2994" spans="1:9" x14ac:dyDescent="0.25">
      <c r="A2994" t="s">
        <v>9</v>
      </c>
      <c r="B2994" s="39">
        <v>45742</v>
      </c>
      <c r="C2994" s="40">
        <v>0.5625</v>
      </c>
      <c r="D2994" s="41">
        <v>6072.51</v>
      </c>
      <c r="E2994" s="41">
        <v>6074.0959999999995</v>
      </c>
      <c r="F2994" s="41">
        <v>6065.6360000000004</v>
      </c>
      <c r="G2994" s="41">
        <v>6068.28</v>
      </c>
      <c r="H2994" s="41">
        <v>2057654107.26</v>
      </c>
      <c r="I2994" s="42">
        <v>6780</v>
      </c>
    </row>
    <row r="2995" spans="1:9" x14ac:dyDescent="0.25">
      <c r="A2995" t="s">
        <v>9</v>
      </c>
      <c r="B2995" s="39">
        <v>45742</v>
      </c>
      <c r="C2995" s="40">
        <v>0.54166666666666663</v>
      </c>
      <c r="D2995" s="41">
        <v>6073.5680000000002</v>
      </c>
      <c r="E2995" s="41">
        <v>6083.6139999999996</v>
      </c>
      <c r="F2995" s="41">
        <v>6070.3950000000004</v>
      </c>
      <c r="G2995" s="41">
        <v>6071.9809999999998</v>
      </c>
      <c r="H2995" s="41">
        <v>3523924174.5500002</v>
      </c>
      <c r="I2995" s="42">
        <v>11600</v>
      </c>
    </row>
    <row r="2996" spans="1:9" x14ac:dyDescent="0.25">
      <c r="A2996" t="s">
        <v>9</v>
      </c>
      <c r="B2996" s="39">
        <v>45742</v>
      </c>
      <c r="C2996" s="40">
        <v>0.52083333333333337</v>
      </c>
      <c r="D2996" s="41">
        <v>6073.0389999999998</v>
      </c>
      <c r="E2996" s="41">
        <v>6077.7979999999998</v>
      </c>
      <c r="F2996" s="41">
        <v>6067.7510000000002</v>
      </c>
      <c r="G2996" s="41">
        <v>6074.0959999999995</v>
      </c>
      <c r="H2996" s="41">
        <v>7216523633.2299995</v>
      </c>
      <c r="I2996" s="42">
        <v>23770</v>
      </c>
    </row>
    <row r="2997" spans="1:9" x14ac:dyDescent="0.25">
      <c r="A2997" t="s">
        <v>9</v>
      </c>
      <c r="B2997" s="39">
        <v>45742</v>
      </c>
      <c r="C2997" s="40">
        <v>0.5</v>
      </c>
      <c r="D2997" s="41">
        <v>6062.4629999999997</v>
      </c>
      <c r="E2997" s="41">
        <v>6077.7979999999998</v>
      </c>
      <c r="F2997" s="41">
        <v>6059.8190000000004</v>
      </c>
      <c r="G2997" s="41">
        <v>6073.0389999999998</v>
      </c>
      <c r="H2997" s="41">
        <v>6454202320.2700005</v>
      </c>
      <c r="I2997" s="42">
        <v>21265</v>
      </c>
    </row>
    <row r="2998" spans="1:9" x14ac:dyDescent="0.25">
      <c r="A2998" t="s">
        <v>9</v>
      </c>
      <c r="B2998" s="39">
        <v>45742</v>
      </c>
      <c r="C2998" s="40">
        <v>0.47916666666666669</v>
      </c>
      <c r="D2998" s="41">
        <v>6061.4059999999999</v>
      </c>
      <c r="E2998" s="41">
        <v>6068.28</v>
      </c>
      <c r="F2998" s="41">
        <v>6059.2910000000002</v>
      </c>
      <c r="G2998" s="41">
        <v>6062.4629999999997</v>
      </c>
      <c r="H2998" s="41">
        <v>2826888558.4099998</v>
      </c>
      <c r="I2998" s="42">
        <v>9325</v>
      </c>
    </row>
    <row r="2999" spans="1:9" x14ac:dyDescent="0.25">
      <c r="A2999" t="s">
        <v>9</v>
      </c>
      <c r="B2999" s="39">
        <v>45742</v>
      </c>
      <c r="C2999" s="40">
        <v>0.45833333333333331</v>
      </c>
      <c r="D2999" s="41">
        <v>6064.5780000000004</v>
      </c>
      <c r="E2999" s="41">
        <v>6065.107</v>
      </c>
      <c r="F2999" s="41">
        <v>6052.4160000000002</v>
      </c>
      <c r="G2999" s="41">
        <v>6060.8770000000004</v>
      </c>
      <c r="H2999" s="41">
        <v>7470916014.3900003</v>
      </c>
      <c r="I2999" s="42">
        <v>24665</v>
      </c>
    </row>
    <row r="3000" spans="1:9" x14ac:dyDescent="0.25">
      <c r="A3000" t="s">
        <v>9</v>
      </c>
      <c r="B3000" s="39">
        <v>45742</v>
      </c>
      <c r="C3000" s="40">
        <v>0.4375</v>
      </c>
      <c r="D3000" s="41">
        <v>6061.4059999999999</v>
      </c>
      <c r="E3000" s="41">
        <v>6072.51</v>
      </c>
      <c r="F3000" s="41">
        <v>6057.7039999999997</v>
      </c>
      <c r="G3000" s="41">
        <v>6064.05</v>
      </c>
      <c r="H3000" s="41">
        <v>3944894565.96</v>
      </c>
      <c r="I3000" s="42">
        <v>13010</v>
      </c>
    </row>
    <row r="3001" spans="1:9" x14ac:dyDescent="0.25">
      <c r="A3001" t="s">
        <v>9</v>
      </c>
      <c r="B3001" s="39">
        <v>45742</v>
      </c>
      <c r="C3001" s="40">
        <v>0.41666666666666669</v>
      </c>
      <c r="D3001" s="41">
        <v>6058.7619999999997</v>
      </c>
      <c r="E3001" s="41">
        <v>6068.28</v>
      </c>
      <c r="F3001" s="41">
        <v>6054.0029999999997</v>
      </c>
      <c r="G3001" s="41">
        <v>6060.8770000000004</v>
      </c>
      <c r="H3001" s="41">
        <v>9287716492.7199993</v>
      </c>
      <c r="I3001" s="42">
        <v>30645</v>
      </c>
    </row>
    <row r="3002" spans="1:9" x14ac:dyDescent="0.25">
      <c r="A3002" t="s">
        <v>9</v>
      </c>
      <c r="B3002" s="39">
        <v>45742</v>
      </c>
      <c r="C3002" s="40">
        <v>0.39583333333333331</v>
      </c>
      <c r="D3002" s="41">
        <v>6055.5889999999999</v>
      </c>
      <c r="E3002" s="41">
        <v>6063.5209999999997</v>
      </c>
      <c r="F3002" s="41">
        <v>6054.5320000000002</v>
      </c>
      <c r="G3002" s="41">
        <v>6059.2910000000002</v>
      </c>
      <c r="H3002" s="41">
        <v>8181270013.6700001</v>
      </c>
      <c r="I3002" s="42">
        <v>27010</v>
      </c>
    </row>
    <row r="3003" spans="1:9" x14ac:dyDescent="0.25">
      <c r="A3003" t="s">
        <v>9</v>
      </c>
      <c r="B3003" s="39">
        <v>45742</v>
      </c>
      <c r="C3003" s="40">
        <v>0.375</v>
      </c>
      <c r="D3003" s="41">
        <v>6034.4380000000001</v>
      </c>
      <c r="E3003" s="41">
        <v>6055.5889999999999</v>
      </c>
      <c r="F3003" s="41">
        <v>6027.0349999999999</v>
      </c>
      <c r="G3003" s="41">
        <v>6055.5889999999999</v>
      </c>
      <c r="H3003" s="41">
        <v>4029187393.9200001</v>
      </c>
      <c r="I3003" s="42">
        <v>13335</v>
      </c>
    </row>
    <row r="3004" spans="1:9" x14ac:dyDescent="0.25">
      <c r="A3004" t="s">
        <v>9</v>
      </c>
      <c r="B3004" s="39">
        <v>45741</v>
      </c>
      <c r="C3004" s="40">
        <v>0.75</v>
      </c>
      <c r="D3004" s="41">
        <v>6034.4380000000001</v>
      </c>
      <c r="E3004" s="41">
        <v>6038.6679999999997</v>
      </c>
      <c r="F3004" s="41">
        <v>6033.9089999999997</v>
      </c>
      <c r="G3004" s="41">
        <v>6035.4960000000001</v>
      </c>
      <c r="H3004" s="41">
        <v>487386487.79000002</v>
      </c>
      <c r="I3004" s="42">
        <v>1615</v>
      </c>
    </row>
    <row r="3005" spans="1:9" x14ac:dyDescent="0.25">
      <c r="A3005" t="s">
        <v>9</v>
      </c>
      <c r="B3005" s="39">
        <v>45741</v>
      </c>
      <c r="C3005" s="40">
        <v>0.72916666666666663</v>
      </c>
      <c r="D3005" s="41">
        <v>6042.37</v>
      </c>
      <c r="E3005" s="41">
        <v>6045.5420000000004</v>
      </c>
      <c r="F3005" s="41">
        <v>6033.9089999999997</v>
      </c>
      <c r="G3005" s="41">
        <v>6034.4380000000001</v>
      </c>
      <c r="H3005" s="41">
        <v>853234202.76999998</v>
      </c>
      <c r="I3005" s="42">
        <v>2825</v>
      </c>
    </row>
    <row r="3006" spans="1:9" x14ac:dyDescent="0.25">
      <c r="A3006" t="s">
        <v>9</v>
      </c>
      <c r="B3006" s="39">
        <v>45741</v>
      </c>
      <c r="C3006" s="40">
        <v>0.70833333333333337</v>
      </c>
      <c r="D3006" s="41">
        <v>6042.8980000000001</v>
      </c>
      <c r="E3006" s="41">
        <v>6047.6570000000002</v>
      </c>
      <c r="F3006" s="41">
        <v>6036.5529999999999</v>
      </c>
      <c r="G3006" s="41">
        <v>6042.37</v>
      </c>
      <c r="H3006" s="41">
        <v>2108631412.48</v>
      </c>
      <c r="I3006" s="42">
        <v>6980</v>
      </c>
    </row>
    <row r="3007" spans="1:9" x14ac:dyDescent="0.25">
      <c r="A3007" t="s">
        <v>9</v>
      </c>
      <c r="B3007" s="39">
        <v>45741</v>
      </c>
      <c r="C3007" s="40">
        <v>0.6875</v>
      </c>
      <c r="D3007" s="41">
        <v>6036.0240000000003</v>
      </c>
      <c r="E3007" s="41">
        <v>6045.0140000000001</v>
      </c>
      <c r="F3007" s="41">
        <v>6032.8519999999999</v>
      </c>
      <c r="G3007" s="41">
        <v>6042.8980000000001</v>
      </c>
      <c r="H3007" s="41">
        <v>3401518731.23</v>
      </c>
      <c r="I3007" s="42">
        <v>11270</v>
      </c>
    </row>
    <row r="3008" spans="1:9" x14ac:dyDescent="0.25">
      <c r="A3008" t="s">
        <v>9</v>
      </c>
      <c r="B3008" s="39">
        <v>45741</v>
      </c>
      <c r="C3008" s="40">
        <v>0.66666666666666663</v>
      </c>
      <c r="D3008" s="41">
        <v>6031.7939999999999</v>
      </c>
      <c r="E3008" s="41">
        <v>6038.1390000000001</v>
      </c>
      <c r="F3008" s="41">
        <v>6028.6210000000001</v>
      </c>
      <c r="G3008" s="41">
        <v>6036.0240000000003</v>
      </c>
      <c r="H3008" s="41">
        <v>2797971295.9499998</v>
      </c>
      <c r="I3008" s="42">
        <v>9275</v>
      </c>
    </row>
    <row r="3009" spans="1:9" x14ac:dyDescent="0.25">
      <c r="A3009" t="s">
        <v>9</v>
      </c>
      <c r="B3009" s="39">
        <v>45741</v>
      </c>
      <c r="C3009" s="40">
        <v>0.64583333333333337</v>
      </c>
      <c r="D3009" s="41">
        <v>6029.6790000000001</v>
      </c>
      <c r="E3009" s="41">
        <v>6031.7939999999999</v>
      </c>
      <c r="F3009" s="41">
        <v>6025.4489999999996</v>
      </c>
      <c r="G3009" s="41">
        <v>6031.7939999999999</v>
      </c>
      <c r="H3009" s="41">
        <v>8761398177.0799999</v>
      </c>
      <c r="I3009" s="42">
        <v>29065</v>
      </c>
    </row>
    <row r="3010" spans="1:9" x14ac:dyDescent="0.25">
      <c r="A3010" t="s">
        <v>9</v>
      </c>
      <c r="B3010" s="39">
        <v>45741</v>
      </c>
      <c r="C3010" s="40">
        <v>0.625</v>
      </c>
      <c r="D3010" s="41">
        <v>6029.15</v>
      </c>
      <c r="E3010" s="41">
        <v>6031.7939999999999</v>
      </c>
      <c r="F3010" s="41">
        <v>6018.0460000000003</v>
      </c>
      <c r="G3010" s="41">
        <v>6029.15</v>
      </c>
      <c r="H3010" s="41">
        <v>6830400904.75</v>
      </c>
      <c r="I3010" s="42">
        <v>22670</v>
      </c>
    </row>
    <row r="3011" spans="1:9" x14ac:dyDescent="0.25">
      <c r="A3011" t="s">
        <v>9</v>
      </c>
      <c r="B3011" s="39">
        <v>45741</v>
      </c>
      <c r="C3011" s="40">
        <v>0.60416666666666663</v>
      </c>
      <c r="D3011" s="41">
        <v>6035.4960000000001</v>
      </c>
      <c r="E3011" s="41">
        <v>6037.0820000000003</v>
      </c>
      <c r="F3011" s="41">
        <v>6024.92</v>
      </c>
      <c r="G3011" s="41">
        <v>6028.0929999999998</v>
      </c>
      <c r="H3011" s="41">
        <v>3443359378.1500001</v>
      </c>
      <c r="I3011" s="42">
        <v>11420</v>
      </c>
    </row>
    <row r="3012" spans="1:9" x14ac:dyDescent="0.25">
      <c r="A3012" t="s">
        <v>9</v>
      </c>
      <c r="B3012" s="39">
        <v>45741</v>
      </c>
      <c r="C3012" s="40">
        <v>0.58333333333333337</v>
      </c>
      <c r="D3012" s="41">
        <v>6034.4380000000001</v>
      </c>
      <c r="E3012" s="41">
        <v>6042.8980000000001</v>
      </c>
      <c r="F3012" s="41">
        <v>6029.6790000000001</v>
      </c>
      <c r="G3012" s="41">
        <v>6036.0240000000003</v>
      </c>
      <c r="H3012" s="41">
        <v>3263592932.4400001</v>
      </c>
      <c r="I3012" s="42">
        <v>10815</v>
      </c>
    </row>
    <row r="3013" spans="1:9" x14ac:dyDescent="0.25">
      <c r="A3013" t="s">
        <v>9</v>
      </c>
      <c r="B3013" s="39">
        <v>45741</v>
      </c>
      <c r="C3013" s="40">
        <v>0.5625</v>
      </c>
      <c r="D3013" s="41">
        <v>6022.8050000000003</v>
      </c>
      <c r="E3013" s="41">
        <v>6036.5529999999999</v>
      </c>
      <c r="F3013" s="41">
        <v>6021.7470000000003</v>
      </c>
      <c r="G3013" s="41">
        <v>6033.9089999999997</v>
      </c>
      <c r="H3013" s="41">
        <v>6668344624.9099998</v>
      </c>
      <c r="I3013" s="42">
        <v>22125</v>
      </c>
    </row>
    <row r="3014" spans="1:9" x14ac:dyDescent="0.25">
      <c r="A3014" t="s">
        <v>9</v>
      </c>
      <c r="B3014" s="39">
        <v>45741</v>
      </c>
      <c r="C3014" s="40">
        <v>0.54166666666666663</v>
      </c>
      <c r="D3014" s="41">
        <v>6019.1030000000001</v>
      </c>
      <c r="E3014" s="41">
        <v>6024.92</v>
      </c>
      <c r="F3014" s="41">
        <v>6016.4589999999998</v>
      </c>
      <c r="G3014" s="41">
        <v>6023.3339999999998</v>
      </c>
      <c r="H3014" s="41">
        <v>3641140170.4400001</v>
      </c>
      <c r="I3014" s="42">
        <v>12095</v>
      </c>
    </row>
    <row r="3015" spans="1:9" x14ac:dyDescent="0.25">
      <c r="A3015" t="s">
        <v>9</v>
      </c>
      <c r="B3015" s="39">
        <v>45741</v>
      </c>
      <c r="C3015" s="40">
        <v>0.52083333333333337</v>
      </c>
      <c r="D3015" s="41">
        <v>6019.6319999999996</v>
      </c>
      <c r="E3015" s="41">
        <v>6024.92</v>
      </c>
      <c r="F3015" s="41">
        <v>6017.5169999999998</v>
      </c>
      <c r="G3015" s="41">
        <v>6018.5749999999998</v>
      </c>
      <c r="H3015" s="41">
        <v>6628410626.6599998</v>
      </c>
      <c r="I3015" s="42">
        <v>22015</v>
      </c>
    </row>
    <row r="3016" spans="1:9" x14ac:dyDescent="0.25">
      <c r="A3016" t="s">
        <v>9</v>
      </c>
      <c r="B3016" s="39">
        <v>45741</v>
      </c>
      <c r="C3016" s="40">
        <v>0.5</v>
      </c>
      <c r="D3016" s="41">
        <v>6016.9880000000003</v>
      </c>
      <c r="E3016" s="41">
        <v>6021.2179999999998</v>
      </c>
      <c r="F3016" s="41">
        <v>6011.1719999999996</v>
      </c>
      <c r="G3016" s="41">
        <v>6019.1030000000001</v>
      </c>
      <c r="H3016" s="41">
        <v>6164021576.4700003</v>
      </c>
      <c r="I3016" s="42">
        <v>20490</v>
      </c>
    </row>
    <row r="3017" spans="1:9" x14ac:dyDescent="0.25">
      <c r="A3017" t="s">
        <v>9</v>
      </c>
      <c r="B3017" s="39">
        <v>45741</v>
      </c>
      <c r="C3017" s="40">
        <v>0.47916666666666669</v>
      </c>
      <c r="D3017" s="41">
        <v>6032.8519999999999</v>
      </c>
      <c r="E3017" s="41">
        <v>6037.6109999999999</v>
      </c>
      <c r="F3017" s="41">
        <v>6016.4589999999998</v>
      </c>
      <c r="G3017" s="41">
        <v>6016.4589999999998</v>
      </c>
      <c r="H3017" s="41">
        <v>5749892937.9399996</v>
      </c>
      <c r="I3017" s="42">
        <v>19090</v>
      </c>
    </row>
    <row r="3018" spans="1:9" x14ac:dyDescent="0.25">
      <c r="A3018" t="s">
        <v>9</v>
      </c>
      <c r="B3018" s="39">
        <v>45741</v>
      </c>
      <c r="C3018" s="40">
        <v>0.45833333333333331</v>
      </c>
      <c r="D3018" s="41">
        <v>6043.9560000000001</v>
      </c>
      <c r="E3018" s="41">
        <v>6048.1859999999997</v>
      </c>
      <c r="F3018" s="41">
        <v>6030.7359999999999</v>
      </c>
      <c r="G3018" s="41">
        <v>6032.8519999999999</v>
      </c>
      <c r="H3018" s="41">
        <v>6229514290.6800003</v>
      </c>
      <c r="I3018" s="42">
        <v>20625</v>
      </c>
    </row>
    <row r="3019" spans="1:9" x14ac:dyDescent="0.25">
      <c r="A3019" t="s">
        <v>9</v>
      </c>
      <c r="B3019" s="39">
        <v>45741</v>
      </c>
      <c r="C3019" s="40">
        <v>0.4375</v>
      </c>
      <c r="D3019" s="41">
        <v>6057.7039999999997</v>
      </c>
      <c r="E3019" s="41">
        <v>6058.7619999999997</v>
      </c>
      <c r="F3019" s="41">
        <v>6042.37</v>
      </c>
      <c r="G3019" s="41">
        <v>6043.4269999999997</v>
      </c>
      <c r="H3019" s="41">
        <v>5689081249.1300001</v>
      </c>
      <c r="I3019" s="42">
        <v>18810</v>
      </c>
    </row>
    <row r="3020" spans="1:9" x14ac:dyDescent="0.25">
      <c r="A3020" t="s">
        <v>9</v>
      </c>
      <c r="B3020" s="39">
        <v>45741</v>
      </c>
      <c r="C3020" s="40">
        <v>0.41666666666666669</v>
      </c>
      <c r="D3020" s="41">
        <v>6066.165</v>
      </c>
      <c r="E3020" s="41">
        <v>6072.51</v>
      </c>
      <c r="F3020" s="41">
        <v>6057.1750000000002</v>
      </c>
      <c r="G3020" s="41">
        <v>6057.7039999999997</v>
      </c>
      <c r="H3020" s="41">
        <v>11882875257.6</v>
      </c>
      <c r="I3020" s="42">
        <v>39185</v>
      </c>
    </row>
    <row r="3021" spans="1:9" x14ac:dyDescent="0.25">
      <c r="A3021" t="s">
        <v>9</v>
      </c>
      <c r="B3021" s="39">
        <v>45741</v>
      </c>
      <c r="C3021" s="40">
        <v>0.39583333333333331</v>
      </c>
      <c r="D3021" s="41">
        <v>6076.74</v>
      </c>
      <c r="E3021" s="41">
        <v>6082.0280000000002</v>
      </c>
      <c r="F3021" s="41">
        <v>6062.4629999999997</v>
      </c>
      <c r="G3021" s="41">
        <v>6066.165</v>
      </c>
      <c r="H3021" s="41">
        <v>10248643627.049999</v>
      </c>
      <c r="I3021" s="42">
        <v>33775</v>
      </c>
    </row>
    <row r="3022" spans="1:9" x14ac:dyDescent="0.25">
      <c r="A3022" t="s">
        <v>9</v>
      </c>
      <c r="B3022" s="39">
        <v>45741</v>
      </c>
      <c r="C3022" s="40">
        <v>0.375</v>
      </c>
      <c r="D3022" s="41">
        <v>6093.1329999999998</v>
      </c>
      <c r="E3022" s="41">
        <v>6093.1329999999998</v>
      </c>
      <c r="F3022" s="41">
        <v>6074.625</v>
      </c>
      <c r="G3022" s="41">
        <v>6076.74</v>
      </c>
      <c r="H3022" s="41">
        <v>4023935947.0300002</v>
      </c>
      <c r="I3022" s="42">
        <v>13230</v>
      </c>
    </row>
    <row r="3023" spans="1:9" x14ac:dyDescent="0.25">
      <c r="A3023" t="s">
        <v>9</v>
      </c>
      <c r="B3023" s="39">
        <v>45740</v>
      </c>
      <c r="C3023" s="40">
        <v>0.75</v>
      </c>
      <c r="D3023" s="41">
        <v>6105.8230000000003</v>
      </c>
      <c r="E3023" s="41">
        <v>6106.3519999999999</v>
      </c>
      <c r="F3023" s="41">
        <v>6100.5349999999999</v>
      </c>
      <c r="G3023" s="41">
        <v>6101.0640000000003</v>
      </c>
      <c r="H3023" s="41">
        <v>466913974.94</v>
      </c>
      <c r="I3023" s="42">
        <v>1530</v>
      </c>
    </row>
    <row r="3024" spans="1:9" x14ac:dyDescent="0.25">
      <c r="A3024" t="s">
        <v>9</v>
      </c>
      <c r="B3024" s="39">
        <v>45740</v>
      </c>
      <c r="C3024" s="40">
        <v>0.72916666666666663</v>
      </c>
      <c r="D3024" s="41">
        <v>6101.5929999999998</v>
      </c>
      <c r="E3024" s="41">
        <v>6106.8810000000003</v>
      </c>
      <c r="F3024" s="41">
        <v>6100.0069999999996</v>
      </c>
      <c r="G3024" s="41">
        <v>6105.8230000000003</v>
      </c>
      <c r="H3024" s="41">
        <v>1127703172.71</v>
      </c>
      <c r="I3024" s="42">
        <v>3695</v>
      </c>
    </row>
    <row r="3025" spans="1:9" x14ac:dyDescent="0.25">
      <c r="A3025" t="s">
        <v>9</v>
      </c>
      <c r="B3025" s="39">
        <v>45740</v>
      </c>
      <c r="C3025" s="40">
        <v>0.70833333333333337</v>
      </c>
      <c r="D3025" s="41">
        <v>6092.0749999999998</v>
      </c>
      <c r="E3025" s="41">
        <v>6103.7079999999996</v>
      </c>
      <c r="F3025" s="41">
        <v>6091.5460000000003</v>
      </c>
      <c r="G3025" s="41">
        <v>6101.5929999999998</v>
      </c>
      <c r="H3025" s="41">
        <v>2480496247.8499999</v>
      </c>
      <c r="I3025" s="42">
        <v>8135</v>
      </c>
    </row>
    <row r="3026" spans="1:9" x14ac:dyDescent="0.25">
      <c r="A3026" t="s">
        <v>9</v>
      </c>
      <c r="B3026" s="39">
        <v>45740</v>
      </c>
      <c r="C3026" s="40">
        <v>0.6875</v>
      </c>
      <c r="D3026" s="41">
        <v>6092.0749999999998</v>
      </c>
      <c r="E3026" s="41">
        <v>6096.3050000000003</v>
      </c>
      <c r="F3026" s="41">
        <v>6090.4889999999996</v>
      </c>
      <c r="G3026" s="41">
        <v>6091.5460000000003</v>
      </c>
      <c r="H3026" s="41">
        <v>1108924606.76</v>
      </c>
      <c r="I3026" s="42">
        <v>3640</v>
      </c>
    </row>
    <row r="3027" spans="1:9" x14ac:dyDescent="0.25">
      <c r="A3027" t="s">
        <v>9</v>
      </c>
      <c r="B3027" s="39">
        <v>45740</v>
      </c>
      <c r="C3027" s="40">
        <v>0.66666666666666663</v>
      </c>
      <c r="D3027" s="41">
        <v>6092.6040000000003</v>
      </c>
      <c r="E3027" s="41">
        <v>6096.3050000000003</v>
      </c>
      <c r="F3027" s="41">
        <v>6090.4889999999996</v>
      </c>
      <c r="G3027" s="41">
        <v>6091.5460000000003</v>
      </c>
      <c r="H3027" s="41">
        <v>1989425485.0599999</v>
      </c>
      <c r="I3027" s="42">
        <v>6530</v>
      </c>
    </row>
    <row r="3028" spans="1:9" x14ac:dyDescent="0.25">
      <c r="A3028" t="s">
        <v>9</v>
      </c>
      <c r="B3028" s="39">
        <v>45740</v>
      </c>
      <c r="C3028" s="40">
        <v>0.64583333333333337</v>
      </c>
      <c r="D3028" s="41">
        <v>6097.8919999999998</v>
      </c>
      <c r="E3028" s="41">
        <v>6102.1220000000003</v>
      </c>
      <c r="F3028" s="41">
        <v>6089.96</v>
      </c>
      <c r="G3028" s="41">
        <v>6092.0749999999998</v>
      </c>
      <c r="H3028" s="41">
        <v>5545908894.6700001</v>
      </c>
      <c r="I3028" s="42">
        <v>18200</v>
      </c>
    </row>
    <row r="3029" spans="1:9" x14ac:dyDescent="0.25">
      <c r="A3029" t="s">
        <v>9</v>
      </c>
      <c r="B3029" s="39">
        <v>45740</v>
      </c>
      <c r="C3029" s="40">
        <v>0.625</v>
      </c>
      <c r="D3029" s="41">
        <v>6088.902</v>
      </c>
      <c r="E3029" s="41">
        <v>6100.0069999999996</v>
      </c>
      <c r="F3029" s="41">
        <v>6086.7870000000003</v>
      </c>
      <c r="G3029" s="41">
        <v>6097.8919999999998</v>
      </c>
      <c r="H3029" s="41">
        <v>4062610787.7800002</v>
      </c>
      <c r="I3029" s="42">
        <v>13330</v>
      </c>
    </row>
    <row r="3030" spans="1:9" x14ac:dyDescent="0.25">
      <c r="A3030" t="s">
        <v>9</v>
      </c>
      <c r="B3030" s="39">
        <v>45740</v>
      </c>
      <c r="C3030" s="40">
        <v>0.60416666666666663</v>
      </c>
      <c r="D3030" s="41">
        <v>6079.384</v>
      </c>
      <c r="E3030" s="41">
        <v>6089.96</v>
      </c>
      <c r="F3030" s="41">
        <v>6079.384</v>
      </c>
      <c r="G3030" s="41">
        <v>6088.3739999999998</v>
      </c>
      <c r="H3030" s="41">
        <v>3743207014.4499998</v>
      </c>
      <c r="I3030" s="42">
        <v>12300</v>
      </c>
    </row>
    <row r="3031" spans="1:9" x14ac:dyDescent="0.25">
      <c r="A3031" t="s">
        <v>9</v>
      </c>
      <c r="B3031" s="39">
        <v>45740</v>
      </c>
      <c r="C3031" s="40">
        <v>0.58333333333333337</v>
      </c>
      <c r="D3031" s="41">
        <v>6069.866</v>
      </c>
      <c r="E3031" s="41">
        <v>6082.0280000000002</v>
      </c>
      <c r="F3031" s="41">
        <v>6066.165</v>
      </c>
      <c r="G3031" s="41">
        <v>6079.9129999999996</v>
      </c>
      <c r="H3031" s="41">
        <v>3349722081.3200002</v>
      </c>
      <c r="I3031" s="42">
        <v>11035</v>
      </c>
    </row>
    <row r="3032" spans="1:9" x14ac:dyDescent="0.25">
      <c r="A3032" t="s">
        <v>9</v>
      </c>
      <c r="B3032" s="39">
        <v>45740</v>
      </c>
      <c r="C3032" s="40">
        <v>0.5625</v>
      </c>
      <c r="D3032" s="41">
        <v>6073.0389999999998</v>
      </c>
      <c r="E3032" s="41">
        <v>6075.1540000000005</v>
      </c>
      <c r="F3032" s="41">
        <v>6067.2219999999998</v>
      </c>
      <c r="G3032" s="41">
        <v>6069.3370000000004</v>
      </c>
      <c r="H3032" s="41">
        <v>1305197582.73</v>
      </c>
      <c r="I3032" s="42">
        <v>4300</v>
      </c>
    </row>
    <row r="3033" spans="1:9" x14ac:dyDescent="0.25">
      <c r="A3033" t="s">
        <v>9</v>
      </c>
      <c r="B3033" s="39">
        <v>45740</v>
      </c>
      <c r="C3033" s="40">
        <v>0.54166666666666663</v>
      </c>
      <c r="D3033" s="41">
        <v>6069.3370000000004</v>
      </c>
      <c r="E3033" s="41">
        <v>6073.5680000000002</v>
      </c>
      <c r="F3033" s="41">
        <v>6064.05</v>
      </c>
      <c r="G3033" s="41">
        <v>6073.5680000000002</v>
      </c>
      <c r="H3033" s="41">
        <v>1904191560.8</v>
      </c>
      <c r="I3033" s="42">
        <v>6275</v>
      </c>
    </row>
    <row r="3034" spans="1:9" x14ac:dyDescent="0.25">
      <c r="A3034" t="s">
        <v>9</v>
      </c>
      <c r="B3034" s="39">
        <v>45740</v>
      </c>
      <c r="C3034" s="40">
        <v>0.52083333333333337</v>
      </c>
      <c r="D3034" s="41">
        <v>6073.0389999999998</v>
      </c>
      <c r="E3034" s="41">
        <v>6074.625</v>
      </c>
      <c r="F3034" s="41">
        <v>6067.7510000000002</v>
      </c>
      <c r="G3034" s="41">
        <v>6068.8090000000002</v>
      </c>
      <c r="H3034" s="41">
        <v>1373681473.5</v>
      </c>
      <c r="I3034" s="42">
        <v>4525</v>
      </c>
    </row>
    <row r="3035" spans="1:9" x14ac:dyDescent="0.25">
      <c r="A3035" t="s">
        <v>9</v>
      </c>
      <c r="B3035" s="39">
        <v>45740</v>
      </c>
      <c r="C3035" s="40">
        <v>0.5</v>
      </c>
      <c r="D3035" s="41">
        <v>6079.9129999999996</v>
      </c>
      <c r="E3035" s="41">
        <v>6082.0280000000002</v>
      </c>
      <c r="F3035" s="41">
        <v>6067.7510000000002</v>
      </c>
      <c r="G3035" s="41">
        <v>6071.9809999999998</v>
      </c>
      <c r="H3035" s="41">
        <v>4893506677.29</v>
      </c>
      <c r="I3035" s="42">
        <v>16115</v>
      </c>
    </row>
    <row r="3036" spans="1:9" x14ac:dyDescent="0.25">
      <c r="A3036" t="s">
        <v>9</v>
      </c>
      <c r="B3036" s="39">
        <v>45740</v>
      </c>
      <c r="C3036" s="40">
        <v>0.47916666666666669</v>
      </c>
      <c r="D3036" s="41">
        <v>6069.3370000000004</v>
      </c>
      <c r="E3036" s="41">
        <v>6084.143</v>
      </c>
      <c r="F3036" s="41">
        <v>6068.8090000000002</v>
      </c>
      <c r="G3036" s="41">
        <v>6079.9129999999996</v>
      </c>
      <c r="H3036" s="41">
        <v>3230416875.4400001</v>
      </c>
      <c r="I3036" s="42">
        <v>10630</v>
      </c>
    </row>
    <row r="3037" spans="1:9" x14ac:dyDescent="0.25">
      <c r="A3037" t="s">
        <v>9</v>
      </c>
      <c r="B3037" s="39">
        <v>45740</v>
      </c>
      <c r="C3037" s="40">
        <v>0.45833333333333331</v>
      </c>
      <c r="D3037" s="41">
        <v>6075.683</v>
      </c>
      <c r="E3037" s="41">
        <v>6080.442</v>
      </c>
      <c r="F3037" s="41">
        <v>6063.5209999999997</v>
      </c>
      <c r="G3037" s="41">
        <v>6069.866</v>
      </c>
      <c r="H3037" s="41">
        <v>5158134521.6999998</v>
      </c>
      <c r="I3037" s="42">
        <v>16990</v>
      </c>
    </row>
    <row r="3038" spans="1:9" x14ac:dyDescent="0.25">
      <c r="A3038" t="s">
        <v>9</v>
      </c>
      <c r="B3038" s="39">
        <v>45740</v>
      </c>
      <c r="C3038" s="40">
        <v>0.4375</v>
      </c>
      <c r="D3038" s="41">
        <v>6075.1540000000005</v>
      </c>
      <c r="E3038" s="41">
        <v>6076.74</v>
      </c>
      <c r="F3038" s="41">
        <v>6060.8770000000004</v>
      </c>
      <c r="G3038" s="41">
        <v>6076.74</v>
      </c>
      <c r="H3038" s="41">
        <v>5057453213.6199999</v>
      </c>
      <c r="I3038" s="42">
        <v>16665</v>
      </c>
    </row>
    <row r="3039" spans="1:9" x14ac:dyDescent="0.25">
      <c r="A3039" t="s">
        <v>9</v>
      </c>
      <c r="B3039" s="39">
        <v>45740</v>
      </c>
      <c r="C3039" s="40">
        <v>0.41666666666666669</v>
      </c>
      <c r="D3039" s="41">
        <v>6096.8339999999998</v>
      </c>
      <c r="E3039" s="41">
        <v>6102.1220000000003</v>
      </c>
      <c r="F3039" s="41">
        <v>6075.683</v>
      </c>
      <c r="G3039" s="41">
        <v>6075.683</v>
      </c>
      <c r="H3039" s="41">
        <v>4949539384.1899996</v>
      </c>
      <c r="I3039" s="42">
        <v>16250</v>
      </c>
    </row>
    <row r="3040" spans="1:9" x14ac:dyDescent="0.25">
      <c r="A3040" t="s">
        <v>9</v>
      </c>
      <c r="B3040" s="39">
        <v>45740</v>
      </c>
      <c r="C3040" s="40">
        <v>0.39583333333333331</v>
      </c>
      <c r="D3040" s="41">
        <v>6062.4629999999997</v>
      </c>
      <c r="E3040" s="41">
        <v>6113.7550000000001</v>
      </c>
      <c r="F3040" s="41">
        <v>6061.4059999999999</v>
      </c>
      <c r="G3040" s="41">
        <v>6097.3630000000003</v>
      </c>
      <c r="H3040" s="41">
        <v>11208047081.66</v>
      </c>
      <c r="I3040" s="42">
        <v>36790</v>
      </c>
    </row>
    <row r="3041" spans="1:9" x14ac:dyDescent="0.25">
      <c r="A3041" t="s">
        <v>9</v>
      </c>
      <c r="B3041" s="39">
        <v>45740</v>
      </c>
      <c r="C3041" s="40">
        <v>0.375</v>
      </c>
      <c r="D3041" s="41">
        <v>6051.8879999999999</v>
      </c>
      <c r="E3041" s="41">
        <v>6064.05</v>
      </c>
      <c r="F3041" s="41">
        <v>6040.2550000000001</v>
      </c>
      <c r="G3041" s="41">
        <v>6061.9350000000004</v>
      </c>
      <c r="H3041" s="41">
        <v>3642165078.3699999</v>
      </c>
      <c r="I3041" s="42">
        <v>12035</v>
      </c>
    </row>
    <row r="3042" spans="1:9" x14ac:dyDescent="0.25">
      <c r="A3042" t="s">
        <v>9</v>
      </c>
      <c r="B3042" s="39">
        <v>45737</v>
      </c>
      <c r="C3042" s="40">
        <v>0.75</v>
      </c>
      <c r="D3042" s="41">
        <v>6070.3950000000004</v>
      </c>
      <c r="E3042" s="41">
        <v>6077.7979999999998</v>
      </c>
      <c r="F3042" s="41">
        <v>6063.5209999999997</v>
      </c>
      <c r="G3042" s="41">
        <v>6063.5209999999997</v>
      </c>
      <c r="H3042" s="41">
        <v>979234160.67999995</v>
      </c>
      <c r="I3042" s="42">
        <v>3225</v>
      </c>
    </row>
    <row r="3043" spans="1:9" x14ac:dyDescent="0.25">
      <c r="A3043" t="s">
        <v>9</v>
      </c>
      <c r="B3043" s="39">
        <v>45737</v>
      </c>
      <c r="C3043" s="40">
        <v>0.72916666666666663</v>
      </c>
      <c r="D3043" s="41">
        <v>6067.7510000000002</v>
      </c>
      <c r="E3043" s="41">
        <v>6073.0389999999998</v>
      </c>
      <c r="F3043" s="41">
        <v>6067.2219999999998</v>
      </c>
      <c r="G3043" s="41">
        <v>6069.866</v>
      </c>
      <c r="H3043" s="41">
        <v>1285230980.2</v>
      </c>
      <c r="I3043" s="42">
        <v>4235</v>
      </c>
    </row>
    <row r="3044" spans="1:9" x14ac:dyDescent="0.25">
      <c r="A3044" t="s">
        <v>9</v>
      </c>
      <c r="B3044" s="39">
        <v>45737</v>
      </c>
      <c r="C3044" s="40">
        <v>0.70833333333333337</v>
      </c>
      <c r="D3044" s="41">
        <v>6056.1180000000004</v>
      </c>
      <c r="E3044" s="41">
        <v>6069.866</v>
      </c>
      <c r="F3044" s="41">
        <v>6055.06</v>
      </c>
      <c r="G3044" s="41">
        <v>6067.7510000000002</v>
      </c>
      <c r="H3044" s="41">
        <v>2506056814.5500002</v>
      </c>
      <c r="I3044" s="42">
        <v>8265</v>
      </c>
    </row>
    <row r="3045" spans="1:9" x14ac:dyDescent="0.25">
      <c r="A3045" t="s">
        <v>9</v>
      </c>
      <c r="B3045" s="39">
        <v>45737</v>
      </c>
      <c r="C3045" s="40">
        <v>0.6875</v>
      </c>
      <c r="D3045" s="41">
        <v>6057.1750000000002</v>
      </c>
      <c r="E3045" s="41">
        <v>6059.2910000000002</v>
      </c>
      <c r="F3045" s="41">
        <v>6053.4740000000002</v>
      </c>
      <c r="G3045" s="41">
        <v>6056.1180000000004</v>
      </c>
      <c r="H3045" s="41">
        <v>1833635645.4100001</v>
      </c>
      <c r="I3045" s="42">
        <v>6055</v>
      </c>
    </row>
    <row r="3046" spans="1:9" x14ac:dyDescent="0.25">
      <c r="A3046" t="s">
        <v>9</v>
      </c>
      <c r="B3046" s="39">
        <v>45737</v>
      </c>
      <c r="C3046" s="40">
        <v>0.66666666666666663</v>
      </c>
      <c r="D3046" s="41">
        <v>6061.9350000000004</v>
      </c>
      <c r="E3046" s="41">
        <v>6062.9920000000002</v>
      </c>
      <c r="F3046" s="41">
        <v>6055.5889999999999</v>
      </c>
      <c r="G3046" s="41">
        <v>6056.6469999999999</v>
      </c>
      <c r="H3046" s="41">
        <v>2590998587.8299999</v>
      </c>
      <c r="I3046" s="42">
        <v>8555</v>
      </c>
    </row>
    <row r="3047" spans="1:9" x14ac:dyDescent="0.25">
      <c r="A3047" t="s">
        <v>9</v>
      </c>
      <c r="B3047" s="39">
        <v>45737</v>
      </c>
      <c r="C3047" s="40">
        <v>0.64583333333333337</v>
      </c>
      <c r="D3047" s="41">
        <v>6057.1750000000002</v>
      </c>
      <c r="E3047" s="41">
        <v>6062.9920000000002</v>
      </c>
      <c r="F3047" s="41">
        <v>6052.9449999999997</v>
      </c>
      <c r="G3047" s="41">
        <v>6061.9350000000004</v>
      </c>
      <c r="H3047" s="41">
        <v>4511174112.0200005</v>
      </c>
      <c r="I3047" s="42">
        <v>14895</v>
      </c>
    </row>
    <row r="3048" spans="1:9" x14ac:dyDescent="0.25">
      <c r="A3048" t="s">
        <v>9</v>
      </c>
      <c r="B3048" s="39">
        <v>45737</v>
      </c>
      <c r="C3048" s="40">
        <v>0.625</v>
      </c>
      <c r="D3048" s="41">
        <v>6055.5889999999999</v>
      </c>
      <c r="E3048" s="41">
        <v>6061.9350000000004</v>
      </c>
      <c r="F3048" s="41">
        <v>6054.0029999999997</v>
      </c>
      <c r="G3048" s="41">
        <v>6057.1750000000002</v>
      </c>
      <c r="H3048" s="41">
        <v>2273585274.8099999</v>
      </c>
      <c r="I3048" s="42">
        <v>7505</v>
      </c>
    </row>
    <row r="3049" spans="1:9" x14ac:dyDescent="0.25">
      <c r="A3049" t="s">
        <v>9</v>
      </c>
      <c r="B3049" s="39">
        <v>45737</v>
      </c>
      <c r="C3049" s="40">
        <v>0.60416666666666663</v>
      </c>
      <c r="D3049" s="41">
        <v>6052.9449999999997</v>
      </c>
      <c r="E3049" s="41">
        <v>6060.8770000000004</v>
      </c>
      <c r="F3049" s="41">
        <v>6052.4160000000002</v>
      </c>
      <c r="G3049" s="41">
        <v>6055.06</v>
      </c>
      <c r="H3049" s="41">
        <v>2796763826.6999998</v>
      </c>
      <c r="I3049" s="42">
        <v>9235</v>
      </c>
    </row>
    <row r="3050" spans="1:9" x14ac:dyDescent="0.25">
      <c r="A3050" t="s">
        <v>9</v>
      </c>
      <c r="B3050" s="39">
        <v>45737</v>
      </c>
      <c r="C3050" s="40">
        <v>0.58333333333333337</v>
      </c>
      <c r="D3050" s="41">
        <v>6047.1289999999999</v>
      </c>
      <c r="E3050" s="41">
        <v>6054.5320000000002</v>
      </c>
      <c r="F3050" s="41">
        <v>6043.4269999999997</v>
      </c>
      <c r="G3050" s="41">
        <v>6052.9449999999997</v>
      </c>
      <c r="H3050" s="41">
        <v>3158805779.4499998</v>
      </c>
      <c r="I3050" s="42">
        <v>10445</v>
      </c>
    </row>
    <row r="3051" spans="1:9" x14ac:dyDescent="0.25">
      <c r="A3051" t="s">
        <v>9</v>
      </c>
      <c r="B3051" s="39">
        <v>45737</v>
      </c>
      <c r="C3051" s="40">
        <v>0.5625</v>
      </c>
      <c r="D3051" s="41">
        <v>6062.9920000000002</v>
      </c>
      <c r="E3051" s="41">
        <v>6062.9920000000002</v>
      </c>
      <c r="F3051" s="41">
        <v>6047.1289999999999</v>
      </c>
      <c r="G3051" s="41">
        <v>6047.1289999999999</v>
      </c>
      <c r="H3051" s="41">
        <v>2668598911.0700002</v>
      </c>
      <c r="I3051" s="42">
        <v>8815</v>
      </c>
    </row>
    <row r="3052" spans="1:9" x14ac:dyDescent="0.25">
      <c r="A3052" t="s">
        <v>9</v>
      </c>
      <c r="B3052" s="39">
        <v>45737</v>
      </c>
      <c r="C3052" s="40">
        <v>0.54166666666666663</v>
      </c>
      <c r="D3052" s="41">
        <v>6065.6360000000004</v>
      </c>
      <c r="E3052" s="41">
        <v>6066.165</v>
      </c>
      <c r="F3052" s="41">
        <v>6057.7039999999997</v>
      </c>
      <c r="G3052" s="41">
        <v>6062.4629999999997</v>
      </c>
      <c r="H3052" s="41">
        <v>3384736045.5799999</v>
      </c>
      <c r="I3052" s="42">
        <v>11165</v>
      </c>
    </row>
    <row r="3053" spans="1:9" x14ac:dyDescent="0.25">
      <c r="A3053" t="s">
        <v>9</v>
      </c>
      <c r="B3053" s="39">
        <v>45737</v>
      </c>
      <c r="C3053" s="40">
        <v>0.52083333333333337</v>
      </c>
      <c r="D3053" s="41">
        <v>6069.866</v>
      </c>
      <c r="E3053" s="41">
        <v>6070.924</v>
      </c>
      <c r="F3053" s="41">
        <v>6062.9920000000002</v>
      </c>
      <c r="G3053" s="41">
        <v>6065.6360000000004</v>
      </c>
      <c r="H3053" s="41">
        <v>5455277448.0500002</v>
      </c>
      <c r="I3053" s="42">
        <v>17985</v>
      </c>
    </row>
    <row r="3054" spans="1:9" x14ac:dyDescent="0.25">
      <c r="A3054" t="s">
        <v>9</v>
      </c>
      <c r="B3054" s="39">
        <v>45737</v>
      </c>
      <c r="C3054" s="40">
        <v>0.5</v>
      </c>
      <c r="D3054" s="41">
        <v>6072.51</v>
      </c>
      <c r="E3054" s="41">
        <v>6075.683</v>
      </c>
      <c r="F3054" s="41">
        <v>6068.28</v>
      </c>
      <c r="G3054" s="41">
        <v>6068.8090000000002</v>
      </c>
      <c r="H3054" s="41">
        <v>3163430886.3699999</v>
      </c>
      <c r="I3054" s="42">
        <v>10420</v>
      </c>
    </row>
    <row r="3055" spans="1:9" x14ac:dyDescent="0.25">
      <c r="A3055" t="s">
        <v>9</v>
      </c>
      <c r="B3055" s="39">
        <v>45737</v>
      </c>
      <c r="C3055" s="40">
        <v>0.47916666666666669</v>
      </c>
      <c r="D3055" s="41">
        <v>6064.5780000000004</v>
      </c>
      <c r="E3055" s="41">
        <v>6073.0389999999998</v>
      </c>
      <c r="F3055" s="41">
        <v>6062.4629999999997</v>
      </c>
      <c r="G3055" s="41">
        <v>6071.9809999999998</v>
      </c>
      <c r="H3055" s="41">
        <v>2998537304.9699998</v>
      </c>
      <c r="I3055" s="42">
        <v>9885</v>
      </c>
    </row>
    <row r="3056" spans="1:9" x14ac:dyDescent="0.25">
      <c r="A3056" t="s">
        <v>9</v>
      </c>
      <c r="B3056" s="39">
        <v>45737</v>
      </c>
      <c r="C3056" s="40">
        <v>0.45833333333333331</v>
      </c>
      <c r="D3056" s="41">
        <v>6066.6940000000004</v>
      </c>
      <c r="E3056" s="41">
        <v>6073.5680000000002</v>
      </c>
      <c r="F3056" s="41">
        <v>6064.05</v>
      </c>
      <c r="G3056" s="41">
        <v>6065.107</v>
      </c>
      <c r="H3056" s="41">
        <v>4135498491.0100002</v>
      </c>
      <c r="I3056" s="42">
        <v>13630</v>
      </c>
    </row>
    <row r="3057" spans="1:9" x14ac:dyDescent="0.25">
      <c r="A3057" t="s">
        <v>9</v>
      </c>
      <c r="B3057" s="39">
        <v>45737</v>
      </c>
      <c r="C3057" s="40">
        <v>0.4375</v>
      </c>
      <c r="D3057" s="41">
        <v>6066.6940000000004</v>
      </c>
      <c r="E3057" s="41">
        <v>6071.4530000000004</v>
      </c>
      <c r="F3057" s="41">
        <v>6060.348</v>
      </c>
      <c r="G3057" s="41">
        <v>6066.6940000000004</v>
      </c>
      <c r="H3057" s="41">
        <v>4852514061.3800001</v>
      </c>
      <c r="I3057" s="42">
        <v>16000</v>
      </c>
    </row>
    <row r="3058" spans="1:9" x14ac:dyDescent="0.25">
      <c r="A3058" t="s">
        <v>9</v>
      </c>
      <c r="B3058" s="39">
        <v>45737</v>
      </c>
      <c r="C3058" s="40">
        <v>0.41666666666666669</v>
      </c>
      <c r="D3058" s="41">
        <v>6059.2910000000002</v>
      </c>
      <c r="E3058" s="41">
        <v>6068.28</v>
      </c>
      <c r="F3058" s="41">
        <v>6054.0029999999997</v>
      </c>
      <c r="G3058" s="41">
        <v>6067.7510000000002</v>
      </c>
      <c r="H3058" s="41">
        <v>5119904120.5900002</v>
      </c>
      <c r="I3058" s="42">
        <v>16890</v>
      </c>
    </row>
    <row r="3059" spans="1:9" x14ac:dyDescent="0.25">
      <c r="A3059" t="s">
        <v>9</v>
      </c>
      <c r="B3059" s="39">
        <v>45737</v>
      </c>
      <c r="C3059" s="40">
        <v>0.39583333333333331</v>
      </c>
      <c r="D3059" s="41">
        <v>6053.4740000000002</v>
      </c>
      <c r="E3059" s="41">
        <v>6062.4629999999997</v>
      </c>
      <c r="F3059" s="41">
        <v>6042.37</v>
      </c>
      <c r="G3059" s="41">
        <v>6059.2910000000002</v>
      </c>
      <c r="H3059" s="41">
        <v>6344063648.7700005</v>
      </c>
      <c r="I3059" s="42">
        <v>20965</v>
      </c>
    </row>
    <row r="3060" spans="1:9" x14ac:dyDescent="0.25">
      <c r="A3060" t="s">
        <v>9</v>
      </c>
      <c r="B3060" s="39">
        <v>45737</v>
      </c>
      <c r="C3060" s="40">
        <v>0.375</v>
      </c>
      <c r="D3060" s="41">
        <v>6028.0929999999998</v>
      </c>
      <c r="E3060" s="41">
        <v>6053.4740000000002</v>
      </c>
      <c r="F3060" s="41">
        <v>6020.1610000000001</v>
      </c>
      <c r="G3060" s="41">
        <v>6053.4740000000002</v>
      </c>
      <c r="H3060" s="41">
        <v>4425546643.21</v>
      </c>
      <c r="I3060" s="42">
        <v>14660</v>
      </c>
    </row>
    <row r="3061" spans="1:9" x14ac:dyDescent="0.25">
      <c r="A3061" t="s">
        <v>9</v>
      </c>
      <c r="B3061" s="39">
        <v>45736</v>
      </c>
      <c r="C3061" s="40">
        <v>0.75</v>
      </c>
      <c r="D3061" s="41">
        <v>6021.7470000000003</v>
      </c>
      <c r="E3061" s="41">
        <v>6022.8050000000003</v>
      </c>
      <c r="F3061" s="41">
        <v>6015.402</v>
      </c>
      <c r="G3061" s="41">
        <v>6015.9309999999996</v>
      </c>
      <c r="H3061" s="41">
        <v>468020050.61000001</v>
      </c>
      <c r="I3061" s="42">
        <v>1555</v>
      </c>
    </row>
    <row r="3062" spans="1:9" x14ac:dyDescent="0.25">
      <c r="A3062" t="s">
        <v>9</v>
      </c>
      <c r="B3062" s="39">
        <v>45736</v>
      </c>
      <c r="C3062" s="40">
        <v>0.72916666666666663</v>
      </c>
      <c r="D3062" s="41">
        <v>6013.2870000000003</v>
      </c>
      <c r="E3062" s="41">
        <v>6021.7470000000003</v>
      </c>
      <c r="F3062" s="41">
        <v>6010.643</v>
      </c>
      <c r="G3062" s="41">
        <v>6021.2179999999998</v>
      </c>
      <c r="H3062" s="41">
        <v>1538888224.8900001</v>
      </c>
      <c r="I3062" s="42">
        <v>5115</v>
      </c>
    </row>
    <row r="3063" spans="1:9" x14ac:dyDescent="0.25">
      <c r="A3063" t="s">
        <v>9</v>
      </c>
      <c r="B3063" s="39">
        <v>45736</v>
      </c>
      <c r="C3063" s="40">
        <v>0.70833333333333337</v>
      </c>
      <c r="D3063" s="41">
        <v>6016.4589999999998</v>
      </c>
      <c r="E3063" s="41">
        <v>6018.0460000000003</v>
      </c>
      <c r="F3063" s="41">
        <v>6007.9989999999998</v>
      </c>
      <c r="G3063" s="41">
        <v>6013.2870000000003</v>
      </c>
      <c r="H3063" s="41">
        <v>1712104143.3199999</v>
      </c>
      <c r="I3063" s="42">
        <v>5695</v>
      </c>
    </row>
    <row r="3064" spans="1:9" x14ac:dyDescent="0.25">
      <c r="A3064" t="s">
        <v>9</v>
      </c>
      <c r="B3064" s="39">
        <v>45736</v>
      </c>
      <c r="C3064" s="40">
        <v>0.6875</v>
      </c>
      <c r="D3064" s="41">
        <v>6008.5280000000002</v>
      </c>
      <c r="E3064" s="41">
        <v>6018.0460000000003</v>
      </c>
      <c r="F3064" s="41">
        <v>6003.24</v>
      </c>
      <c r="G3064" s="41">
        <v>6016.9880000000003</v>
      </c>
      <c r="H3064" s="41">
        <v>2752590730.98</v>
      </c>
      <c r="I3064" s="42">
        <v>9160</v>
      </c>
    </row>
    <row r="3065" spans="1:9" x14ac:dyDescent="0.25">
      <c r="A3065" t="s">
        <v>9</v>
      </c>
      <c r="B3065" s="39">
        <v>45736</v>
      </c>
      <c r="C3065" s="40">
        <v>0.66666666666666663</v>
      </c>
      <c r="D3065" s="41">
        <v>6012.7579999999998</v>
      </c>
      <c r="E3065" s="41">
        <v>6013.8159999999998</v>
      </c>
      <c r="F3065" s="41">
        <v>6005.884</v>
      </c>
      <c r="G3065" s="41">
        <v>6008.5280000000002</v>
      </c>
      <c r="H3065" s="41">
        <v>2749445415.04</v>
      </c>
      <c r="I3065" s="42">
        <v>9150</v>
      </c>
    </row>
    <row r="3066" spans="1:9" x14ac:dyDescent="0.25">
      <c r="A3066" t="s">
        <v>9</v>
      </c>
      <c r="B3066" s="39">
        <v>45736</v>
      </c>
      <c r="C3066" s="40">
        <v>0.64583333333333337</v>
      </c>
      <c r="D3066" s="41">
        <v>6000.5959999999995</v>
      </c>
      <c r="E3066" s="41">
        <v>6014.8729999999996</v>
      </c>
      <c r="F3066" s="41">
        <v>5999.5379999999996</v>
      </c>
      <c r="G3066" s="41">
        <v>6012.2290000000003</v>
      </c>
      <c r="H3066" s="41">
        <v>4106087215.7800002</v>
      </c>
      <c r="I3066" s="42">
        <v>13675</v>
      </c>
    </row>
    <row r="3067" spans="1:9" x14ac:dyDescent="0.25">
      <c r="A3067" t="s">
        <v>9</v>
      </c>
      <c r="B3067" s="39">
        <v>45736</v>
      </c>
      <c r="C3067" s="40">
        <v>0.625</v>
      </c>
      <c r="D3067" s="41">
        <v>6003.24</v>
      </c>
      <c r="E3067" s="41">
        <v>6008.5280000000002</v>
      </c>
      <c r="F3067" s="41">
        <v>5993.1930000000002</v>
      </c>
      <c r="G3067" s="41">
        <v>6000.5959999999995</v>
      </c>
      <c r="H3067" s="41">
        <v>3108792308.0700002</v>
      </c>
      <c r="I3067" s="42">
        <v>10365</v>
      </c>
    </row>
    <row r="3068" spans="1:9" x14ac:dyDescent="0.25">
      <c r="A3068" t="s">
        <v>9</v>
      </c>
      <c r="B3068" s="39">
        <v>45736</v>
      </c>
      <c r="C3068" s="40">
        <v>0.60416666666666663</v>
      </c>
      <c r="D3068" s="41">
        <v>6006.9409999999998</v>
      </c>
      <c r="E3068" s="41">
        <v>6011.1719999999996</v>
      </c>
      <c r="F3068" s="41">
        <v>6001.6540000000005</v>
      </c>
      <c r="G3068" s="41">
        <v>6003.7690000000002</v>
      </c>
      <c r="H3068" s="41">
        <v>2288641361.4000001</v>
      </c>
      <c r="I3068" s="42">
        <v>7620</v>
      </c>
    </row>
    <row r="3069" spans="1:9" x14ac:dyDescent="0.25">
      <c r="A3069" t="s">
        <v>9</v>
      </c>
      <c r="B3069" s="39">
        <v>45736</v>
      </c>
      <c r="C3069" s="40">
        <v>0.58333333333333337</v>
      </c>
      <c r="D3069" s="41">
        <v>6012.7579999999998</v>
      </c>
      <c r="E3069" s="41">
        <v>6012.7579999999998</v>
      </c>
      <c r="F3069" s="41">
        <v>6000.5959999999995</v>
      </c>
      <c r="G3069" s="41">
        <v>6006.9409999999998</v>
      </c>
      <c r="H3069" s="41">
        <v>2708506866.8899999</v>
      </c>
      <c r="I3069" s="42">
        <v>9020</v>
      </c>
    </row>
    <row r="3070" spans="1:9" x14ac:dyDescent="0.25">
      <c r="A3070" t="s">
        <v>9</v>
      </c>
      <c r="B3070" s="39">
        <v>45736</v>
      </c>
      <c r="C3070" s="40">
        <v>0.5625</v>
      </c>
      <c r="D3070" s="41">
        <v>6013.2870000000003</v>
      </c>
      <c r="E3070" s="41">
        <v>6014.8729999999996</v>
      </c>
      <c r="F3070" s="41">
        <v>6004.826</v>
      </c>
      <c r="G3070" s="41">
        <v>6012.2290000000003</v>
      </c>
      <c r="H3070" s="41">
        <v>2433956464.8200002</v>
      </c>
      <c r="I3070" s="42">
        <v>8100</v>
      </c>
    </row>
    <row r="3071" spans="1:9" x14ac:dyDescent="0.25">
      <c r="A3071" t="s">
        <v>9</v>
      </c>
      <c r="B3071" s="39">
        <v>45736</v>
      </c>
      <c r="C3071" s="40">
        <v>0.54166666666666663</v>
      </c>
      <c r="D3071" s="41">
        <v>6013.8159999999998</v>
      </c>
      <c r="E3071" s="41">
        <v>6022.2759999999998</v>
      </c>
      <c r="F3071" s="41">
        <v>6012.2290000000003</v>
      </c>
      <c r="G3071" s="41">
        <v>6013.8159999999998</v>
      </c>
      <c r="H3071" s="41">
        <v>3490110805.4000001</v>
      </c>
      <c r="I3071" s="42">
        <v>11600</v>
      </c>
    </row>
    <row r="3072" spans="1:9" x14ac:dyDescent="0.25">
      <c r="A3072" t="s">
        <v>9</v>
      </c>
      <c r="B3072" s="39">
        <v>45736</v>
      </c>
      <c r="C3072" s="40">
        <v>0.52083333333333337</v>
      </c>
      <c r="D3072" s="41">
        <v>6006.9409999999998</v>
      </c>
      <c r="E3072" s="41">
        <v>6021.2179999999998</v>
      </c>
      <c r="F3072" s="41">
        <v>6004.2969999999996</v>
      </c>
      <c r="G3072" s="41">
        <v>6013.8159999999998</v>
      </c>
      <c r="H3072" s="41">
        <v>4463555088.8999996</v>
      </c>
      <c r="I3072" s="42">
        <v>14850</v>
      </c>
    </row>
    <row r="3073" spans="1:9" x14ac:dyDescent="0.25">
      <c r="A3073" t="s">
        <v>9</v>
      </c>
      <c r="B3073" s="39">
        <v>45736</v>
      </c>
      <c r="C3073" s="40">
        <v>0.5</v>
      </c>
      <c r="D3073" s="41">
        <v>6006.4129999999996</v>
      </c>
      <c r="E3073" s="41">
        <v>6011.7</v>
      </c>
      <c r="F3073" s="41">
        <v>5999.5379999999996</v>
      </c>
      <c r="G3073" s="41">
        <v>6006.9409999999998</v>
      </c>
      <c r="H3073" s="41">
        <v>3276567740.75</v>
      </c>
      <c r="I3073" s="42">
        <v>10910</v>
      </c>
    </row>
    <row r="3074" spans="1:9" x14ac:dyDescent="0.25">
      <c r="A3074" t="s">
        <v>9</v>
      </c>
      <c r="B3074" s="39">
        <v>45736</v>
      </c>
      <c r="C3074" s="40">
        <v>0.47916666666666669</v>
      </c>
      <c r="D3074" s="41">
        <v>6015.402</v>
      </c>
      <c r="E3074" s="41">
        <v>6016.4589999999998</v>
      </c>
      <c r="F3074" s="41">
        <v>6004.2969999999996</v>
      </c>
      <c r="G3074" s="41">
        <v>6006.9409999999998</v>
      </c>
      <c r="H3074" s="41">
        <v>6094511984.5900002</v>
      </c>
      <c r="I3074" s="42">
        <v>20285</v>
      </c>
    </row>
    <row r="3075" spans="1:9" x14ac:dyDescent="0.25">
      <c r="A3075" t="s">
        <v>9</v>
      </c>
      <c r="B3075" s="39">
        <v>45736</v>
      </c>
      <c r="C3075" s="40">
        <v>0.45833333333333331</v>
      </c>
      <c r="D3075" s="41">
        <v>6011.1719999999996</v>
      </c>
      <c r="E3075" s="41">
        <v>6016.9880000000003</v>
      </c>
      <c r="F3075" s="41">
        <v>6003.7690000000002</v>
      </c>
      <c r="G3075" s="41">
        <v>6015.9309999999996</v>
      </c>
      <c r="H3075" s="41">
        <v>8573967989.8900003</v>
      </c>
      <c r="I3075" s="42">
        <v>28535</v>
      </c>
    </row>
    <row r="3076" spans="1:9" x14ac:dyDescent="0.25">
      <c r="A3076" t="s">
        <v>9</v>
      </c>
      <c r="B3076" s="39">
        <v>45736</v>
      </c>
      <c r="C3076" s="40">
        <v>0.4375</v>
      </c>
      <c r="D3076" s="41">
        <v>6008.5280000000002</v>
      </c>
      <c r="E3076" s="41">
        <v>6019.1030000000001</v>
      </c>
      <c r="F3076" s="41">
        <v>6006.4129999999996</v>
      </c>
      <c r="G3076" s="41">
        <v>6011.1719999999996</v>
      </c>
      <c r="H3076" s="41">
        <v>6858789783.7399998</v>
      </c>
      <c r="I3076" s="42">
        <v>22810</v>
      </c>
    </row>
    <row r="3077" spans="1:9" x14ac:dyDescent="0.25">
      <c r="A3077" t="s">
        <v>9</v>
      </c>
      <c r="B3077" s="39">
        <v>45736</v>
      </c>
      <c r="C3077" s="40">
        <v>0.41666666666666669</v>
      </c>
      <c r="D3077" s="41">
        <v>5994.7790000000005</v>
      </c>
      <c r="E3077" s="41">
        <v>6010.643</v>
      </c>
      <c r="F3077" s="41">
        <v>5985.79</v>
      </c>
      <c r="G3077" s="41">
        <v>6009.0569999999998</v>
      </c>
      <c r="H3077" s="41">
        <v>6746751205.5299997</v>
      </c>
      <c r="I3077" s="42">
        <v>22500</v>
      </c>
    </row>
    <row r="3078" spans="1:9" x14ac:dyDescent="0.25">
      <c r="A3078" t="s">
        <v>9</v>
      </c>
      <c r="B3078" s="39">
        <v>45736</v>
      </c>
      <c r="C3078" s="40">
        <v>0.39583333333333331</v>
      </c>
      <c r="D3078" s="41">
        <v>5995.308</v>
      </c>
      <c r="E3078" s="41">
        <v>6000.067</v>
      </c>
      <c r="F3078" s="41">
        <v>5988.9629999999997</v>
      </c>
      <c r="G3078" s="41">
        <v>5995.308</v>
      </c>
      <c r="H3078" s="41">
        <v>4010768662.7800002</v>
      </c>
      <c r="I3078" s="42">
        <v>13380</v>
      </c>
    </row>
    <row r="3079" spans="1:9" x14ac:dyDescent="0.25">
      <c r="A3079" t="s">
        <v>9</v>
      </c>
      <c r="B3079" s="39">
        <v>45736</v>
      </c>
      <c r="C3079" s="40">
        <v>0.375</v>
      </c>
      <c r="D3079" s="41">
        <v>5999.5379999999996</v>
      </c>
      <c r="E3079" s="41">
        <v>6003.24</v>
      </c>
      <c r="F3079" s="41">
        <v>5986.848</v>
      </c>
      <c r="G3079" s="41">
        <v>5995.308</v>
      </c>
      <c r="H3079" s="41">
        <v>5426790083.7600002</v>
      </c>
      <c r="I3079" s="42">
        <v>18105</v>
      </c>
    </row>
    <row r="3080" spans="1:9" x14ac:dyDescent="0.25">
      <c r="A3080" t="s">
        <v>9</v>
      </c>
      <c r="B3080" s="39">
        <v>45735</v>
      </c>
      <c r="C3080" s="40">
        <v>0.75</v>
      </c>
      <c r="D3080" s="41">
        <v>5988.4340000000002</v>
      </c>
      <c r="E3080" s="41">
        <v>5991.0780000000004</v>
      </c>
      <c r="F3080" s="41">
        <v>5984.2039999999997</v>
      </c>
      <c r="G3080" s="41">
        <v>5988.9629999999997</v>
      </c>
      <c r="H3080" s="41">
        <v>603193549.24000001</v>
      </c>
      <c r="I3080" s="42">
        <v>2015</v>
      </c>
    </row>
    <row r="3081" spans="1:9" x14ac:dyDescent="0.25">
      <c r="A3081" t="s">
        <v>9</v>
      </c>
      <c r="B3081" s="39">
        <v>45735</v>
      </c>
      <c r="C3081" s="40">
        <v>0.72916666666666663</v>
      </c>
      <c r="D3081" s="41">
        <v>5983.6750000000002</v>
      </c>
      <c r="E3081" s="41">
        <v>5990.549</v>
      </c>
      <c r="F3081" s="41">
        <v>5981.0309999999999</v>
      </c>
      <c r="G3081" s="41">
        <v>5987.9049999999997</v>
      </c>
      <c r="H3081" s="41">
        <v>1626704049.9400001</v>
      </c>
      <c r="I3081" s="42">
        <v>5435</v>
      </c>
    </row>
    <row r="3082" spans="1:9" x14ac:dyDescent="0.25">
      <c r="A3082" t="s">
        <v>9</v>
      </c>
      <c r="B3082" s="39">
        <v>45735</v>
      </c>
      <c r="C3082" s="40">
        <v>0.70833333333333337</v>
      </c>
      <c r="D3082" s="41">
        <v>5986.848</v>
      </c>
      <c r="E3082" s="41">
        <v>5990.549</v>
      </c>
      <c r="F3082" s="41">
        <v>5981.56</v>
      </c>
      <c r="G3082" s="41">
        <v>5984.2039999999997</v>
      </c>
      <c r="H3082" s="41">
        <v>2126497832.8499999</v>
      </c>
      <c r="I3082" s="42">
        <v>7105</v>
      </c>
    </row>
    <row r="3083" spans="1:9" x14ac:dyDescent="0.25">
      <c r="A3083" t="s">
        <v>9</v>
      </c>
      <c r="B3083" s="39">
        <v>45735</v>
      </c>
      <c r="C3083" s="40">
        <v>0.6875</v>
      </c>
      <c r="D3083" s="41">
        <v>5989.4920000000002</v>
      </c>
      <c r="E3083" s="41">
        <v>5992.1360000000004</v>
      </c>
      <c r="F3083" s="41">
        <v>5981.0309999999999</v>
      </c>
      <c r="G3083" s="41">
        <v>5987.3770000000004</v>
      </c>
      <c r="H3083" s="41">
        <v>3352493417.5700002</v>
      </c>
      <c r="I3083" s="42">
        <v>11200</v>
      </c>
    </row>
    <row r="3084" spans="1:9" x14ac:dyDescent="0.25">
      <c r="A3084" t="s">
        <v>9</v>
      </c>
      <c r="B3084" s="39">
        <v>45735</v>
      </c>
      <c r="C3084" s="40">
        <v>0.66666666666666663</v>
      </c>
      <c r="D3084" s="41">
        <v>5974.1570000000002</v>
      </c>
      <c r="E3084" s="41">
        <v>5991.0780000000004</v>
      </c>
      <c r="F3084" s="41">
        <v>5971.5129999999999</v>
      </c>
      <c r="G3084" s="41">
        <v>5990.02</v>
      </c>
      <c r="H3084" s="41">
        <v>3757738154.6500001</v>
      </c>
      <c r="I3084" s="42">
        <v>12565</v>
      </c>
    </row>
    <row r="3085" spans="1:9" x14ac:dyDescent="0.25">
      <c r="A3085" t="s">
        <v>9</v>
      </c>
      <c r="B3085" s="39">
        <v>45735</v>
      </c>
      <c r="C3085" s="40">
        <v>0.64583333333333337</v>
      </c>
      <c r="D3085" s="41">
        <v>5987.9049999999997</v>
      </c>
      <c r="E3085" s="41">
        <v>5987.9049999999997</v>
      </c>
      <c r="F3085" s="41">
        <v>5970.9840000000004</v>
      </c>
      <c r="G3085" s="41">
        <v>5973.6279999999997</v>
      </c>
      <c r="H3085" s="41">
        <v>6994897240.1400003</v>
      </c>
      <c r="I3085" s="42">
        <v>23395</v>
      </c>
    </row>
    <row r="3086" spans="1:9" x14ac:dyDescent="0.25">
      <c r="A3086" t="s">
        <v>9</v>
      </c>
      <c r="B3086" s="39">
        <v>45735</v>
      </c>
      <c r="C3086" s="40">
        <v>0.625</v>
      </c>
      <c r="D3086" s="41">
        <v>5998.4809999999998</v>
      </c>
      <c r="E3086" s="41">
        <v>5999.01</v>
      </c>
      <c r="F3086" s="41">
        <v>5982.6170000000002</v>
      </c>
      <c r="G3086" s="41">
        <v>5988.4340000000002</v>
      </c>
      <c r="H3086" s="41">
        <v>4825192524.9200001</v>
      </c>
      <c r="I3086" s="42">
        <v>16110</v>
      </c>
    </row>
    <row r="3087" spans="1:9" x14ac:dyDescent="0.25">
      <c r="A3087" t="s">
        <v>9</v>
      </c>
      <c r="B3087" s="39">
        <v>45735</v>
      </c>
      <c r="C3087" s="40">
        <v>0.60416666666666663</v>
      </c>
      <c r="D3087" s="41">
        <v>5998.4809999999998</v>
      </c>
      <c r="E3087" s="41">
        <v>6005.884</v>
      </c>
      <c r="F3087" s="41">
        <v>5995.8370000000004</v>
      </c>
      <c r="G3087" s="41">
        <v>6002.7110000000002</v>
      </c>
      <c r="H3087" s="41">
        <v>4309669121.8199997</v>
      </c>
      <c r="I3087" s="42">
        <v>14360</v>
      </c>
    </row>
    <row r="3088" spans="1:9" x14ac:dyDescent="0.25">
      <c r="A3088" t="s">
        <v>9</v>
      </c>
      <c r="B3088" s="39">
        <v>45735</v>
      </c>
      <c r="C3088" s="40">
        <v>0.58333333333333337</v>
      </c>
      <c r="D3088" s="41">
        <v>5995.8370000000004</v>
      </c>
      <c r="E3088" s="41">
        <v>6000.067</v>
      </c>
      <c r="F3088" s="41">
        <v>5995.308</v>
      </c>
      <c r="G3088" s="41">
        <v>5998.4809999999998</v>
      </c>
      <c r="H3088" s="41">
        <v>2839952466.1599998</v>
      </c>
      <c r="I3088" s="42">
        <v>9470</v>
      </c>
    </row>
    <row r="3089" spans="1:9" x14ac:dyDescent="0.25">
      <c r="A3089" t="s">
        <v>9</v>
      </c>
      <c r="B3089" s="39">
        <v>45735</v>
      </c>
      <c r="C3089" s="40">
        <v>0.5625</v>
      </c>
      <c r="D3089" s="41">
        <v>5991.0780000000004</v>
      </c>
      <c r="E3089" s="41">
        <v>5997.9520000000002</v>
      </c>
      <c r="F3089" s="41">
        <v>5990.549</v>
      </c>
      <c r="G3089" s="41">
        <v>5995.8370000000004</v>
      </c>
      <c r="H3089" s="41">
        <v>4096121694.7399998</v>
      </c>
      <c r="I3089" s="42">
        <v>13665</v>
      </c>
    </row>
    <row r="3090" spans="1:9" x14ac:dyDescent="0.25">
      <c r="A3090" t="s">
        <v>9</v>
      </c>
      <c r="B3090" s="39">
        <v>45735</v>
      </c>
      <c r="C3090" s="40">
        <v>0.54166666666666663</v>
      </c>
      <c r="D3090" s="41">
        <v>5988.4340000000002</v>
      </c>
      <c r="E3090" s="41">
        <v>5993.1930000000002</v>
      </c>
      <c r="F3090" s="41">
        <v>5986.3190000000004</v>
      </c>
      <c r="G3090" s="41">
        <v>5990.02</v>
      </c>
      <c r="H3090" s="41">
        <v>4149270964.0300002</v>
      </c>
      <c r="I3090" s="42">
        <v>13855</v>
      </c>
    </row>
    <row r="3091" spans="1:9" x14ac:dyDescent="0.25">
      <c r="A3091" t="s">
        <v>9</v>
      </c>
      <c r="B3091" s="39">
        <v>45735</v>
      </c>
      <c r="C3091" s="40">
        <v>0.52083333333333337</v>
      </c>
      <c r="D3091" s="41">
        <v>6001.125</v>
      </c>
      <c r="E3091" s="41">
        <v>6002.1819999999998</v>
      </c>
      <c r="F3091" s="41">
        <v>5988.4340000000002</v>
      </c>
      <c r="G3091" s="41">
        <v>5988.4340000000002</v>
      </c>
      <c r="H3091" s="41">
        <v>3050807477.4099998</v>
      </c>
      <c r="I3091" s="42">
        <v>10180</v>
      </c>
    </row>
    <row r="3092" spans="1:9" x14ac:dyDescent="0.25">
      <c r="A3092" t="s">
        <v>9</v>
      </c>
      <c r="B3092" s="39">
        <v>45735</v>
      </c>
      <c r="C3092" s="40">
        <v>0.5</v>
      </c>
      <c r="D3092" s="41">
        <v>6000.067</v>
      </c>
      <c r="E3092" s="41">
        <v>6002.7110000000002</v>
      </c>
      <c r="F3092" s="41">
        <v>5994.2510000000002</v>
      </c>
      <c r="G3092" s="41">
        <v>6000.5959999999995</v>
      </c>
      <c r="H3092" s="41">
        <v>2637709299.0100002</v>
      </c>
      <c r="I3092" s="42">
        <v>8795</v>
      </c>
    </row>
    <row r="3093" spans="1:9" x14ac:dyDescent="0.25">
      <c r="A3093" t="s">
        <v>9</v>
      </c>
      <c r="B3093" s="39">
        <v>45735</v>
      </c>
      <c r="C3093" s="40">
        <v>0.47916666666666669</v>
      </c>
      <c r="D3093" s="41">
        <v>6016.9880000000003</v>
      </c>
      <c r="E3093" s="41">
        <v>6016.9880000000003</v>
      </c>
      <c r="F3093" s="41">
        <v>5995.308</v>
      </c>
      <c r="G3093" s="41">
        <v>6000.5959999999995</v>
      </c>
      <c r="H3093" s="41">
        <v>5844265239.04</v>
      </c>
      <c r="I3093" s="42">
        <v>19465</v>
      </c>
    </row>
    <row r="3094" spans="1:9" x14ac:dyDescent="0.25">
      <c r="A3094" t="s">
        <v>9</v>
      </c>
      <c r="B3094" s="39">
        <v>45735</v>
      </c>
      <c r="C3094" s="40">
        <v>0.45833333333333331</v>
      </c>
      <c r="D3094" s="41">
        <v>6020.1610000000001</v>
      </c>
      <c r="E3094" s="41">
        <v>6022.2759999999998</v>
      </c>
      <c r="F3094" s="41">
        <v>6012.7579999999998</v>
      </c>
      <c r="G3094" s="41">
        <v>6016.9880000000003</v>
      </c>
      <c r="H3094" s="41">
        <v>4303131681.8599997</v>
      </c>
      <c r="I3094" s="42">
        <v>14300</v>
      </c>
    </row>
    <row r="3095" spans="1:9" x14ac:dyDescent="0.25">
      <c r="A3095" t="s">
        <v>9</v>
      </c>
      <c r="B3095" s="39">
        <v>45735</v>
      </c>
      <c r="C3095" s="40">
        <v>0.4375</v>
      </c>
      <c r="D3095" s="41">
        <v>6019.1030000000001</v>
      </c>
      <c r="E3095" s="41">
        <v>6025.9769999999999</v>
      </c>
      <c r="F3095" s="41">
        <v>6014.3440000000001</v>
      </c>
      <c r="G3095" s="41">
        <v>6020.1610000000001</v>
      </c>
      <c r="H3095" s="41">
        <v>3163826942.6300001</v>
      </c>
      <c r="I3095" s="42">
        <v>10510</v>
      </c>
    </row>
    <row r="3096" spans="1:9" x14ac:dyDescent="0.25">
      <c r="A3096" t="s">
        <v>9</v>
      </c>
      <c r="B3096" s="39">
        <v>45735</v>
      </c>
      <c r="C3096" s="40">
        <v>0.41666666666666669</v>
      </c>
      <c r="D3096" s="41">
        <v>6026.5060000000003</v>
      </c>
      <c r="E3096" s="41">
        <v>6026.5060000000003</v>
      </c>
      <c r="F3096" s="41">
        <v>6017.5169999999998</v>
      </c>
      <c r="G3096" s="41">
        <v>6019.6319999999996</v>
      </c>
      <c r="H3096" s="41">
        <v>4034938537.9499998</v>
      </c>
      <c r="I3096" s="42">
        <v>13400</v>
      </c>
    </row>
    <row r="3097" spans="1:9" x14ac:dyDescent="0.25">
      <c r="A3097" t="s">
        <v>9</v>
      </c>
      <c r="B3097" s="39">
        <v>45735</v>
      </c>
      <c r="C3097" s="40">
        <v>0.39583333333333331</v>
      </c>
      <c r="D3097" s="41">
        <v>6024.92</v>
      </c>
      <c r="E3097" s="41">
        <v>6032.8519999999999</v>
      </c>
      <c r="F3097" s="41">
        <v>6018.0460000000003</v>
      </c>
      <c r="G3097" s="41">
        <v>6027.0349999999999</v>
      </c>
      <c r="H3097" s="41">
        <v>2279579393.27</v>
      </c>
      <c r="I3097" s="42">
        <v>7565</v>
      </c>
    </row>
    <row r="3098" spans="1:9" x14ac:dyDescent="0.25">
      <c r="A3098" t="s">
        <v>9</v>
      </c>
      <c r="B3098" s="39">
        <v>45735</v>
      </c>
      <c r="C3098" s="40">
        <v>0.375</v>
      </c>
      <c r="D3098" s="41">
        <v>6023.8620000000001</v>
      </c>
      <c r="E3098" s="41">
        <v>6034.9669999999996</v>
      </c>
      <c r="F3098" s="41">
        <v>6011.7</v>
      </c>
      <c r="G3098" s="41">
        <v>6024.3909999999996</v>
      </c>
      <c r="H3098" s="41">
        <v>3264692662.75</v>
      </c>
      <c r="I3098" s="42">
        <v>10845</v>
      </c>
    </row>
    <row r="3099" spans="1:9" x14ac:dyDescent="0.25">
      <c r="A3099" t="s">
        <v>9</v>
      </c>
      <c r="B3099" s="39">
        <v>45734</v>
      </c>
      <c r="C3099" s="40">
        <v>0.75</v>
      </c>
      <c r="D3099" s="41">
        <v>6014.3440000000001</v>
      </c>
      <c r="E3099" s="41">
        <v>6016.9880000000003</v>
      </c>
      <c r="F3099" s="41">
        <v>6009.0569999999998</v>
      </c>
      <c r="G3099" s="41">
        <v>6016.9880000000003</v>
      </c>
      <c r="H3099" s="41">
        <v>691435835.39999998</v>
      </c>
      <c r="I3099" s="42">
        <v>2300</v>
      </c>
    </row>
    <row r="3100" spans="1:9" x14ac:dyDescent="0.25">
      <c r="A3100" t="s">
        <v>9</v>
      </c>
      <c r="B3100" s="39">
        <v>45734</v>
      </c>
      <c r="C3100" s="40">
        <v>0.72916666666666663</v>
      </c>
      <c r="D3100" s="41">
        <v>6015.402</v>
      </c>
      <c r="E3100" s="41">
        <v>6016.9880000000003</v>
      </c>
      <c r="F3100" s="41">
        <v>6012.7579999999998</v>
      </c>
      <c r="G3100" s="41">
        <v>6014.3440000000001</v>
      </c>
      <c r="H3100" s="41">
        <v>1057112093.4400001</v>
      </c>
      <c r="I3100" s="42">
        <v>3515</v>
      </c>
    </row>
    <row r="3101" spans="1:9" x14ac:dyDescent="0.25">
      <c r="A3101" t="s">
        <v>9</v>
      </c>
      <c r="B3101" s="39">
        <v>45734</v>
      </c>
      <c r="C3101" s="40">
        <v>0.70833333333333337</v>
      </c>
      <c r="D3101" s="41">
        <v>6015.402</v>
      </c>
      <c r="E3101" s="41">
        <v>6018.0460000000003</v>
      </c>
      <c r="F3101" s="41">
        <v>6013.2870000000003</v>
      </c>
      <c r="G3101" s="41">
        <v>6015.402</v>
      </c>
      <c r="H3101" s="41">
        <v>2000025938.74</v>
      </c>
      <c r="I3101" s="42">
        <v>6650</v>
      </c>
    </row>
    <row r="3102" spans="1:9" x14ac:dyDescent="0.25">
      <c r="A3102" t="s">
        <v>9</v>
      </c>
      <c r="B3102" s="39">
        <v>45734</v>
      </c>
      <c r="C3102" s="40">
        <v>0.6875</v>
      </c>
      <c r="D3102" s="41">
        <v>6014.8729999999996</v>
      </c>
      <c r="E3102" s="41">
        <v>6018.0460000000003</v>
      </c>
      <c r="F3102" s="41">
        <v>6014.3440000000001</v>
      </c>
      <c r="G3102" s="41">
        <v>6015.9309999999996</v>
      </c>
      <c r="H3102" s="41">
        <v>1365527685.1099999</v>
      </c>
      <c r="I3102" s="42">
        <v>4540</v>
      </c>
    </row>
    <row r="3103" spans="1:9" x14ac:dyDescent="0.25">
      <c r="A3103" t="s">
        <v>9</v>
      </c>
      <c r="B3103" s="39">
        <v>45734</v>
      </c>
      <c r="C3103" s="40">
        <v>0.66666666666666663</v>
      </c>
      <c r="D3103" s="41">
        <v>6010.1139999999996</v>
      </c>
      <c r="E3103" s="41">
        <v>6016.4589999999998</v>
      </c>
      <c r="F3103" s="41">
        <v>6010.1139999999996</v>
      </c>
      <c r="G3103" s="41">
        <v>6014.8729999999996</v>
      </c>
      <c r="H3103" s="41">
        <v>3396253536.0700002</v>
      </c>
      <c r="I3103" s="42">
        <v>11295</v>
      </c>
    </row>
    <row r="3104" spans="1:9" x14ac:dyDescent="0.25">
      <c r="A3104" t="s">
        <v>9</v>
      </c>
      <c r="B3104" s="39">
        <v>45734</v>
      </c>
      <c r="C3104" s="40">
        <v>0.64583333333333337</v>
      </c>
      <c r="D3104" s="41">
        <v>6009.0569999999998</v>
      </c>
      <c r="E3104" s="41">
        <v>6012.7579999999998</v>
      </c>
      <c r="F3104" s="41">
        <v>6007.9989999999998</v>
      </c>
      <c r="G3104" s="41">
        <v>6010.1139999999996</v>
      </c>
      <c r="H3104" s="41">
        <v>3425814984.8299999</v>
      </c>
      <c r="I3104" s="42">
        <v>11400</v>
      </c>
    </row>
    <row r="3105" spans="1:9" x14ac:dyDescent="0.25">
      <c r="A3105" t="s">
        <v>9</v>
      </c>
      <c r="B3105" s="39">
        <v>45734</v>
      </c>
      <c r="C3105" s="40">
        <v>0.625</v>
      </c>
      <c r="D3105" s="41">
        <v>6008.5280000000002</v>
      </c>
      <c r="E3105" s="41">
        <v>6013.2870000000003</v>
      </c>
      <c r="F3105" s="41">
        <v>6005.3549999999996</v>
      </c>
      <c r="G3105" s="41">
        <v>6009.585</v>
      </c>
      <c r="H3105" s="41">
        <v>4140542656.1100001</v>
      </c>
      <c r="I3105" s="42">
        <v>13780</v>
      </c>
    </row>
    <row r="3106" spans="1:9" x14ac:dyDescent="0.25">
      <c r="A3106" t="s">
        <v>9</v>
      </c>
      <c r="B3106" s="39">
        <v>45734</v>
      </c>
      <c r="C3106" s="40">
        <v>0.60416666666666663</v>
      </c>
      <c r="D3106" s="41">
        <v>6003.7690000000002</v>
      </c>
      <c r="E3106" s="41">
        <v>6011.1719999999996</v>
      </c>
      <c r="F3106" s="41">
        <v>6003.24</v>
      </c>
      <c r="G3106" s="41">
        <v>6008.5280000000002</v>
      </c>
      <c r="H3106" s="41">
        <v>1440296126.79</v>
      </c>
      <c r="I3106" s="42">
        <v>4795</v>
      </c>
    </row>
    <row r="3107" spans="1:9" x14ac:dyDescent="0.25">
      <c r="A3107" t="s">
        <v>9</v>
      </c>
      <c r="B3107" s="39">
        <v>45734</v>
      </c>
      <c r="C3107" s="40">
        <v>0.58333333333333337</v>
      </c>
      <c r="D3107" s="41">
        <v>6010.1139999999996</v>
      </c>
      <c r="E3107" s="41">
        <v>6013.2870000000003</v>
      </c>
      <c r="F3107" s="41">
        <v>6002.7110000000002</v>
      </c>
      <c r="G3107" s="41">
        <v>6004.2969999999996</v>
      </c>
      <c r="H3107" s="41">
        <v>4105478061.1599998</v>
      </c>
      <c r="I3107" s="42">
        <v>13665</v>
      </c>
    </row>
    <row r="3108" spans="1:9" x14ac:dyDescent="0.25">
      <c r="A3108" t="s">
        <v>9</v>
      </c>
      <c r="B3108" s="39">
        <v>45734</v>
      </c>
      <c r="C3108" s="40">
        <v>0.5625</v>
      </c>
      <c r="D3108" s="41">
        <v>6006.9409999999998</v>
      </c>
      <c r="E3108" s="41">
        <v>6012.2290000000003</v>
      </c>
      <c r="F3108" s="41">
        <v>6001.6540000000005</v>
      </c>
      <c r="G3108" s="41">
        <v>6009.585</v>
      </c>
      <c r="H3108" s="41">
        <v>6343299429.4099998</v>
      </c>
      <c r="I3108" s="42">
        <v>21130</v>
      </c>
    </row>
    <row r="3109" spans="1:9" x14ac:dyDescent="0.25">
      <c r="A3109" t="s">
        <v>9</v>
      </c>
      <c r="B3109" s="39">
        <v>45734</v>
      </c>
      <c r="C3109" s="40">
        <v>0.54166666666666663</v>
      </c>
      <c r="D3109" s="41">
        <v>6014.3440000000001</v>
      </c>
      <c r="E3109" s="41">
        <v>6016.9880000000003</v>
      </c>
      <c r="F3109" s="41">
        <v>5997.9520000000002</v>
      </c>
      <c r="G3109" s="41">
        <v>6007.47</v>
      </c>
      <c r="H3109" s="41">
        <v>5609332360.3500004</v>
      </c>
      <c r="I3109" s="42">
        <v>18670</v>
      </c>
    </row>
    <row r="3110" spans="1:9" x14ac:dyDescent="0.25">
      <c r="A3110" t="s">
        <v>9</v>
      </c>
      <c r="B3110" s="39">
        <v>45734</v>
      </c>
      <c r="C3110" s="40">
        <v>0.52083333333333337</v>
      </c>
      <c r="D3110" s="41">
        <v>6022.2759999999998</v>
      </c>
      <c r="E3110" s="41">
        <v>6024.92</v>
      </c>
      <c r="F3110" s="41">
        <v>6011.7</v>
      </c>
      <c r="G3110" s="41">
        <v>6014.3440000000001</v>
      </c>
      <c r="H3110" s="41">
        <v>3046798134.8699999</v>
      </c>
      <c r="I3110" s="42">
        <v>10125</v>
      </c>
    </row>
    <row r="3111" spans="1:9" x14ac:dyDescent="0.25">
      <c r="A3111" t="s">
        <v>9</v>
      </c>
      <c r="B3111" s="39">
        <v>45734</v>
      </c>
      <c r="C3111" s="40">
        <v>0.5</v>
      </c>
      <c r="D3111" s="41">
        <v>6032.3230000000003</v>
      </c>
      <c r="E3111" s="41">
        <v>6035.4960000000001</v>
      </c>
      <c r="F3111" s="41">
        <v>6019.1030000000001</v>
      </c>
      <c r="G3111" s="41">
        <v>6021.7470000000003</v>
      </c>
      <c r="H3111" s="41">
        <v>4727482564.1400003</v>
      </c>
      <c r="I3111" s="42">
        <v>15685</v>
      </c>
    </row>
    <row r="3112" spans="1:9" x14ac:dyDescent="0.25">
      <c r="A3112" t="s">
        <v>9</v>
      </c>
      <c r="B3112" s="39">
        <v>45734</v>
      </c>
      <c r="C3112" s="40">
        <v>0.47916666666666669</v>
      </c>
      <c r="D3112" s="41">
        <v>6036.0240000000003</v>
      </c>
      <c r="E3112" s="41">
        <v>6040.7830000000004</v>
      </c>
      <c r="F3112" s="41">
        <v>6029.15</v>
      </c>
      <c r="G3112" s="41">
        <v>6032.8519999999999</v>
      </c>
      <c r="H3112" s="41">
        <v>2990163676.27</v>
      </c>
      <c r="I3112" s="42">
        <v>9910</v>
      </c>
    </row>
    <row r="3113" spans="1:9" x14ac:dyDescent="0.25">
      <c r="A3113" t="s">
        <v>9</v>
      </c>
      <c r="B3113" s="39">
        <v>45734</v>
      </c>
      <c r="C3113" s="40">
        <v>0.45833333333333331</v>
      </c>
      <c r="D3113" s="41">
        <v>6036.0240000000003</v>
      </c>
      <c r="E3113" s="41">
        <v>6045.0140000000001</v>
      </c>
      <c r="F3113" s="41">
        <v>6032.3230000000003</v>
      </c>
      <c r="G3113" s="41">
        <v>6036.0240000000003</v>
      </c>
      <c r="H3113" s="41">
        <v>5561109867</v>
      </c>
      <c r="I3113" s="42">
        <v>18420</v>
      </c>
    </row>
    <row r="3114" spans="1:9" x14ac:dyDescent="0.25">
      <c r="A3114" t="s">
        <v>9</v>
      </c>
      <c r="B3114" s="39">
        <v>45734</v>
      </c>
      <c r="C3114" s="40">
        <v>0.4375</v>
      </c>
      <c r="D3114" s="41">
        <v>6032.8519999999999</v>
      </c>
      <c r="E3114" s="41">
        <v>6038.6679999999997</v>
      </c>
      <c r="F3114" s="41">
        <v>6027.0349999999999</v>
      </c>
      <c r="G3114" s="41">
        <v>6036.5529999999999</v>
      </c>
      <c r="H3114" s="41">
        <v>4914505194.0900002</v>
      </c>
      <c r="I3114" s="42">
        <v>16290</v>
      </c>
    </row>
    <row r="3115" spans="1:9" x14ac:dyDescent="0.25">
      <c r="A3115" t="s">
        <v>9</v>
      </c>
      <c r="B3115" s="39">
        <v>45734</v>
      </c>
      <c r="C3115" s="40">
        <v>0.41666666666666669</v>
      </c>
      <c r="D3115" s="41">
        <v>6034.4380000000001</v>
      </c>
      <c r="E3115" s="41">
        <v>6037.0820000000003</v>
      </c>
      <c r="F3115" s="41">
        <v>6022.8050000000003</v>
      </c>
      <c r="G3115" s="41">
        <v>6032.3230000000003</v>
      </c>
      <c r="H3115" s="41">
        <v>6582090287.3500004</v>
      </c>
      <c r="I3115" s="42">
        <v>21830</v>
      </c>
    </row>
    <row r="3116" spans="1:9" x14ac:dyDescent="0.25">
      <c r="A3116" t="s">
        <v>9</v>
      </c>
      <c r="B3116" s="39">
        <v>45734</v>
      </c>
      <c r="C3116" s="40">
        <v>0.39583333333333331</v>
      </c>
      <c r="D3116" s="41">
        <v>6042.37</v>
      </c>
      <c r="E3116" s="41">
        <v>6055.06</v>
      </c>
      <c r="F3116" s="41">
        <v>6034.9669999999996</v>
      </c>
      <c r="G3116" s="41">
        <v>6034.9669999999996</v>
      </c>
      <c r="H3116" s="41">
        <v>4845273079.5600004</v>
      </c>
      <c r="I3116" s="42">
        <v>16030</v>
      </c>
    </row>
    <row r="3117" spans="1:9" x14ac:dyDescent="0.25">
      <c r="A3117" t="s">
        <v>9</v>
      </c>
      <c r="B3117" s="39">
        <v>45734</v>
      </c>
      <c r="C3117" s="40">
        <v>0.375</v>
      </c>
      <c r="D3117" s="41">
        <v>6049.7730000000001</v>
      </c>
      <c r="E3117" s="41">
        <v>6060.348</v>
      </c>
      <c r="F3117" s="41">
        <v>6039.1970000000001</v>
      </c>
      <c r="G3117" s="41">
        <v>6041.8410000000003</v>
      </c>
      <c r="H3117" s="41">
        <v>6237799613.1099997</v>
      </c>
      <c r="I3117" s="42">
        <v>20625</v>
      </c>
    </row>
    <row r="3118" spans="1:9" x14ac:dyDescent="0.25">
      <c r="A3118" t="s">
        <v>9</v>
      </c>
      <c r="B3118" s="39">
        <v>45733</v>
      </c>
      <c r="C3118" s="40">
        <v>0.75</v>
      </c>
      <c r="D3118" s="41">
        <v>6029.6790000000001</v>
      </c>
      <c r="E3118" s="41">
        <v>6034.4380000000001</v>
      </c>
      <c r="F3118" s="41">
        <v>6028.0929999999998</v>
      </c>
      <c r="G3118" s="41">
        <v>6033.9089999999997</v>
      </c>
      <c r="H3118" s="41">
        <v>408602226.01999998</v>
      </c>
      <c r="I3118" s="42">
        <v>1355</v>
      </c>
    </row>
    <row r="3119" spans="1:9" x14ac:dyDescent="0.25">
      <c r="A3119" t="s">
        <v>9</v>
      </c>
      <c r="B3119" s="39">
        <v>45733</v>
      </c>
      <c r="C3119" s="40">
        <v>0.72916666666666663</v>
      </c>
      <c r="D3119" s="41">
        <v>6028.0929999999998</v>
      </c>
      <c r="E3119" s="41">
        <v>6031.2650000000003</v>
      </c>
      <c r="F3119" s="41">
        <v>6027.0349999999999</v>
      </c>
      <c r="G3119" s="41">
        <v>6030.2079999999996</v>
      </c>
      <c r="H3119" s="41">
        <v>1022008765.36</v>
      </c>
      <c r="I3119" s="42">
        <v>3390</v>
      </c>
    </row>
    <row r="3120" spans="1:9" x14ac:dyDescent="0.25">
      <c r="A3120" t="s">
        <v>9</v>
      </c>
      <c r="B3120" s="39">
        <v>45733</v>
      </c>
      <c r="C3120" s="40">
        <v>0.70833333333333337</v>
      </c>
      <c r="D3120" s="41">
        <v>6031.7939999999999</v>
      </c>
      <c r="E3120" s="41">
        <v>6033.9089999999997</v>
      </c>
      <c r="F3120" s="41">
        <v>6025.4489999999996</v>
      </c>
      <c r="G3120" s="41">
        <v>6028.0929999999998</v>
      </c>
      <c r="H3120" s="41">
        <v>2044065914.0899999</v>
      </c>
      <c r="I3120" s="42">
        <v>6780</v>
      </c>
    </row>
    <row r="3121" spans="1:9" x14ac:dyDescent="0.25">
      <c r="A3121" t="s">
        <v>9</v>
      </c>
      <c r="B3121" s="39">
        <v>45733</v>
      </c>
      <c r="C3121" s="40">
        <v>0.6875</v>
      </c>
      <c r="D3121" s="41">
        <v>6017.5169999999998</v>
      </c>
      <c r="E3121" s="41">
        <v>6032.3230000000003</v>
      </c>
      <c r="F3121" s="41">
        <v>6016.9880000000003</v>
      </c>
      <c r="G3121" s="41">
        <v>6031.2650000000003</v>
      </c>
      <c r="H3121" s="41">
        <v>2998865941.77</v>
      </c>
      <c r="I3121" s="42">
        <v>9955</v>
      </c>
    </row>
    <row r="3122" spans="1:9" x14ac:dyDescent="0.25">
      <c r="A3122" t="s">
        <v>9</v>
      </c>
      <c r="B3122" s="39">
        <v>45733</v>
      </c>
      <c r="C3122" s="40">
        <v>0.66666666666666663</v>
      </c>
      <c r="D3122" s="41">
        <v>6012.7579999999998</v>
      </c>
      <c r="E3122" s="41">
        <v>6019.6319999999996</v>
      </c>
      <c r="F3122" s="41">
        <v>6010.643</v>
      </c>
      <c r="G3122" s="41">
        <v>6016.9880000000003</v>
      </c>
      <c r="H3122" s="41">
        <v>3287601661.8800001</v>
      </c>
      <c r="I3122" s="42">
        <v>10930</v>
      </c>
    </row>
    <row r="3123" spans="1:9" x14ac:dyDescent="0.25">
      <c r="A3123" t="s">
        <v>9</v>
      </c>
      <c r="B3123" s="39">
        <v>45733</v>
      </c>
      <c r="C3123" s="40">
        <v>0.64583333333333337</v>
      </c>
      <c r="D3123" s="41">
        <v>6030.2079999999996</v>
      </c>
      <c r="E3123" s="41">
        <v>6030.7359999999999</v>
      </c>
      <c r="F3123" s="41">
        <v>6011.7</v>
      </c>
      <c r="G3123" s="41">
        <v>6012.7579999999998</v>
      </c>
      <c r="H3123" s="41">
        <v>4892193319.8400002</v>
      </c>
      <c r="I3123" s="42">
        <v>16250</v>
      </c>
    </row>
    <row r="3124" spans="1:9" x14ac:dyDescent="0.25">
      <c r="A3124" t="s">
        <v>9</v>
      </c>
      <c r="B3124" s="39">
        <v>45733</v>
      </c>
      <c r="C3124" s="40">
        <v>0.625</v>
      </c>
      <c r="D3124" s="41">
        <v>6040.7830000000004</v>
      </c>
      <c r="E3124" s="41">
        <v>6040.7830000000004</v>
      </c>
      <c r="F3124" s="41">
        <v>6030.2079999999996</v>
      </c>
      <c r="G3124" s="41">
        <v>6030.2079999999996</v>
      </c>
      <c r="H3124" s="41">
        <v>2549089199.5100002</v>
      </c>
      <c r="I3124" s="42">
        <v>8450</v>
      </c>
    </row>
    <row r="3125" spans="1:9" x14ac:dyDescent="0.25">
      <c r="A3125" t="s">
        <v>9</v>
      </c>
      <c r="B3125" s="39">
        <v>45733</v>
      </c>
      <c r="C3125" s="40">
        <v>0.60416666666666663</v>
      </c>
      <c r="D3125" s="41">
        <v>6037.0820000000003</v>
      </c>
      <c r="E3125" s="41">
        <v>6040.7830000000004</v>
      </c>
      <c r="F3125" s="41">
        <v>6032.8519999999999</v>
      </c>
      <c r="G3125" s="41">
        <v>6040.2550000000001</v>
      </c>
      <c r="H3125" s="41">
        <v>4468617100.3299999</v>
      </c>
      <c r="I3125" s="42">
        <v>14805</v>
      </c>
    </row>
    <row r="3126" spans="1:9" x14ac:dyDescent="0.25">
      <c r="A3126" t="s">
        <v>9</v>
      </c>
      <c r="B3126" s="39">
        <v>45733</v>
      </c>
      <c r="C3126" s="40">
        <v>0.58333333333333337</v>
      </c>
      <c r="D3126" s="41">
        <v>6030.2079999999996</v>
      </c>
      <c r="E3126" s="41">
        <v>6035.4960000000001</v>
      </c>
      <c r="F3126" s="41">
        <v>6030.2079999999996</v>
      </c>
      <c r="G3126" s="41">
        <v>6033.9089999999997</v>
      </c>
      <c r="H3126" s="41">
        <v>672761439.11000001</v>
      </c>
      <c r="I3126" s="42">
        <v>2230</v>
      </c>
    </row>
    <row r="3127" spans="1:9" x14ac:dyDescent="0.25">
      <c r="A3127" t="s">
        <v>9</v>
      </c>
      <c r="B3127" s="39">
        <v>45733</v>
      </c>
      <c r="C3127" s="40">
        <v>0.5625</v>
      </c>
      <c r="D3127" s="41">
        <v>6030.7359999999999</v>
      </c>
      <c r="E3127" s="41">
        <v>6035.4960000000001</v>
      </c>
      <c r="F3127" s="41">
        <v>6026.5060000000003</v>
      </c>
      <c r="G3127" s="41">
        <v>6030.7359999999999</v>
      </c>
      <c r="H3127" s="41">
        <v>4291479881.23</v>
      </c>
      <c r="I3127" s="42">
        <v>14230</v>
      </c>
    </row>
    <row r="3128" spans="1:9" x14ac:dyDescent="0.25">
      <c r="A3128" t="s">
        <v>9</v>
      </c>
      <c r="B3128" s="39">
        <v>45733</v>
      </c>
      <c r="C3128" s="40">
        <v>0.54166666666666663</v>
      </c>
      <c r="D3128" s="41">
        <v>6033.9089999999997</v>
      </c>
      <c r="E3128" s="41">
        <v>6039.1970000000001</v>
      </c>
      <c r="F3128" s="41">
        <v>6029.15</v>
      </c>
      <c r="G3128" s="41">
        <v>6030.7359999999999</v>
      </c>
      <c r="H3128" s="41">
        <v>5674622419.6099997</v>
      </c>
      <c r="I3128" s="42">
        <v>18805</v>
      </c>
    </row>
    <row r="3129" spans="1:9" x14ac:dyDescent="0.25">
      <c r="A3129" t="s">
        <v>9</v>
      </c>
      <c r="B3129" s="39">
        <v>45733</v>
      </c>
      <c r="C3129" s="40">
        <v>0.52083333333333337</v>
      </c>
      <c r="D3129" s="41">
        <v>6036.0240000000003</v>
      </c>
      <c r="E3129" s="41">
        <v>6039.7259999999997</v>
      </c>
      <c r="F3129" s="41">
        <v>6030.7359999999999</v>
      </c>
      <c r="G3129" s="41">
        <v>6033.38</v>
      </c>
      <c r="H3129" s="41">
        <v>4746640661.9799995</v>
      </c>
      <c r="I3129" s="42">
        <v>15730</v>
      </c>
    </row>
    <row r="3130" spans="1:9" x14ac:dyDescent="0.25">
      <c r="A3130" t="s">
        <v>9</v>
      </c>
      <c r="B3130" s="39">
        <v>45733</v>
      </c>
      <c r="C3130" s="40">
        <v>0.5</v>
      </c>
      <c r="D3130" s="41">
        <v>6055.06</v>
      </c>
      <c r="E3130" s="41">
        <v>6055.06</v>
      </c>
      <c r="F3130" s="41">
        <v>6034.4380000000001</v>
      </c>
      <c r="G3130" s="41">
        <v>6037.6109999999999</v>
      </c>
      <c r="H3130" s="41">
        <v>7025292178.4499998</v>
      </c>
      <c r="I3130" s="42">
        <v>23250</v>
      </c>
    </row>
    <row r="3131" spans="1:9" x14ac:dyDescent="0.25">
      <c r="A3131" t="s">
        <v>9</v>
      </c>
      <c r="B3131" s="39">
        <v>45733</v>
      </c>
      <c r="C3131" s="40">
        <v>0.47916666666666669</v>
      </c>
      <c r="D3131" s="41">
        <v>6062.4629999999997</v>
      </c>
      <c r="E3131" s="41">
        <v>6064.5780000000004</v>
      </c>
      <c r="F3131" s="41">
        <v>6049.7730000000001</v>
      </c>
      <c r="G3131" s="41">
        <v>6054.5320000000002</v>
      </c>
      <c r="H3131" s="41">
        <v>4320033607.4099998</v>
      </c>
      <c r="I3131" s="42">
        <v>14265</v>
      </c>
    </row>
    <row r="3132" spans="1:9" x14ac:dyDescent="0.25">
      <c r="A3132" t="s">
        <v>9</v>
      </c>
      <c r="B3132" s="39">
        <v>45733</v>
      </c>
      <c r="C3132" s="40">
        <v>0.45833333333333331</v>
      </c>
      <c r="D3132" s="41">
        <v>6074.625</v>
      </c>
      <c r="E3132" s="41">
        <v>6076.74</v>
      </c>
      <c r="F3132" s="41">
        <v>6054.0029999999997</v>
      </c>
      <c r="G3132" s="41">
        <v>6061.9350000000004</v>
      </c>
      <c r="H3132" s="41">
        <v>5784648460.9499998</v>
      </c>
      <c r="I3132" s="42">
        <v>19075</v>
      </c>
    </row>
    <row r="3133" spans="1:9" x14ac:dyDescent="0.25">
      <c r="A3133" t="s">
        <v>9</v>
      </c>
      <c r="B3133" s="39">
        <v>45733</v>
      </c>
      <c r="C3133" s="40">
        <v>0.4375</v>
      </c>
      <c r="D3133" s="41">
        <v>6069.866</v>
      </c>
      <c r="E3133" s="41">
        <v>6075.1540000000005</v>
      </c>
      <c r="F3133" s="41">
        <v>6062.9920000000002</v>
      </c>
      <c r="G3133" s="41">
        <v>6074.625</v>
      </c>
      <c r="H3133" s="41">
        <v>3260259238.6100001</v>
      </c>
      <c r="I3133" s="42">
        <v>10745</v>
      </c>
    </row>
    <row r="3134" spans="1:9" x14ac:dyDescent="0.25">
      <c r="A3134" t="s">
        <v>9</v>
      </c>
      <c r="B3134" s="39">
        <v>45733</v>
      </c>
      <c r="C3134" s="40">
        <v>0.41666666666666669</v>
      </c>
      <c r="D3134" s="41">
        <v>6055.5889999999999</v>
      </c>
      <c r="E3134" s="41">
        <v>6073.5680000000002</v>
      </c>
      <c r="F3134" s="41">
        <v>6053.4740000000002</v>
      </c>
      <c r="G3134" s="41">
        <v>6070.3950000000004</v>
      </c>
      <c r="H3134" s="41">
        <v>5262644726.1300001</v>
      </c>
      <c r="I3134" s="42">
        <v>17365</v>
      </c>
    </row>
    <row r="3135" spans="1:9" x14ac:dyDescent="0.25">
      <c r="A3135" t="s">
        <v>9</v>
      </c>
      <c r="B3135" s="39">
        <v>45733</v>
      </c>
      <c r="C3135" s="40">
        <v>0.39583333333333331</v>
      </c>
      <c r="D3135" s="41">
        <v>6056.6469999999999</v>
      </c>
      <c r="E3135" s="41">
        <v>6062.9920000000002</v>
      </c>
      <c r="F3135" s="41">
        <v>6047.6570000000002</v>
      </c>
      <c r="G3135" s="41">
        <v>6055.06</v>
      </c>
      <c r="H3135" s="41">
        <v>4960873652.3900003</v>
      </c>
      <c r="I3135" s="42">
        <v>16385</v>
      </c>
    </row>
    <row r="3136" spans="1:9" x14ac:dyDescent="0.25">
      <c r="A3136" t="s">
        <v>9</v>
      </c>
      <c r="B3136" s="39">
        <v>45733</v>
      </c>
      <c r="C3136" s="40">
        <v>0.375</v>
      </c>
      <c r="D3136" s="41">
        <v>6090.4889999999996</v>
      </c>
      <c r="E3136" s="41">
        <v>6091.0169999999998</v>
      </c>
      <c r="F3136" s="41">
        <v>6055.5889999999999</v>
      </c>
      <c r="G3136" s="41">
        <v>6056.6469999999999</v>
      </c>
      <c r="H3136" s="41">
        <v>4065443065.9299998</v>
      </c>
      <c r="I3136" s="42">
        <v>13390</v>
      </c>
    </row>
    <row r="3137" spans="1:9" x14ac:dyDescent="0.25">
      <c r="A3137" t="s">
        <v>9</v>
      </c>
      <c r="B3137" s="39">
        <v>45730</v>
      </c>
      <c r="C3137" s="40">
        <v>0.75</v>
      </c>
      <c r="D3137" s="41">
        <v>6093.6610000000001</v>
      </c>
      <c r="E3137" s="41">
        <v>6098.42</v>
      </c>
      <c r="F3137" s="41">
        <v>6093.1329999999998</v>
      </c>
      <c r="G3137" s="41">
        <v>6097.3630000000003</v>
      </c>
      <c r="H3137" s="41">
        <v>525698849.81</v>
      </c>
      <c r="I3137" s="42">
        <v>1725</v>
      </c>
    </row>
    <row r="3138" spans="1:9" x14ac:dyDescent="0.25">
      <c r="A3138" t="s">
        <v>9</v>
      </c>
      <c r="B3138" s="39">
        <v>45730</v>
      </c>
      <c r="C3138" s="40">
        <v>0.72916666666666663</v>
      </c>
      <c r="D3138" s="41">
        <v>6098.42</v>
      </c>
      <c r="E3138" s="41">
        <v>6098.42</v>
      </c>
      <c r="F3138" s="41">
        <v>6090.4889999999996</v>
      </c>
      <c r="G3138" s="41">
        <v>6094.19</v>
      </c>
      <c r="H3138" s="41">
        <v>1026805990.17</v>
      </c>
      <c r="I3138" s="42">
        <v>3370</v>
      </c>
    </row>
    <row r="3139" spans="1:9" x14ac:dyDescent="0.25">
      <c r="A3139" t="s">
        <v>9</v>
      </c>
      <c r="B3139" s="39">
        <v>45730</v>
      </c>
      <c r="C3139" s="40">
        <v>0.70833333333333337</v>
      </c>
      <c r="D3139" s="41">
        <v>6096.8339999999998</v>
      </c>
      <c r="E3139" s="41">
        <v>6102.6509999999998</v>
      </c>
      <c r="F3139" s="41">
        <v>6091.5460000000003</v>
      </c>
      <c r="G3139" s="41">
        <v>6098.42</v>
      </c>
      <c r="H3139" s="41">
        <v>1441838446</v>
      </c>
      <c r="I3139" s="42">
        <v>4730</v>
      </c>
    </row>
    <row r="3140" spans="1:9" x14ac:dyDescent="0.25">
      <c r="A3140" t="s">
        <v>9</v>
      </c>
      <c r="B3140" s="39">
        <v>45730</v>
      </c>
      <c r="C3140" s="40">
        <v>0.6875</v>
      </c>
      <c r="D3140" s="41">
        <v>6091.5460000000003</v>
      </c>
      <c r="E3140" s="41">
        <v>6096.8339999999998</v>
      </c>
      <c r="F3140" s="41">
        <v>6089.96</v>
      </c>
      <c r="G3140" s="41">
        <v>6096.3050000000003</v>
      </c>
      <c r="H3140" s="41">
        <v>5067612400.3500004</v>
      </c>
      <c r="I3140" s="42">
        <v>16635</v>
      </c>
    </row>
    <row r="3141" spans="1:9" x14ac:dyDescent="0.25">
      <c r="A3141" t="s">
        <v>9</v>
      </c>
      <c r="B3141" s="39">
        <v>45730</v>
      </c>
      <c r="C3141" s="40">
        <v>0.66666666666666663</v>
      </c>
      <c r="D3141" s="41">
        <v>6088.902</v>
      </c>
      <c r="E3141" s="41">
        <v>6093.6610000000001</v>
      </c>
      <c r="F3141" s="41">
        <v>6083.6139999999996</v>
      </c>
      <c r="G3141" s="41">
        <v>6092.0749999999998</v>
      </c>
      <c r="H3141" s="41">
        <v>2564802295.3099999</v>
      </c>
      <c r="I3141" s="42">
        <v>8425</v>
      </c>
    </row>
    <row r="3142" spans="1:9" x14ac:dyDescent="0.25">
      <c r="A3142" t="s">
        <v>9</v>
      </c>
      <c r="B3142" s="39">
        <v>45730</v>
      </c>
      <c r="C3142" s="40">
        <v>0.64583333333333337</v>
      </c>
      <c r="D3142" s="41">
        <v>6085.73</v>
      </c>
      <c r="E3142" s="41">
        <v>6093.6610000000001</v>
      </c>
      <c r="F3142" s="41">
        <v>6081.4989999999998</v>
      </c>
      <c r="G3142" s="41">
        <v>6088.902</v>
      </c>
      <c r="H3142" s="41">
        <v>5652242729.3100004</v>
      </c>
      <c r="I3142" s="42">
        <v>18565</v>
      </c>
    </row>
    <row r="3143" spans="1:9" x14ac:dyDescent="0.25">
      <c r="A3143" t="s">
        <v>9</v>
      </c>
      <c r="B3143" s="39">
        <v>45730</v>
      </c>
      <c r="C3143" s="40">
        <v>0.625</v>
      </c>
      <c r="D3143" s="41">
        <v>6082.0280000000002</v>
      </c>
      <c r="E3143" s="41">
        <v>6086.7870000000003</v>
      </c>
      <c r="F3143" s="41">
        <v>6074.625</v>
      </c>
      <c r="G3143" s="41">
        <v>6085.201</v>
      </c>
      <c r="H3143" s="41">
        <v>5208038006.8400002</v>
      </c>
      <c r="I3143" s="42">
        <v>17130</v>
      </c>
    </row>
    <row r="3144" spans="1:9" x14ac:dyDescent="0.25">
      <c r="A3144" t="s">
        <v>9</v>
      </c>
      <c r="B3144" s="39">
        <v>45730</v>
      </c>
      <c r="C3144" s="40">
        <v>0.60416666666666663</v>
      </c>
      <c r="D3144" s="41">
        <v>6062.9920000000002</v>
      </c>
      <c r="E3144" s="41">
        <v>6082.0280000000002</v>
      </c>
      <c r="F3144" s="41">
        <v>6062.9920000000002</v>
      </c>
      <c r="G3144" s="41">
        <v>6082.0280000000002</v>
      </c>
      <c r="H3144" s="41">
        <v>3522021491.73</v>
      </c>
      <c r="I3144" s="42">
        <v>11595</v>
      </c>
    </row>
    <row r="3145" spans="1:9" x14ac:dyDescent="0.25">
      <c r="A3145" t="s">
        <v>9</v>
      </c>
      <c r="B3145" s="39">
        <v>45730</v>
      </c>
      <c r="C3145" s="40">
        <v>0.58333333333333337</v>
      </c>
      <c r="D3145" s="41">
        <v>6066.6940000000004</v>
      </c>
      <c r="E3145" s="41">
        <v>6071.4530000000004</v>
      </c>
      <c r="F3145" s="41">
        <v>6061.9350000000004</v>
      </c>
      <c r="G3145" s="41">
        <v>6063.5209999999997</v>
      </c>
      <c r="H3145" s="41">
        <v>4220849540.04</v>
      </c>
      <c r="I3145" s="42">
        <v>13915</v>
      </c>
    </row>
    <row r="3146" spans="1:9" x14ac:dyDescent="0.25">
      <c r="A3146" t="s">
        <v>9</v>
      </c>
      <c r="B3146" s="39">
        <v>45730</v>
      </c>
      <c r="C3146" s="40">
        <v>0.5625</v>
      </c>
      <c r="D3146" s="41">
        <v>6075.683</v>
      </c>
      <c r="E3146" s="41">
        <v>6076.74</v>
      </c>
      <c r="F3146" s="41">
        <v>6065.107</v>
      </c>
      <c r="G3146" s="41">
        <v>6065.107</v>
      </c>
      <c r="H3146" s="41">
        <v>4402647558.71</v>
      </c>
      <c r="I3146" s="42">
        <v>14505</v>
      </c>
    </row>
    <row r="3147" spans="1:9" x14ac:dyDescent="0.25">
      <c r="A3147" t="s">
        <v>9</v>
      </c>
      <c r="B3147" s="39">
        <v>45730</v>
      </c>
      <c r="C3147" s="40">
        <v>0.54166666666666663</v>
      </c>
      <c r="D3147" s="41">
        <v>6081.4989999999998</v>
      </c>
      <c r="E3147" s="41">
        <v>6084.143</v>
      </c>
      <c r="F3147" s="41">
        <v>6069.866</v>
      </c>
      <c r="G3147" s="41">
        <v>6076.2120000000004</v>
      </c>
      <c r="H3147" s="41">
        <v>2646130914.5</v>
      </c>
      <c r="I3147" s="42">
        <v>8710</v>
      </c>
    </row>
    <row r="3148" spans="1:9" x14ac:dyDescent="0.25">
      <c r="A3148" t="s">
        <v>9</v>
      </c>
      <c r="B3148" s="39">
        <v>45730</v>
      </c>
      <c r="C3148" s="40">
        <v>0.52083333333333337</v>
      </c>
      <c r="D3148" s="41">
        <v>6083.0860000000002</v>
      </c>
      <c r="E3148" s="41">
        <v>6085.73</v>
      </c>
      <c r="F3148" s="41">
        <v>6072.51</v>
      </c>
      <c r="G3148" s="41">
        <v>6082.0280000000002</v>
      </c>
      <c r="H3148" s="41">
        <v>2419514952.8400002</v>
      </c>
      <c r="I3148" s="42">
        <v>7960</v>
      </c>
    </row>
    <row r="3149" spans="1:9" x14ac:dyDescent="0.25">
      <c r="A3149" t="s">
        <v>9</v>
      </c>
      <c r="B3149" s="39">
        <v>45730</v>
      </c>
      <c r="C3149" s="40">
        <v>0.5</v>
      </c>
      <c r="D3149" s="41">
        <v>6084.143</v>
      </c>
      <c r="E3149" s="41">
        <v>6088.902</v>
      </c>
      <c r="F3149" s="41">
        <v>6079.9129999999996</v>
      </c>
      <c r="G3149" s="41">
        <v>6083.0860000000002</v>
      </c>
      <c r="H3149" s="41">
        <v>3325286758.5700002</v>
      </c>
      <c r="I3149" s="42">
        <v>10930</v>
      </c>
    </row>
    <row r="3150" spans="1:9" x14ac:dyDescent="0.25">
      <c r="A3150" t="s">
        <v>9</v>
      </c>
      <c r="B3150" s="39">
        <v>45730</v>
      </c>
      <c r="C3150" s="40">
        <v>0.47916666666666669</v>
      </c>
      <c r="D3150" s="41">
        <v>6085.201</v>
      </c>
      <c r="E3150" s="41">
        <v>6090.4889999999996</v>
      </c>
      <c r="F3150" s="41">
        <v>6078.3270000000002</v>
      </c>
      <c r="G3150" s="41">
        <v>6084.143</v>
      </c>
      <c r="H3150" s="41">
        <v>7521096183.6800003</v>
      </c>
      <c r="I3150" s="42">
        <v>24730</v>
      </c>
    </row>
    <row r="3151" spans="1:9" x14ac:dyDescent="0.25">
      <c r="A3151" t="s">
        <v>9</v>
      </c>
      <c r="B3151" s="39">
        <v>45730</v>
      </c>
      <c r="C3151" s="40">
        <v>0.45833333333333331</v>
      </c>
      <c r="D3151" s="41">
        <v>6093.1329999999998</v>
      </c>
      <c r="E3151" s="41">
        <v>6098.9489999999996</v>
      </c>
      <c r="F3151" s="41">
        <v>6081.4989999999998</v>
      </c>
      <c r="G3151" s="41">
        <v>6085.201</v>
      </c>
      <c r="H3151" s="41">
        <v>8579307875.2399998</v>
      </c>
      <c r="I3151" s="42">
        <v>28165</v>
      </c>
    </row>
    <row r="3152" spans="1:9" x14ac:dyDescent="0.25">
      <c r="A3152" t="s">
        <v>9</v>
      </c>
      <c r="B3152" s="39">
        <v>45730</v>
      </c>
      <c r="C3152" s="40">
        <v>0.4375</v>
      </c>
      <c r="D3152" s="41">
        <v>6104.7659999999996</v>
      </c>
      <c r="E3152" s="41">
        <v>6106.3519999999999</v>
      </c>
      <c r="F3152" s="41">
        <v>6088.3739999999998</v>
      </c>
      <c r="G3152" s="41">
        <v>6092.6040000000003</v>
      </c>
      <c r="H3152" s="41">
        <v>9018028619.7999992</v>
      </c>
      <c r="I3152" s="42">
        <v>29595</v>
      </c>
    </row>
    <row r="3153" spans="1:9" x14ac:dyDescent="0.25">
      <c r="A3153" t="s">
        <v>9</v>
      </c>
      <c r="B3153" s="39">
        <v>45730</v>
      </c>
      <c r="C3153" s="40">
        <v>0.41666666666666669</v>
      </c>
      <c r="D3153" s="41">
        <v>6111.64</v>
      </c>
      <c r="E3153" s="41">
        <v>6114.2839999999997</v>
      </c>
      <c r="F3153" s="41">
        <v>6097.8919999999998</v>
      </c>
      <c r="G3153" s="41">
        <v>6104.2370000000001</v>
      </c>
      <c r="H3153" s="41">
        <v>9181347626.3999996</v>
      </c>
      <c r="I3153" s="42">
        <v>30070</v>
      </c>
    </row>
    <row r="3154" spans="1:9" x14ac:dyDescent="0.25">
      <c r="A3154" t="s">
        <v>9</v>
      </c>
      <c r="B3154" s="39">
        <v>45730</v>
      </c>
      <c r="C3154" s="40">
        <v>0.39583333333333331</v>
      </c>
      <c r="D3154" s="41">
        <v>6126.4459999999999</v>
      </c>
      <c r="E3154" s="41">
        <v>6126.9740000000002</v>
      </c>
      <c r="F3154" s="41">
        <v>6107.41</v>
      </c>
      <c r="G3154" s="41">
        <v>6111.64</v>
      </c>
      <c r="H3154" s="41">
        <v>6510834002.7700005</v>
      </c>
      <c r="I3154" s="42">
        <v>21290</v>
      </c>
    </row>
    <row r="3155" spans="1:9" x14ac:dyDescent="0.25">
      <c r="A3155" t="s">
        <v>9</v>
      </c>
      <c r="B3155" s="39">
        <v>45730</v>
      </c>
      <c r="C3155" s="40">
        <v>0.375</v>
      </c>
      <c r="D3155" s="41">
        <v>6146.5389999999998</v>
      </c>
      <c r="E3155" s="41">
        <v>6147.0680000000002</v>
      </c>
      <c r="F3155" s="41">
        <v>6123.2730000000001</v>
      </c>
      <c r="G3155" s="41">
        <v>6125.9170000000004</v>
      </c>
      <c r="H3155" s="41">
        <v>5146829732.9899998</v>
      </c>
      <c r="I3155" s="42">
        <v>16785</v>
      </c>
    </row>
    <row r="3156" spans="1:9" x14ac:dyDescent="0.25">
      <c r="A3156" t="s">
        <v>9</v>
      </c>
      <c r="B3156" s="39">
        <v>45729</v>
      </c>
      <c r="C3156" s="40">
        <v>0.75</v>
      </c>
      <c r="D3156" s="41">
        <v>6157.6440000000002</v>
      </c>
      <c r="E3156" s="41">
        <v>6158.1719999999996</v>
      </c>
      <c r="F3156" s="41">
        <v>6155</v>
      </c>
      <c r="G3156" s="41">
        <v>6158.1719999999996</v>
      </c>
      <c r="H3156" s="41">
        <v>224725969.56</v>
      </c>
      <c r="I3156">
        <v>730</v>
      </c>
    </row>
    <row r="3157" spans="1:9" x14ac:dyDescent="0.25">
      <c r="A3157" t="s">
        <v>9</v>
      </c>
      <c r="B3157" s="39">
        <v>45729</v>
      </c>
      <c r="C3157" s="40">
        <v>0.72916666666666663</v>
      </c>
      <c r="D3157" s="41">
        <v>6158.701</v>
      </c>
      <c r="E3157" s="41">
        <v>6161.8739999999998</v>
      </c>
      <c r="F3157" s="41">
        <v>6156.0569999999998</v>
      </c>
      <c r="G3157" s="41">
        <v>6156.5860000000002</v>
      </c>
      <c r="H3157" s="41">
        <v>2772679613.9000001</v>
      </c>
      <c r="I3157" s="42">
        <v>9005</v>
      </c>
    </row>
    <row r="3158" spans="1:9" x14ac:dyDescent="0.25">
      <c r="A3158" t="s">
        <v>9</v>
      </c>
      <c r="B3158" s="39">
        <v>45729</v>
      </c>
      <c r="C3158" s="40">
        <v>0.70833333333333337</v>
      </c>
      <c r="D3158" s="41">
        <v>6154.4709999999995</v>
      </c>
      <c r="E3158" s="41">
        <v>6160.2879999999996</v>
      </c>
      <c r="F3158" s="41">
        <v>6154.4709999999995</v>
      </c>
      <c r="G3158" s="41">
        <v>6158.701</v>
      </c>
      <c r="H3158" s="41">
        <v>1254611045.97</v>
      </c>
      <c r="I3158" s="42">
        <v>4075</v>
      </c>
    </row>
    <row r="3159" spans="1:9" x14ac:dyDescent="0.25">
      <c r="A3159" t="s">
        <v>9</v>
      </c>
      <c r="B3159" s="39">
        <v>45729</v>
      </c>
      <c r="C3159" s="40">
        <v>0.6875</v>
      </c>
      <c r="D3159" s="41">
        <v>6158.1719999999996</v>
      </c>
      <c r="E3159" s="41">
        <v>6158.701</v>
      </c>
      <c r="F3159" s="41">
        <v>6147.5969999999998</v>
      </c>
      <c r="G3159" s="41">
        <v>6154.4709999999995</v>
      </c>
      <c r="H3159" s="41">
        <v>2279628834.21</v>
      </c>
      <c r="I3159" s="42">
        <v>7410</v>
      </c>
    </row>
    <row r="3160" spans="1:9" x14ac:dyDescent="0.25">
      <c r="A3160" t="s">
        <v>9</v>
      </c>
      <c r="B3160" s="39">
        <v>45729</v>
      </c>
      <c r="C3160" s="40">
        <v>0.66666666666666663</v>
      </c>
      <c r="D3160" s="41">
        <v>6167.1620000000003</v>
      </c>
      <c r="E3160" s="41">
        <v>6167.6909999999998</v>
      </c>
      <c r="F3160" s="41">
        <v>6153.942</v>
      </c>
      <c r="G3160" s="41">
        <v>6157.6440000000002</v>
      </c>
      <c r="H3160" s="41">
        <v>3250693475.29</v>
      </c>
      <c r="I3160" s="42">
        <v>10555</v>
      </c>
    </row>
    <row r="3161" spans="1:9" x14ac:dyDescent="0.25">
      <c r="A3161" t="s">
        <v>9</v>
      </c>
      <c r="B3161" s="39">
        <v>45729</v>
      </c>
      <c r="C3161" s="40">
        <v>0.64583333333333337</v>
      </c>
      <c r="D3161" s="41">
        <v>6163.9889999999996</v>
      </c>
      <c r="E3161" s="41">
        <v>6167.6909999999998</v>
      </c>
      <c r="F3161" s="41">
        <v>6162.4030000000002</v>
      </c>
      <c r="G3161" s="41">
        <v>6167.1620000000003</v>
      </c>
      <c r="H3161" s="41">
        <v>3179625700.8000002</v>
      </c>
      <c r="I3161" s="42">
        <v>10315</v>
      </c>
    </row>
    <row r="3162" spans="1:9" x14ac:dyDescent="0.25">
      <c r="A3162" t="s">
        <v>9</v>
      </c>
      <c r="B3162" s="39">
        <v>45729</v>
      </c>
      <c r="C3162" s="40">
        <v>0.625</v>
      </c>
      <c r="D3162" s="41">
        <v>6168.7479999999996</v>
      </c>
      <c r="E3162" s="41">
        <v>6168.7479999999996</v>
      </c>
      <c r="F3162" s="41">
        <v>6160.2879999999996</v>
      </c>
      <c r="G3162" s="41">
        <v>6163.9889999999996</v>
      </c>
      <c r="H3162" s="41">
        <v>2345290758.04</v>
      </c>
      <c r="I3162" s="42">
        <v>7610</v>
      </c>
    </row>
    <row r="3163" spans="1:9" x14ac:dyDescent="0.25">
      <c r="A3163" t="s">
        <v>9</v>
      </c>
      <c r="B3163" s="39">
        <v>45729</v>
      </c>
      <c r="C3163" s="40">
        <v>0.60416666666666663</v>
      </c>
      <c r="D3163" s="41">
        <v>6166.1040000000003</v>
      </c>
      <c r="E3163" s="41">
        <v>6169.8059999999996</v>
      </c>
      <c r="F3163" s="41">
        <v>6165.0469999999996</v>
      </c>
      <c r="G3163" s="41">
        <v>6168.7479999999996</v>
      </c>
      <c r="H3163" s="41">
        <v>2391112986.54</v>
      </c>
      <c r="I3163" s="42">
        <v>7755</v>
      </c>
    </row>
    <row r="3164" spans="1:9" x14ac:dyDescent="0.25">
      <c r="A3164" t="s">
        <v>9</v>
      </c>
      <c r="B3164" s="39">
        <v>45729</v>
      </c>
      <c r="C3164" s="40">
        <v>0.58333333333333337</v>
      </c>
      <c r="D3164" s="41">
        <v>6158.701</v>
      </c>
      <c r="E3164" s="41">
        <v>6166.6329999999998</v>
      </c>
      <c r="F3164" s="41">
        <v>6153.942</v>
      </c>
      <c r="G3164" s="41">
        <v>6166.1040000000003</v>
      </c>
      <c r="H3164" s="41">
        <v>3508573821.8600001</v>
      </c>
      <c r="I3164" s="42">
        <v>11390</v>
      </c>
    </row>
    <row r="3165" spans="1:9" x14ac:dyDescent="0.25">
      <c r="A3165" t="s">
        <v>9</v>
      </c>
      <c r="B3165" s="39">
        <v>45729</v>
      </c>
      <c r="C3165" s="40">
        <v>0.5625</v>
      </c>
      <c r="D3165" s="41">
        <v>6163.9889999999996</v>
      </c>
      <c r="E3165" s="41">
        <v>6165.0469999999996</v>
      </c>
      <c r="F3165" s="41">
        <v>6156.0569999999998</v>
      </c>
      <c r="G3165" s="41">
        <v>6159.23</v>
      </c>
      <c r="H3165" s="41">
        <v>1459858476.98</v>
      </c>
      <c r="I3165" s="42">
        <v>4740</v>
      </c>
    </row>
    <row r="3166" spans="1:9" x14ac:dyDescent="0.25">
      <c r="A3166" t="s">
        <v>9</v>
      </c>
      <c r="B3166" s="39">
        <v>45729</v>
      </c>
      <c r="C3166" s="40">
        <v>0.54166666666666663</v>
      </c>
      <c r="D3166" s="41">
        <v>6160.8159999999998</v>
      </c>
      <c r="E3166" s="41">
        <v>6165.5749999999998</v>
      </c>
      <c r="F3166" s="41">
        <v>6160.8159999999998</v>
      </c>
      <c r="G3166" s="41">
        <v>6164.518</v>
      </c>
      <c r="H3166" s="41">
        <v>3084259954.1799998</v>
      </c>
      <c r="I3166" s="42">
        <v>10010</v>
      </c>
    </row>
    <row r="3167" spans="1:9" x14ac:dyDescent="0.25">
      <c r="A3167" t="s">
        <v>9</v>
      </c>
      <c r="B3167" s="39">
        <v>45729</v>
      </c>
      <c r="C3167" s="40">
        <v>0.52083333333333337</v>
      </c>
      <c r="D3167" s="41">
        <v>6155.5290000000005</v>
      </c>
      <c r="E3167" s="41">
        <v>6166.1040000000003</v>
      </c>
      <c r="F3167" s="41">
        <v>6155.5290000000005</v>
      </c>
      <c r="G3167" s="41">
        <v>6161.3450000000003</v>
      </c>
      <c r="H3167" s="41">
        <v>3724968729.5100002</v>
      </c>
      <c r="I3167" s="42">
        <v>12090</v>
      </c>
    </row>
    <row r="3168" spans="1:9" x14ac:dyDescent="0.25">
      <c r="A3168" t="s">
        <v>9</v>
      </c>
      <c r="B3168" s="39">
        <v>45729</v>
      </c>
      <c r="C3168" s="40">
        <v>0.5</v>
      </c>
      <c r="D3168" s="41">
        <v>6164.518</v>
      </c>
      <c r="E3168" s="41">
        <v>6168.7479999999996</v>
      </c>
      <c r="F3168" s="41">
        <v>6152.3559999999998</v>
      </c>
      <c r="G3168" s="41">
        <v>6156.0569999999998</v>
      </c>
      <c r="H3168" s="41">
        <v>3526241817.5100002</v>
      </c>
      <c r="I3168" s="42">
        <v>11445</v>
      </c>
    </row>
    <row r="3169" spans="1:9" x14ac:dyDescent="0.25">
      <c r="A3169" t="s">
        <v>9</v>
      </c>
      <c r="B3169" s="39">
        <v>45729</v>
      </c>
      <c r="C3169" s="40">
        <v>0.47916666666666669</v>
      </c>
      <c r="D3169" s="41">
        <v>6165.0469999999996</v>
      </c>
      <c r="E3169" s="41">
        <v>6170.3339999999998</v>
      </c>
      <c r="F3169" s="41">
        <v>6161.8739999999998</v>
      </c>
      <c r="G3169" s="41">
        <v>6165.0469999999996</v>
      </c>
      <c r="H3169" s="41">
        <v>3112259122.2800002</v>
      </c>
      <c r="I3169" s="42">
        <v>10095</v>
      </c>
    </row>
    <row r="3170" spans="1:9" x14ac:dyDescent="0.25">
      <c r="A3170" t="s">
        <v>9</v>
      </c>
      <c r="B3170" s="39">
        <v>45729</v>
      </c>
      <c r="C3170" s="40">
        <v>0.45833333333333331</v>
      </c>
      <c r="D3170" s="41">
        <v>6185.14</v>
      </c>
      <c r="E3170" s="41">
        <v>6185.6689999999999</v>
      </c>
      <c r="F3170" s="41">
        <v>6164.518</v>
      </c>
      <c r="G3170" s="41">
        <v>6165.0469999999996</v>
      </c>
      <c r="H3170" s="41">
        <v>7598326228.6899996</v>
      </c>
      <c r="I3170" s="42">
        <v>24620</v>
      </c>
    </row>
    <row r="3171" spans="1:9" x14ac:dyDescent="0.25">
      <c r="A3171" t="s">
        <v>9</v>
      </c>
      <c r="B3171" s="39">
        <v>45729</v>
      </c>
      <c r="C3171" s="40">
        <v>0.4375</v>
      </c>
      <c r="D3171" s="41">
        <v>6188.3130000000001</v>
      </c>
      <c r="E3171" s="41">
        <v>6194.13</v>
      </c>
      <c r="F3171" s="41">
        <v>6182.4960000000001</v>
      </c>
      <c r="G3171" s="41">
        <v>6184.6109999999999</v>
      </c>
      <c r="H3171" s="41">
        <v>7416549229.0299997</v>
      </c>
      <c r="I3171" s="42">
        <v>23970</v>
      </c>
    </row>
    <row r="3172" spans="1:9" x14ac:dyDescent="0.25">
      <c r="A3172" t="s">
        <v>9</v>
      </c>
      <c r="B3172" s="39">
        <v>45729</v>
      </c>
      <c r="C3172" s="40">
        <v>0.41666666666666669</v>
      </c>
      <c r="D3172" s="41">
        <v>6171.9210000000003</v>
      </c>
      <c r="E3172" s="41">
        <v>6194.6580000000004</v>
      </c>
      <c r="F3172" s="41">
        <v>6167.6909999999998</v>
      </c>
      <c r="G3172" s="41">
        <v>6188.8419999999996</v>
      </c>
      <c r="H3172" s="41">
        <v>4082809921.3499999</v>
      </c>
      <c r="I3172" s="42">
        <v>13205</v>
      </c>
    </row>
    <row r="3173" spans="1:9" x14ac:dyDescent="0.25">
      <c r="A3173" t="s">
        <v>9</v>
      </c>
      <c r="B3173" s="39">
        <v>45729</v>
      </c>
      <c r="C3173" s="40">
        <v>0.39583333333333331</v>
      </c>
      <c r="D3173" s="41">
        <v>6170.8630000000003</v>
      </c>
      <c r="E3173" s="41">
        <v>6182.4960000000001</v>
      </c>
      <c r="F3173" s="41">
        <v>6166.6329999999998</v>
      </c>
      <c r="G3173" s="41">
        <v>6170.8630000000003</v>
      </c>
      <c r="H3173" s="41">
        <v>5188888501.6700001</v>
      </c>
      <c r="I3173" s="42">
        <v>16805</v>
      </c>
    </row>
    <row r="3174" spans="1:9" x14ac:dyDescent="0.25">
      <c r="A3174" t="s">
        <v>9</v>
      </c>
      <c r="B3174" s="39">
        <v>45729</v>
      </c>
      <c r="C3174" s="40">
        <v>0.375</v>
      </c>
      <c r="D3174" s="41">
        <v>6185.6689999999999</v>
      </c>
      <c r="E3174" s="41">
        <v>6185.6689999999999</v>
      </c>
      <c r="F3174" s="41">
        <v>6167.6909999999998</v>
      </c>
      <c r="G3174" s="41">
        <v>6172.45</v>
      </c>
      <c r="H3174" s="41">
        <v>3043034675.0500002</v>
      </c>
      <c r="I3174" s="42">
        <v>9855</v>
      </c>
    </row>
    <row r="3175" spans="1:9" x14ac:dyDescent="0.25">
      <c r="A3175" t="s">
        <v>9</v>
      </c>
      <c r="B3175" s="39">
        <v>45728</v>
      </c>
      <c r="C3175" s="40">
        <v>0.75</v>
      </c>
      <c r="D3175" s="41">
        <v>6156.0569999999998</v>
      </c>
      <c r="E3175" s="41">
        <v>6162.9309999999996</v>
      </c>
      <c r="F3175" s="41">
        <v>6156.0569999999998</v>
      </c>
      <c r="G3175" s="41">
        <v>6162.9309999999996</v>
      </c>
      <c r="H3175" s="41">
        <v>611437494.62</v>
      </c>
      <c r="I3175" s="42">
        <v>1985</v>
      </c>
    </row>
    <row r="3176" spans="1:9" x14ac:dyDescent="0.25">
      <c r="A3176" t="s">
        <v>9</v>
      </c>
      <c r="B3176" s="39">
        <v>45728</v>
      </c>
      <c r="C3176" s="40">
        <v>0.72916666666666663</v>
      </c>
      <c r="D3176" s="41">
        <v>6160.2879999999996</v>
      </c>
      <c r="E3176" s="41">
        <v>6163.46</v>
      </c>
      <c r="F3176" s="41">
        <v>6153.942</v>
      </c>
      <c r="G3176" s="41">
        <v>6156.5860000000002</v>
      </c>
      <c r="H3176" s="41">
        <v>1042319074.9299999</v>
      </c>
      <c r="I3176" s="42">
        <v>3385</v>
      </c>
    </row>
    <row r="3177" spans="1:9" x14ac:dyDescent="0.25">
      <c r="A3177" t="s">
        <v>9</v>
      </c>
      <c r="B3177" s="39">
        <v>45728</v>
      </c>
      <c r="C3177" s="40">
        <v>0.70833333333333337</v>
      </c>
      <c r="D3177" s="41">
        <v>6166.6329999999998</v>
      </c>
      <c r="E3177" s="41">
        <v>6167.1620000000003</v>
      </c>
      <c r="F3177" s="41">
        <v>6157.6440000000002</v>
      </c>
      <c r="G3177" s="41">
        <v>6159.759</v>
      </c>
      <c r="H3177" s="41">
        <v>1703890074.01</v>
      </c>
      <c r="I3177" s="42">
        <v>5530</v>
      </c>
    </row>
    <row r="3178" spans="1:9" x14ac:dyDescent="0.25">
      <c r="A3178" t="s">
        <v>9</v>
      </c>
      <c r="B3178" s="39">
        <v>45728</v>
      </c>
      <c r="C3178" s="40">
        <v>0.6875</v>
      </c>
      <c r="D3178" s="41">
        <v>6163.46</v>
      </c>
      <c r="E3178" s="41">
        <v>6166.6329999999998</v>
      </c>
      <c r="F3178" s="41">
        <v>6157.6440000000002</v>
      </c>
      <c r="G3178" s="41">
        <v>6166.6329999999998</v>
      </c>
      <c r="H3178" s="41">
        <v>1889997650.0899999</v>
      </c>
      <c r="I3178" s="42">
        <v>6135</v>
      </c>
    </row>
    <row r="3179" spans="1:9" x14ac:dyDescent="0.25">
      <c r="A3179" t="s">
        <v>9</v>
      </c>
      <c r="B3179" s="39">
        <v>45728</v>
      </c>
      <c r="C3179" s="40">
        <v>0.66666666666666663</v>
      </c>
      <c r="D3179" s="41">
        <v>6159.23</v>
      </c>
      <c r="E3179" s="41">
        <v>6165.0469999999996</v>
      </c>
      <c r="F3179" s="41">
        <v>6157.6440000000002</v>
      </c>
      <c r="G3179" s="41">
        <v>6163.46</v>
      </c>
      <c r="H3179" s="41">
        <v>2175271315.0100002</v>
      </c>
      <c r="I3179" s="42">
        <v>7060</v>
      </c>
    </row>
    <row r="3180" spans="1:9" x14ac:dyDescent="0.25">
      <c r="A3180" t="s">
        <v>9</v>
      </c>
      <c r="B3180" s="39">
        <v>45728</v>
      </c>
      <c r="C3180" s="40">
        <v>0.64583333333333337</v>
      </c>
      <c r="D3180" s="41">
        <v>6159.759</v>
      </c>
      <c r="E3180" s="41">
        <v>6161.3450000000003</v>
      </c>
      <c r="F3180" s="41">
        <v>6142.8379999999997</v>
      </c>
      <c r="G3180" s="41">
        <v>6159.23</v>
      </c>
      <c r="H3180" s="41">
        <v>6528339927.3400002</v>
      </c>
      <c r="I3180" s="42">
        <v>21220</v>
      </c>
    </row>
    <row r="3181" spans="1:9" x14ac:dyDescent="0.25">
      <c r="A3181" t="s">
        <v>9</v>
      </c>
      <c r="B3181" s="39">
        <v>45728</v>
      </c>
      <c r="C3181" s="40">
        <v>0.625</v>
      </c>
      <c r="D3181" s="41">
        <v>6167.6909999999998</v>
      </c>
      <c r="E3181" s="41">
        <v>6168.7479999999996</v>
      </c>
      <c r="F3181" s="41">
        <v>6149.7120000000004</v>
      </c>
      <c r="G3181" s="41">
        <v>6158.701</v>
      </c>
      <c r="H3181" s="41">
        <v>6974825674.7600002</v>
      </c>
      <c r="I3181" s="42">
        <v>22650</v>
      </c>
    </row>
    <row r="3182" spans="1:9" x14ac:dyDescent="0.25">
      <c r="A3182" t="s">
        <v>9</v>
      </c>
      <c r="B3182" s="39">
        <v>45728</v>
      </c>
      <c r="C3182" s="40">
        <v>0.60416666666666663</v>
      </c>
      <c r="D3182" s="41">
        <v>6176.1509999999998</v>
      </c>
      <c r="E3182" s="41">
        <v>6178.2659999999996</v>
      </c>
      <c r="F3182" s="41">
        <v>6160.8159999999998</v>
      </c>
      <c r="G3182" s="41">
        <v>6167.6909999999998</v>
      </c>
      <c r="H3182" s="41">
        <v>3209554651.6999998</v>
      </c>
      <c r="I3182" s="42">
        <v>10405</v>
      </c>
    </row>
    <row r="3183" spans="1:9" x14ac:dyDescent="0.25">
      <c r="A3183" t="s">
        <v>9</v>
      </c>
      <c r="B3183" s="39">
        <v>45728</v>
      </c>
      <c r="C3183" s="40">
        <v>0.58333333333333337</v>
      </c>
      <c r="D3183" s="41">
        <v>6176.68</v>
      </c>
      <c r="E3183" s="41">
        <v>6183.5540000000001</v>
      </c>
      <c r="F3183" s="41">
        <v>6174.0360000000001</v>
      </c>
      <c r="G3183" s="41">
        <v>6176.68</v>
      </c>
      <c r="H3183" s="41">
        <v>1875016253.6800001</v>
      </c>
      <c r="I3183" s="42">
        <v>6070</v>
      </c>
    </row>
    <row r="3184" spans="1:9" x14ac:dyDescent="0.25">
      <c r="A3184" t="s">
        <v>9</v>
      </c>
      <c r="B3184" s="39">
        <v>45728</v>
      </c>
      <c r="C3184" s="40">
        <v>0.5625</v>
      </c>
      <c r="D3184" s="41">
        <v>6177.2089999999998</v>
      </c>
      <c r="E3184" s="41">
        <v>6181.9679999999998</v>
      </c>
      <c r="F3184" s="41">
        <v>6175.0929999999998</v>
      </c>
      <c r="G3184" s="41">
        <v>6177.2089999999998</v>
      </c>
      <c r="H3184" s="41">
        <v>1348448221.6600001</v>
      </c>
      <c r="I3184" s="42">
        <v>4365</v>
      </c>
    </row>
    <row r="3185" spans="1:9" x14ac:dyDescent="0.25">
      <c r="A3185" t="s">
        <v>9</v>
      </c>
      <c r="B3185" s="39">
        <v>45728</v>
      </c>
      <c r="C3185" s="40">
        <v>0.54166666666666663</v>
      </c>
      <c r="D3185" s="41">
        <v>6180.91</v>
      </c>
      <c r="E3185" s="41">
        <v>6183.5540000000001</v>
      </c>
      <c r="F3185" s="41">
        <v>6171.3919999999998</v>
      </c>
      <c r="G3185" s="41">
        <v>6176.68</v>
      </c>
      <c r="H3185" s="41">
        <v>1295799971.47</v>
      </c>
      <c r="I3185" s="42">
        <v>4195</v>
      </c>
    </row>
    <row r="3186" spans="1:9" x14ac:dyDescent="0.25">
      <c r="A3186" t="s">
        <v>9</v>
      </c>
      <c r="B3186" s="39">
        <v>45728</v>
      </c>
      <c r="C3186" s="40">
        <v>0.52083333333333337</v>
      </c>
      <c r="D3186" s="41">
        <v>6178.7950000000001</v>
      </c>
      <c r="E3186" s="41">
        <v>6183.0249999999996</v>
      </c>
      <c r="F3186" s="41">
        <v>6174.0360000000001</v>
      </c>
      <c r="G3186" s="41">
        <v>6180.91</v>
      </c>
      <c r="H3186" s="41">
        <v>1645023767.01</v>
      </c>
      <c r="I3186" s="42">
        <v>5325</v>
      </c>
    </row>
    <row r="3187" spans="1:9" x14ac:dyDescent="0.25">
      <c r="A3187" t="s">
        <v>9</v>
      </c>
      <c r="B3187" s="39">
        <v>45728</v>
      </c>
      <c r="C3187" s="40">
        <v>0.5</v>
      </c>
      <c r="D3187" s="41">
        <v>6183.0249999999996</v>
      </c>
      <c r="E3187" s="41">
        <v>6187.2550000000001</v>
      </c>
      <c r="F3187" s="41">
        <v>6172.45</v>
      </c>
      <c r="G3187" s="41">
        <v>6177.7370000000001</v>
      </c>
      <c r="H3187" s="41">
        <v>2053696452.96</v>
      </c>
      <c r="I3187" s="42">
        <v>6645</v>
      </c>
    </row>
    <row r="3188" spans="1:9" x14ac:dyDescent="0.25">
      <c r="A3188" t="s">
        <v>9</v>
      </c>
      <c r="B3188" s="39">
        <v>45728</v>
      </c>
      <c r="C3188" s="40">
        <v>0.47916666666666669</v>
      </c>
      <c r="D3188" s="41">
        <v>6179.8519999999999</v>
      </c>
      <c r="E3188" s="41">
        <v>6185.14</v>
      </c>
      <c r="F3188" s="41">
        <v>6174.5649999999996</v>
      </c>
      <c r="G3188" s="41">
        <v>6183.0249999999996</v>
      </c>
      <c r="H3188" s="41">
        <v>4599114861.3500004</v>
      </c>
      <c r="I3188" s="42">
        <v>14880</v>
      </c>
    </row>
    <row r="3189" spans="1:9" x14ac:dyDescent="0.25">
      <c r="A3189" t="s">
        <v>9</v>
      </c>
      <c r="B3189" s="39">
        <v>45728</v>
      </c>
      <c r="C3189" s="40">
        <v>0.45833333333333331</v>
      </c>
      <c r="D3189" s="41">
        <v>6169.8059999999996</v>
      </c>
      <c r="E3189" s="41">
        <v>6191.4859999999999</v>
      </c>
      <c r="F3189" s="41">
        <v>6165.5749999999998</v>
      </c>
      <c r="G3189" s="41">
        <v>6179.8519999999999</v>
      </c>
      <c r="H3189" s="41">
        <v>4045324967.9099998</v>
      </c>
      <c r="I3189" s="42">
        <v>13090</v>
      </c>
    </row>
    <row r="3190" spans="1:9" x14ac:dyDescent="0.25">
      <c r="A3190" t="s">
        <v>9</v>
      </c>
      <c r="B3190" s="39">
        <v>45728</v>
      </c>
      <c r="C3190" s="40">
        <v>0.4375</v>
      </c>
      <c r="D3190" s="41">
        <v>6196.2449999999999</v>
      </c>
      <c r="E3190" s="41">
        <v>6197.3019999999997</v>
      </c>
      <c r="F3190" s="41">
        <v>6165.0469999999996</v>
      </c>
      <c r="G3190" s="41">
        <v>6168.7479999999996</v>
      </c>
      <c r="H3190" s="41">
        <v>6695552473.6599998</v>
      </c>
      <c r="I3190" s="42">
        <v>21670</v>
      </c>
    </row>
    <row r="3191" spans="1:9" x14ac:dyDescent="0.25">
      <c r="A3191" t="s">
        <v>9</v>
      </c>
      <c r="B3191" s="39">
        <v>45728</v>
      </c>
      <c r="C3191" s="40">
        <v>0.41666666666666669</v>
      </c>
      <c r="D3191" s="41">
        <v>6204.1760000000004</v>
      </c>
      <c r="E3191" s="41">
        <v>6207.3490000000002</v>
      </c>
      <c r="F3191" s="41">
        <v>6192.5429999999997</v>
      </c>
      <c r="G3191" s="41">
        <v>6196.2449999999999</v>
      </c>
      <c r="H3191" s="41">
        <v>8811115399.4400005</v>
      </c>
      <c r="I3191" s="42">
        <v>28430</v>
      </c>
    </row>
    <row r="3192" spans="1:9" x14ac:dyDescent="0.25">
      <c r="A3192" t="s">
        <v>9</v>
      </c>
      <c r="B3192" s="39">
        <v>45728</v>
      </c>
      <c r="C3192" s="40">
        <v>0.39583333333333331</v>
      </c>
      <c r="D3192" s="41">
        <v>6177.7370000000001</v>
      </c>
      <c r="E3192" s="41">
        <v>6205.2340000000004</v>
      </c>
      <c r="F3192" s="41">
        <v>6159.23</v>
      </c>
      <c r="G3192" s="41">
        <v>6204.7049999999999</v>
      </c>
      <c r="H3192" s="41">
        <v>7887389924.6300001</v>
      </c>
      <c r="I3192" s="42">
        <v>25505</v>
      </c>
    </row>
    <row r="3193" spans="1:9" x14ac:dyDescent="0.25">
      <c r="A3193" t="s">
        <v>9</v>
      </c>
      <c r="B3193" s="39">
        <v>45728</v>
      </c>
      <c r="C3193" s="40">
        <v>0.375</v>
      </c>
      <c r="D3193" s="41">
        <v>6174.0360000000001</v>
      </c>
      <c r="E3193" s="41">
        <v>6187.7839999999997</v>
      </c>
      <c r="F3193" s="41">
        <v>6171.3919999999998</v>
      </c>
      <c r="G3193" s="41">
        <v>6177.7370000000001</v>
      </c>
      <c r="H3193" s="41">
        <v>2668294069.3699999</v>
      </c>
      <c r="I3193" s="42">
        <v>8635</v>
      </c>
    </row>
    <row r="3194" spans="1:9" x14ac:dyDescent="0.25">
      <c r="A3194" t="s">
        <v>9</v>
      </c>
      <c r="B3194" s="39">
        <v>45727</v>
      </c>
      <c r="C3194" s="40">
        <v>0.75</v>
      </c>
      <c r="D3194" s="41">
        <v>6171.3919999999998</v>
      </c>
      <c r="E3194" s="41">
        <v>6173.5069999999996</v>
      </c>
      <c r="F3194" s="41">
        <v>6165.0469999999996</v>
      </c>
      <c r="G3194" s="41">
        <v>6168.7479999999996</v>
      </c>
      <c r="H3194" s="41">
        <v>621449416.11000001</v>
      </c>
      <c r="I3194" s="42">
        <v>2015</v>
      </c>
    </row>
    <row r="3195" spans="1:9" x14ac:dyDescent="0.25">
      <c r="A3195" t="s">
        <v>9</v>
      </c>
      <c r="B3195" s="39">
        <v>45727</v>
      </c>
      <c r="C3195" s="40">
        <v>0.72916666666666663</v>
      </c>
      <c r="D3195" s="41">
        <v>6175.6220000000003</v>
      </c>
      <c r="E3195" s="41">
        <v>6176.1509999999998</v>
      </c>
      <c r="F3195" s="41">
        <v>6169.277</v>
      </c>
      <c r="G3195" s="41">
        <v>6170.8630000000003</v>
      </c>
      <c r="H3195" s="41">
        <v>680587912.64999998</v>
      </c>
      <c r="I3195" s="42">
        <v>2205</v>
      </c>
    </row>
    <row r="3196" spans="1:9" x14ac:dyDescent="0.25">
      <c r="A3196" t="s">
        <v>9</v>
      </c>
      <c r="B3196" s="39">
        <v>45727</v>
      </c>
      <c r="C3196" s="40">
        <v>0.70833333333333337</v>
      </c>
      <c r="D3196" s="41">
        <v>6171.3919999999998</v>
      </c>
      <c r="E3196" s="41">
        <v>6177.2089999999998</v>
      </c>
      <c r="F3196" s="41">
        <v>6169.277</v>
      </c>
      <c r="G3196" s="41">
        <v>6175.0929999999998</v>
      </c>
      <c r="H3196" s="41">
        <v>1203740422.1199999</v>
      </c>
      <c r="I3196" s="42">
        <v>3900</v>
      </c>
    </row>
    <row r="3197" spans="1:9" x14ac:dyDescent="0.25">
      <c r="A3197" t="s">
        <v>9</v>
      </c>
      <c r="B3197" s="39">
        <v>45727</v>
      </c>
      <c r="C3197" s="40">
        <v>0.6875</v>
      </c>
      <c r="D3197" s="41">
        <v>6169.277</v>
      </c>
      <c r="E3197" s="41">
        <v>6174.5649999999996</v>
      </c>
      <c r="F3197" s="41">
        <v>6163.46</v>
      </c>
      <c r="G3197" s="41">
        <v>6170.8630000000003</v>
      </c>
      <c r="H3197" s="41">
        <v>2911978390.0999999</v>
      </c>
      <c r="I3197" s="42">
        <v>9440</v>
      </c>
    </row>
    <row r="3198" spans="1:9" x14ac:dyDescent="0.25">
      <c r="A3198" t="s">
        <v>9</v>
      </c>
      <c r="B3198" s="39">
        <v>45727</v>
      </c>
      <c r="C3198" s="40">
        <v>0.66666666666666663</v>
      </c>
      <c r="D3198" s="41">
        <v>6168.2190000000001</v>
      </c>
      <c r="E3198" s="41">
        <v>6174.5649999999996</v>
      </c>
      <c r="F3198" s="41">
        <v>6167.6909999999998</v>
      </c>
      <c r="G3198" s="41">
        <v>6168.7479999999996</v>
      </c>
      <c r="H3198" s="41">
        <v>2434708125.6599998</v>
      </c>
      <c r="I3198" s="42">
        <v>7890</v>
      </c>
    </row>
    <row r="3199" spans="1:9" x14ac:dyDescent="0.25">
      <c r="A3199" t="s">
        <v>9</v>
      </c>
      <c r="B3199" s="39">
        <v>45727</v>
      </c>
      <c r="C3199" s="40">
        <v>0.64583333333333337</v>
      </c>
      <c r="D3199" s="41">
        <v>6180.91</v>
      </c>
      <c r="E3199" s="41">
        <v>6186.1980000000003</v>
      </c>
      <c r="F3199" s="41">
        <v>6167.1620000000003</v>
      </c>
      <c r="G3199" s="41">
        <v>6168.7479999999996</v>
      </c>
      <c r="H3199" s="41">
        <v>5344825209.9799995</v>
      </c>
      <c r="I3199" s="42">
        <v>17315</v>
      </c>
    </row>
    <row r="3200" spans="1:9" x14ac:dyDescent="0.25">
      <c r="A3200" t="s">
        <v>9</v>
      </c>
      <c r="B3200" s="39">
        <v>45727</v>
      </c>
      <c r="C3200" s="40">
        <v>0.625</v>
      </c>
      <c r="D3200" s="41">
        <v>6193.0720000000001</v>
      </c>
      <c r="E3200" s="41">
        <v>6196.7730000000001</v>
      </c>
      <c r="F3200" s="41">
        <v>6180.3810000000003</v>
      </c>
      <c r="G3200" s="41">
        <v>6181.4390000000003</v>
      </c>
      <c r="H3200" s="41">
        <v>3283539176.9499998</v>
      </c>
      <c r="I3200" s="42">
        <v>10610</v>
      </c>
    </row>
    <row r="3201" spans="1:9" x14ac:dyDescent="0.25">
      <c r="A3201" t="s">
        <v>9</v>
      </c>
      <c r="B3201" s="39">
        <v>45727</v>
      </c>
      <c r="C3201" s="40">
        <v>0.60416666666666663</v>
      </c>
      <c r="D3201" s="41">
        <v>6199.4170000000004</v>
      </c>
      <c r="E3201" s="41">
        <v>6204.7049999999999</v>
      </c>
      <c r="F3201" s="41">
        <v>6192.5429999999997</v>
      </c>
      <c r="G3201" s="41">
        <v>6193.0720000000001</v>
      </c>
      <c r="H3201" s="41">
        <v>2566982587.6599998</v>
      </c>
      <c r="I3201" s="42">
        <v>8285</v>
      </c>
    </row>
    <row r="3202" spans="1:9" x14ac:dyDescent="0.25">
      <c r="A3202" t="s">
        <v>9</v>
      </c>
      <c r="B3202" s="39">
        <v>45727</v>
      </c>
      <c r="C3202" s="40">
        <v>0.58333333333333337</v>
      </c>
      <c r="D3202" s="41">
        <v>6194.6580000000004</v>
      </c>
      <c r="E3202" s="41">
        <v>6203.1189999999997</v>
      </c>
      <c r="F3202" s="41">
        <v>6193.6009999999997</v>
      </c>
      <c r="G3202" s="41">
        <v>6199.4170000000004</v>
      </c>
      <c r="H3202" s="41">
        <v>2665399130.7800002</v>
      </c>
      <c r="I3202" s="42">
        <v>8600</v>
      </c>
    </row>
    <row r="3203" spans="1:9" x14ac:dyDescent="0.25">
      <c r="A3203" t="s">
        <v>9</v>
      </c>
      <c r="B3203" s="39">
        <v>45727</v>
      </c>
      <c r="C3203" s="40">
        <v>0.5625</v>
      </c>
      <c r="D3203" s="41">
        <v>6186.7269999999999</v>
      </c>
      <c r="E3203" s="41">
        <v>6195.7160000000003</v>
      </c>
      <c r="F3203" s="41">
        <v>6185.6689999999999</v>
      </c>
      <c r="G3203" s="41">
        <v>6195.1869999999999</v>
      </c>
      <c r="H3203" s="41">
        <v>3436725303.6199999</v>
      </c>
      <c r="I3203" s="42">
        <v>11105</v>
      </c>
    </row>
    <row r="3204" spans="1:9" x14ac:dyDescent="0.25">
      <c r="A3204" t="s">
        <v>9</v>
      </c>
      <c r="B3204" s="39">
        <v>45727</v>
      </c>
      <c r="C3204" s="40">
        <v>0.54166666666666663</v>
      </c>
      <c r="D3204" s="41">
        <v>6186.1980000000003</v>
      </c>
      <c r="E3204" s="41">
        <v>6190.9570000000003</v>
      </c>
      <c r="F3204" s="41">
        <v>6182.4960000000001</v>
      </c>
      <c r="G3204" s="41">
        <v>6186.7269999999999</v>
      </c>
      <c r="H3204" s="41">
        <v>3181923778.9000001</v>
      </c>
      <c r="I3204" s="42">
        <v>10285</v>
      </c>
    </row>
    <row r="3205" spans="1:9" x14ac:dyDescent="0.25">
      <c r="A3205" t="s">
        <v>9</v>
      </c>
      <c r="B3205" s="39">
        <v>45727</v>
      </c>
      <c r="C3205" s="40">
        <v>0.52083333333333337</v>
      </c>
      <c r="D3205" s="41">
        <v>6191.4859999999999</v>
      </c>
      <c r="E3205" s="41">
        <v>6194.6580000000004</v>
      </c>
      <c r="F3205" s="41">
        <v>6181.4390000000003</v>
      </c>
      <c r="G3205" s="41">
        <v>6186.1980000000003</v>
      </c>
      <c r="H3205" s="41">
        <v>2170517317.96</v>
      </c>
      <c r="I3205" s="42">
        <v>7015</v>
      </c>
    </row>
    <row r="3206" spans="1:9" x14ac:dyDescent="0.25">
      <c r="A3206" t="s">
        <v>9</v>
      </c>
      <c r="B3206" s="39">
        <v>45727</v>
      </c>
      <c r="C3206" s="40">
        <v>0.5</v>
      </c>
      <c r="D3206" s="41">
        <v>6202.0609999999997</v>
      </c>
      <c r="E3206" s="41">
        <v>6202.59</v>
      </c>
      <c r="F3206" s="41">
        <v>6185.6689999999999</v>
      </c>
      <c r="G3206" s="41">
        <v>6190.9570000000003</v>
      </c>
      <c r="H3206" s="41">
        <v>3669640093.25</v>
      </c>
      <c r="I3206" s="42">
        <v>11850</v>
      </c>
    </row>
    <row r="3207" spans="1:9" x14ac:dyDescent="0.25">
      <c r="A3207" t="s">
        <v>9</v>
      </c>
      <c r="B3207" s="39">
        <v>45727</v>
      </c>
      <c r="C3207" s="40">
        <v>0.47916666666666669</v>
      </c>
      <c r="D3207" s="41">
        <v>6194.13</v>
      </c>
      <c r="E3207" s="41">
        <v>6207.3490000000002</v>
      </c>
      <c r="F3207" s="41">
        <v>6186.1980000000003</v>
      </c>
      <c r="G3207" s="41">
        <v>6202.0609999999997</v>
      </c>
      <c r="H3207" s="41">
        <v>3932230548.1199999</v>
      </c>
      <c r="I3207" s="42">
        <v>12690</v>
      </c>
    </row>
    <row r="3208" spans="1:9" x14ac:dyDescent="0.25">
      <c r="A3208" t="s">
        <v>9</v>
      </c>
      <c r="B3208" s="39">
        <v>45727</v>
      </c>
      <c r="C3208" s="40">
        <v>0.45833333333333331</v>
      </c>
      <c r="D3208" s="41">
        <v>6188.8419999999996</v>
      </c>
      <c r="E3208" s="41">
        <v>6201.5320000000002</v>
      </c>
      <c r="F3208" s="41">
        <v>6186.7269999999999</v>
      </c>
      <c r="G3208" s="41">
        <v>6195.1869999999999</v>
      </c>
      <c r="H3208" s="41">
        <v>4783152527.9200001</v>
      </c>
      <c r="I3208" s="42">
        <v>15440</v>
      </c>
    </row>
    <row r="3209" spans="1:9" x14ac:dyDescent="0.25">
      <c r="A3209" t="s">
        <v>9</v>
      </c>
      <c r="B3209" s="39">
        <v>45727</v>
      </c>
      <c r="C3209" s="40">
        <v>0.4375</v>
      </c>
      <c r="D3209" s="41">
        <v>6198.36</v>
      </c>
      <c r="E3209" s="41">
        <v>6204.1760000000004</v>
      </c>
      <c r="F3209" s="41">
        <v>6183.5540000000001</v>
      </c>
      <c r="G3209" s="41">
        <v>6188.3130000000001</v>
      </c>
      <c r="H3209" s="41">
        <v>11589371131.18</v>
      </c>
      <c r="I3209" s="42">
        <v>37405</v>
      </c>
    </row>
    <row r="3210" spans="1:9" x14ac:dyDescent="0.25">
      <c r="A3210" t="s">
        <v>9</v>
      </c>
      <c r="B3210" s="39">
        <v>45727</v>
      </c>
      <c r="C3210" s="40">
        <v>0.41666666666666669</v>
      </c>
      <c r="D3210" s="41">
        <v>6201.5320000000002</v>
      </c>
      <c r="E3210" s="41">
        <v>6203.6480000000001</v>
      </c>
      <c r="F3210" s="41">
        <v>6187.7839999999997</v>
      </c>
      <c r="G3210" s="41">
        <v>6198.8890000000001</v>
      </c>
      <c r="H3210" s="41">
        <v>6731585793.6599998</v>
      </c>
      <c r="I3210" s="42">
        <v>21725</v>
      </c>
    </row>
    <row r="3211" spans="1:9" x14ac:dyDescent="0.25">
      <c r="A3211" t="s">
        <v>9</v>
      </c>
      <c r="B3211" s="39">
        <v>45727</v>
      </c>
      <c r="C3211" s="40">
        <v>0.39583333333333331</v>
      </c>
      <c r="D3211" s="41">
        <v>6197.3019999999997</v>
      </c>
      <c r="E3211" s="41">
        <v>6209.9930000000004</v>
      </c>
      <c r="F3211" s="41">
        <v>6194.13</v>
      </c>
      <c r="G3211" s="41">
        <v>6201.5320000000002</v>
      </c>
      <c r="H3211" s="41">
        <v>8852317280.0499992</v>
      </c>
      <c r="I3211" s="42">
        <v>28540</v>
      </c>
    </row>
    <row r="3212" spans="1:9" x14ac:dyDescent="0.25">
      <c r="A3212" t="s">
        <v>9</v>
      </c>
      <c r="B3212" s="39">
        <v>45727</v>
      </c>
      <c r="C3212" s="40">
        <v>0.375</v>
      </c>
      <c r="D3212" s="41">
        <v>6203.1189999999997</v>
      </c>
      <c r="E3212" s="41">
        <v>6211.05</v>
      </c>
      <c r="F3212" s="41">
        <v>6192.5429999999997</v>
      </c>
      <c r="G3212" s="41">
        <v>6197.3019999999997</v>
      </c>
      <c r="H3212" s="41">
        <v>4678024708.3900003</v>
      </c>
      <c r="I3212" s="42">
        <v>15090</v>
      </c>
    </row>
    <row r="3213" spans="1:9" x14ac:dyDescent="0.25">
      <c r="A3213" t="s">
        <v>9</v>
      </c>
      <c r="B3213" s="39">
        <v>45726</v>
      </c>
      <c r="C3213" s="40">
        <v>0.75</v>
      </c>
      <c r="D3213" s="41">
        <v>6221.6260000000002</v>
      </c>
      <c r="E3213" s="41">
        <v>6222.6840000000002</v>
      </c>
      <c r="F3213" s="41">
        <v>6218.4530000000004</v>
      </c>
      <c r="G3213" s="41">
        <v>6220.04</v>
      </c>
      <c r="H3213" s="41">
        <v>559851695.75999999</v>
      </c>
      <c r="I3213" s="42">
        <v>1800</v>
      </c>
    </row>
    <row r="3214" spans="1:9" x14ac:dyDescent="0.25">
      <c r="A3214" t="s">
        <v>9</v>
      </c>
      <c r="B3214" s="39">
        <v>45726</v>
      </c>
      <c r="C3214" s="40">
        <v>0.72916666666666663</v>
      </c>
      <c r="D3214" s="41">
        <v>6222.6840000000002</v>
      </c>
      <c r="E3214" s="41">
        <v>6224.799</v>
      </c>
      <c r="F3214" s="41">
        <v>6219.5110000000004</v>
      </c>
      <c r="G3214" s="41">
        <v>6221.0969999999998</v>
      </c>
      <c r="H3214" s="41">
        <v>1118390695.04</v>
      </c>
      <c r="I3214" s="42">
        <v>3595</v>
      </c>
    </row>
    <row r="3215" spans="1:9" x14ac:dyDescent="0.25">
      <c r="A3215" t="s">
        <v>9</v>
      </c>
      <c r="B3215" s="39">
        <v>45726</v>
      </c>
      <c r="C3215" s="40">
        <v>0.70833333333333337</v>
      </c>
      <c r="D3215" s="41">
        <v>6219.5110000000004</v>
      </c>
      <c r="E3215" s="41">
        <v>6226.9139999999998</v>
      </c>
      <c r="F3215" s="41">
        <v>6213.1660000000002</v>
      </c>
      <c r="G3215" s="41">
        <v>6223.2120000000004</v>
      </c>
      <c r="H3215" s="41">
        <v>2056870851.8</v>
      </c>
      <c r="I3215" s="42">
        <v>6615</v>
      </c>
    </row>
    <row r="3216" spans="1:9" x14ac:dyDescent="0.25">
      <c r="A3216" t="s">
        <v>9</v>
      </c>
      <c r="B3216" s="39">
        <v>45726</v>
      </c>
      <c r="C3216" s="40">
        <v>0.6875</v>
      </c>
      <c r="D3216" s="41">
        <v>6218.4530000000004</v>
      </c>
      <c r="E3216" s="41">
        <v>6226.3850000000002</v>
      </c>
      <c r="F3216" s="41">
        <v>6215.81</v>
      </c>
      <c r="G3216" s="41">
        <v>6218.4530000000004</v>
      </c>
      <c r="H3216" s="41">
        <v>3356022892.21</v>
      </c>
      <c r="I3216" s="42">
        <v>10790</v>
      </c>
    </row>
    <row r="3217" spans="1:9" x14ac:dyDescent="0.25">
      <c r="A3217" t="s">
        <v>9</v>
      </c>
      <c r="B3217" s="39">
        <v>45726</v>
      </c>
      <c r="C3217" s="40">
        <v>0.66666666666666663</v>
      </c>
      <c r="D3217" s="41">
        <v>6232.2020000000002</v>
      </c>
      <c r="E3217" s="41">
        <v>6238.018</v>
      </c>
      <c r="F3217" s="41">
        <v>6217.9250000000002</v>
      </c>
      <c r="G3217" s="41">
        <v>6219.5110000000004</v>
      </c>
      <c r="H3217" s="41">
        <v>5158158845.5799999</v>
      </c>
      <c r="I3217" s="42">
        <v>16560</v>
      </c>
    </row>
    <row r="3218" spans="1:9" x14ac:dyDescent="0.25">
      <c r="A3218" t="s">
        <v>9</v>
      </c>
      <c r="B3218" s="39">
        <v>45726</v>
      </c>
      <c r="C3218" s="40">
        <v>0.64583333333333337</v>
      </c>
      <c r="D3218" s="41">
        <v>6220.5690000000004</v>
      </c>
      <c r="E3218" s="41">
        <v>6234.317</v>
      </c>
      <c r="F3218" s="41">
        <v>6220.5690000000004</v>
      </c>
      <c r="G3218" s="41">
        <v>6232.2020000000002</v>
      </c>
      <c r="H3218" s="41">
        <v>6747384023.0500002</v>
      </c>
      <c r="I3218" s="42">
        <v>21670</v>
      </c>
    </row>
    <row r="3219" spans="1:9" x14ac:dyDescent="0.25">
      <c r="A3219" t="s">
        <v>9</v>
      </c>
      <c r="B3219" s="39">
        <v>45726</v>
      </c>
      <c r="C3219" s="40">
        <v>0.625</v>
      </c>
      <c r="D3219" s="41">
        <v>6204.7049999999999</v>
      </c>
      <c r="E3219" s="41">
        <v>6225.8559999999998</v>
      </c>
      <c r="F3219" s="41">
        <v>6201.0039999999999</v>
      </c>
      <c r="G3219" s="41">
        <v>6221.0969999999998</v>
      </c>
      <c r="H3219" s="41">
        <v>7235684242.7700005</v>
      </c>
      <c r="I3219" s="42">
        <v>23305</v>
      </c>
    </row>
    <row r="3220" spans="1:9" x14ac:dyDescent="0.25">
      <c r="A3220" t="s">
        <v>9</v>
      </c>
      <c r="B3220" s="39">
        <v>45726</v>
      </c>
      <c r="C3220" s="40">
        <v>0.60416666666666663</v>
      </c>
      <c r="D3220" s="41">
        <v>6185.14</v>
      </c>
      <c r="E3220" s="41">
        <v>6204.7049999999999</v>
      </c>
      <c r="F3220" s="41">
        <v>6183.5540000000001</v>
      </c>
      <c r="G3220" s="41">
        <v>6204.1760000000004</v>
      </c>
      <c r="H3220" s="41">
        <v>3503592978.1599998</v>
      </c>
      <c r="I3220" s="42">
        <v>11310</v>
      </c>
    </row>
    <row r="3221" spans="1:9" x14ac:dyDescent="0.25">
      <c r="A3221" t="s">
        <v>9</v>
      </c>
      <c r="B3221" s="39">
        <v>45726</v>
      </c>
      <c r="C3221" s="40">
        <v>0.58333333333333337</v>
      </c>
      <c r="D3221" s="41">
        <v>6178.7950000000001</v>
      </c>
      <c r="E3221" s="41">
        <v>6186.7269999999999</v>
      </c>
      <c r="F3221" s="41">
        <v>6172.9780000000001</v>
      </c>
      <c r="G3221" s="41">
        <v>6185.6689999999999</v>
      </c>
      <c r="H3221" s="41">
        <v>1989403805.0799999</v>
      </c>
      <c r="I3221" s="42">
        <v>6440</v>
      </c>
    </row>
    <row r="3222" spans="1:9" x14ac:dyDescent="0.25">
      <c r="A3222" t="s">
        <v>9</v>
      </c>
      <c r="B3222" s="39">
        <v>45726</v>
      </c>
      <c r="C3222" s="40">
        <v>0.5625</v>
      </c>
      <c r="D3222" s="41">
        <v>6176.68</v>
      </c>
      <c r="E3222" s="41">
        <v>6180.91</v>
      </c>
      <c r="F3222" s="41">
        <v>6170.8630000000003</v>
      </c>
      <c r="G3222" s="41">
        <v>6178.2659999999996</v>
      </c>
      <c r="H3222" s="41">
        <v>3134612770.1599998</v>
      </c>
      <c r="I3222" s="42">
        <v>10150</v>
      </c>
    </row>
    <row r="3223" spans="1:9" x14ac:dyDescent="0.25">
      <c r="A3223" t="s">
        <v>9</v>
      </c>
      <c r="B3223" s="39">
        <v>45726</v>
      </c>
      <c r="C3223" s="40">
        <v>0.54166666666666663</v>
      </c>
      <c r="D3223" s="41">
        <v>6158.1719999999996</v>
      </c>
      <c r="E3223" s="41">
        <v>6181.9679999999998</v>
      </c>
      <c r="F3223" s="41">
        <v>6157.6440000000002</v>
      </c>
      <c r="G3223" s="41">
        <v>6177.2089999999998</v>
      </c>
      <c r="H3223" s="41">
        <v>4629249507.6899996</v>
      </c>
      <c r="I3223" s="42">
        <v>15005</v>
      </c>
    </row>
    <row r="3224" spans="1:9" x14ac:dyDescent="0.25">
      <c r="A3224" t="s">
        <v>9</v>
      </c>
      <c r="B3224" s="39">
        <v>45726</v>
      </c>
      <c r="C3224" s="40">
        <v>0.52083333333333337</v>
      </c>
      <c r="D3224" s="41">
        <v>6144.424</v>
      </c>
      <c r="E3224" s="41">
        <v>6160.2879999999996</v>
      </c>
      <c r="F3224" s="41">
        <v>6143.3670000000002</v>
      </c>
      <c r="G3224" s="41">
        <v>6158.1719999999996</v>
      </c>
      <c r="H3224" s="41">
        <v>2793230650.5900002</v>
      </c>
      <c r="I3224" s="42">
        <v>9080</v>
      </c>
    </row>
    <row r="3225" spans="1:9" x14ac:dyDescent="0.25">
      <c r="A3225" t="s">
        <v>9</v>
      </c>
      <c r="B3225" s="39">
        <v>45726</v>
      </c>
      <c r="C3225" s="40">
        <v>0.5</v>
      </c>
      <c r="D3225" s="41">
        <v>6137.0209999999997</v>
      </c>
      <c r="E3225" s="41">
        <v>6145.482</v>
      </c>
      <c r="F3225" s="41">
        <v>6136.4920000000002</v>
      </c>
      <c r="G3225" s="41">
        <v>6144.424</v>
      </c>
      <c r="H3225" s="41">
        <v>3207617598.1700001</v>
      </c>
      <c r="I3225" s="42">
        <v>10445</v>
      </c>
    </row>
    <row r="3226" spans="1:9" x14ac:dyDescent="0.25">
      <c r="A3226" t="s">
        <v>9</v>
      </c>
      <c r="B3226" s="39">
        <v>45726</v>
      </c>
      <c r="C3226" s="40">
        <v>0.47916666666666669</v>
      </c>
      <c r="D3226" s="41">
        <v>6142.3090000000002</v>
      </c>
      <c r="E3226" s="41">
        <v>6148.1260000000002</v>
      </c>
      <c r="F3226" s="41">
        <v>6132.2619999999997</v>
      </c>
      <c r="G3226" s="41">
        <v>6138.0789999999997</v>
      </c>
      <c r="H3226" s="41">
        <v>4050094299.5799999</v>
      </c>
      <c r="I3226" s="42">
        <v>13190</v>
      </c>
    </row>
    <row r="3227" spans="1:9" x14ac:dyDescent="0.25">
      <c r="A3227" t="s">
        <v>9</v>
      </c>
      <c r="B3227" s="39">
        <v>45726</v>
      </c>
      <c r="C3227" s="40">
        <v>0.45833333333333331</v>
      </c>
      <c r="D3227" s="41">
        <v>6149.183</v>
      </c>
      <c r="E3227" s="41">
        <v>6153.4129999999996</v>
      </c>
      <c r="F3227" s="41">
        <v>6139.665</v>
      </c>
      <c r="G3227" s="41">
        <v>6142.8379999999997</v>
      </c>
      <c r="H3227" s="41">
        <v>3746605483.8400002</v>
      </c>
      <c r="I3227" s="42">
        <v>12190</v>
      </c>
    </row>
    <row r="3228" spans="1:9" x14ac:dyDescent="0.25">
      <c r="A3228" t="s">
        <v>9</v>
      </c>
      <c r="B3228" s="39">
        <v>45726</v>
      </c>
      <c r="C3228" s="40">
        <v>0.4375</v>
      </c>
      <c r="D3228" s="41">
        <v>6156.0569999999998</v>
      </c>
      <c r="E3228" s="41">
        <v>6157.6440000000002</v>
      </c>
      <c r="F3228" s="41">
        <v>6144.424</v>
      </c>
      <c r="G3228" s="41">
        <v>6149.7120000000004</v>
      </c>
      <c r="H3228" s="41">
        <v>4572135181.1899996</v>
      </c>
      <c r="I3228" s="42">
        <v>14865</v>
      </c>
    </row>
    <row r="3229" spans="1:9" x14ac:dyDescent="0.25">
      <c r="A3229" t="s">
        <v>9</v>
      </c>
      <c r="B3229" s="39">
        <v>45726</v>
      </c>
      <c r="C3229" s="40">
        <v>0.41666666666666669</v>
      </c>
      <c r="D3229" s="41">
        <v>6162.4030000000002</v>
      </c>
      <c r="E3229" s="41">
        <v>6165.5749999999998</v>
      </c>
      <c r="F3229" s="41">
        <v>6154.4709999999995</v>
      </c>
      <c r="G3229" s="41">
        <v>6156.0569999999998</v>
      </c>
      <c r="H3229" s="41">
        <v>3472103993.9200001</v>
      </c>
      <c r="I3229" s="42">
        <v>11275</v>
      </c>
    </row>
    <row r="3230" spans="1:9" x14ac:dyDescent="0.25">
      <c r="A3230" t="s">
        <v>9</v>
      </c>
      <c r="B3230" s="39">
        <v>45726</v>
      </c>
      <c r="C3230" s="40">
        <v>0.39583333333333331</v>
      </c>
      <c r="D3230" s="41">
        <v>6149.183</v>
      </c>
      <c r="E3230" s="41">
        <v>6175.0929999999998</v>
      </c>
      <c r="F3230" s="41">
        <v>6145.482</v>
      </c>
      <c r="G3230" s="41">
        <v>6162.4030000000002</v>
      </c>
      <c r="H3230" s="41">
        <v>4366665265.9799995</v>
      </c>
      <c r="I3230" s="42">
        <v>14170</v>
      </c>
    </row>
    <row r="3231" spans="1:9" x14ac:dyDescent="0.25">
      <c r="A3231" t="s">
        <v>9</v>
      </c>
      <c r="B3231" s="39">
        <v>45726</v>
      </c>
      <c r="C3231" s="40">
        <v>0.375</v>
      </c>
      <c r="D3231" s="41">
        <v>6152.3559999999998</v>
      </c>
      <c r="E3231" s="41">
        <v>6159.23</v>
      </c>
      <c r="F3231" s="41">
        <v>6144.9530000000004</v>
      </c>
      <c r="G3231" s="41">
        <v>6149.7120000000004</v>
      </c>
      <c r="H3231" s="41">
        <v>3306662728.5799999</v>
      </c>
      <c r="I3231" s="42">
        <v>10750</v>
      </c>
    </row>
    <row r="3232" spans="1:9" x14ac:dyDescent="0.25">
      <c r="A3232" t="s">
        <v>9</v>
      </c>
      <c r="B3232" s="39">
        <v>45723</v>
      </c>
      <c r="C3232" s="40">
        <v>0.75</v>
      </c>
      <c r="D3232" s="41">
        <v>6151.8270000000002</v>
      </c>
      <c r="E3232" s="41">
        <v>6153.942</v>
      </c>
      <c r="F3232" s="41">
        <v>6148.6540000000005</v>
      </c>
      <c r="G3232" s="41">
        <v>6148.6540000000005</v>
      </c>
      <c r="H3232" s="41">
        <v>1539172311.97</v>
      </c>
      <c r="I3232" s="42">
        <v>5005</v>
      </c>
    </row>
    <row r="3233" spans="1:9" x14ac:dyDescent="0.25">
      <c r="A3233" t="s">
        <v>9</v>
      </c>
      <c r="B3233" s="39">
        <v>45723</v>
      </c>
      <c r="C3233" s="40">
        <v>0.72916666666666663</v>
      </c>
      <c r="D3233" s="41">
        <v>6152.3559999999998</v>
      </c>
      <c r="E3233" s="41">
        <v>6155.5290000000005</v>
      </c>
      <c r="F3233" s="41">
        <v>6150.241</v>
      </c>
      <c r="G3233" s="41">
        <v>6151.8270000000002</v>
      </c>
      <c r="H3233" s="41">
        <v>1024497204.28</v>
      </c>
      <c r="I3233" s="42">
        <v>3330</v>
      </c>
    </row>
    <row r="3234" spans="1:9" x14ac:dyDescent="0.25">
      <c r="A3234" t="s">
        <v>9</v>
      </c>
      <c r="B3234" s="39">
        <v>45723</v>
      </c>
      <c r="C3234" s="40">
        <v>0.70833333333333337</v>
      </c>
      <c r="D3234" s="41">
        <v>6151.2979999999998</v>
      </c>
      <c r="E3234" s="41">
        <v>6155</v>
      </c>
      <c r="F3234" s="41">
        <v>6150.241</v>
      </c>
      <c r="G3234" s="41">
        <v>6152.3559999999998</v>
      </c>
      <c r="H3234" s="41">
        <v>1596493655.8599999</v>
      </c>
      <c r="I3234" s="42">
        <v>5190</v>
      </c>
    </row>
    <row r="3235" spans="1:9" x14ac:dyDescent="0.25">
      <c r="A3235" t="s">
        <v>9</v>
      </c>
      <c r="B3235" s="39">
        <v>45723</v>
      </c>
      <c r="C3235" s="40">
        <v>0.6875</v>
      </c>
      <c r="D3235" s="41">
        <v>6153.942</v>
      </c>
      <c r="E3235" s="41">
        <v>6156.0569999999998</v>
      </c>
      <c r="F3235" s="41">
        <v>6149.7120000000004</v>
      </c>
      <c r="G3235" s="41">
        <v>6151.2979999999998</v>
      </c>
      <c r="H3235" s="41">
        <v>1838480196.04</v>
      </c>
      <c r="I3235" s="42">
        <v>5975</v>
      </c>
    </row>
    <row r="3236" spans="1:9" x14ac:dyDescent="0.25">
      <c r="A3236" t="s">
        <v>9</v>
      </c>
      <c r="B3236" s="39">
        <v>45723</v>
      </c>
      <c r="C3236" s="40">
        <v>0.66666666666666663</v>
      </c>
      <c r="D3236" s="41">
        <v>6157.6440000000002</v>
      </c>
      <c r="E3236" s="41">
        <v>6162.9309999999996</v>
      </c>
      <c r="F3236" s="41">
        <v>6150.77</v>
      </c>
      <c r="G3236" s="41">
        <v>6153.4129999999996</v>
      </c>
      <c r="H3236" s="41">
        <v>5216911464.8699999</v>
      </c>
      <c r="I3236" s="42">
        <v>16945</v>
      </c>
    </row>
    <row r="3237" spans="1:9" x14ac:dyDescent="0.25">
      <c r="A3237" t="s">
        <v>9</v>
      </c>
      <c r="B3237" s="39">
        <v>45723</v>
      </c>
      <c r="C3237" s="40">
        <v>0.64583333333333337</v>
      </c>
      <c r="D3237" s="41">
        <v>6150.77</v>
      </c>
      <c r="E3237" s="41">
        <v>6158.1719999999996</v>
      </c>
      <c r="F3237" s="41">
        <v>6147.0680000000002</v>
      </c>
      <c r="G3237" s="41">
        <v>6157.6440000000002</v>
      </c>
      <c r="H3237" s="41">
        <v>4567483635.2799997</v>
      </c>
      <c r="I3237" s="42">
        <v>14850</v>
      </c>
    </row>
    <row r="3238" spans="1:9" x14ac:dyDescent="0.25">
      <c r="A3238" t="s">
        <v>9</v>
      </c>
      <c r="B3238" s="39">
        <v>45723</v>
      </c>
      <c r="C3238" s="40">
        <v>0.625</v>
      </c>
      <c r="D3238" s="41">
        <v>6154.4709999999995</v>
      </c>
      <c r="E3238" s="41">
        <v>6156.0569999999998</v>
      </c>
      <c r="F3238" s="41">
        <v>6147.0680000000002</v>
      </c>
      <c r="G3238" s="41">
        <v>6151.8270000000002</v>
      </c>
      <c r="H3238" s="41">
        <v>4635309194.8800001</v>
      </c>
      <c r="I3238" s="42">
        <v>15070</v>
      </c>
    </row>
    <row r="3239" spans="1:9" x14ac:dyDescent="0.25">
      <c r="A3239" t="s">
        <v>9</v>
      </c>
      <c r="B3239" s="39">
        <v>45723</v>
      </c>
      <c r="C3239" s="40">
        <v>0.60416666666666663</v>
      </c>
      <c r="D3239" s="41">
        <v>6150.241</v>
      </c>
      <c r="E3239" s="41">
        <v>6158.701</v>
      </c>
      <c r="F3239" s="41">
        <v>6147.0680000000002</v>
      </c>
      <c r="G3239" s="41">
        <v>6153.942</v>
      </c>
      <c r="H3239" s="41">
        <v>3542257904.29</v>
      </c>
      <c r="I3239" s="42">
        <v>11510</v>
      </c>
    </row>
    <row r="3240" spans="1:9" x14ac:dyDescent="0.25">
      <c r="A3240" t="s">
        <v>9</v>
      </c>
      <c r="B3240" s="39">
        <v>45723</v>
      </c>
      <c r="C3240" s="40">
        <v>0.58333333333333337</v>
      </c>
      <c r="D3240" s="41">
        <v>6149.183</v>
      </c>
      <c r="E3240" s="41">
        <v>6158.701</v>
      </c>
      <c r="F3240" s="41">
        <v>6147.0680000000002</v>
      </c>
      <c r="G3240" s="41">
        <v>6149.7120000000004</v>
      </c>
      <c r="H3240" s="41">
        <v>2989854075.5500002</v>
      </c>
      <c r="I3240" s="42">
        <v>9720</v>
      </c>
    </row>
    <row r="3241" spans="1:9" x14ac:dyDescent="0.25">
      <c r="A3241" t="s">
        <v>9</v>
      </c>
      <c r="B3241" s="39">
        <v>45723</v>
      </c>
      <c r="C3241" s="40">
        <v>0.5625</v>
      </c>
      <c r="D3241" s="41">
        <v>6143.3670000000002</v>
      </c>
      <c r="E3241" s="41">
        <v>6155.5290000000005</v>
      </c>
      <c r="F3241" s="41">
        <v>6143.3670000000002</v>
      </c>
      <c r="G3241" s="41">
        <v>6149.183</v>
      </c>
      <c r="H3241" s="41">
        <v>6174964811.8199997</v>
      </c>
      <c r="I3241" s="42">
        <v>20085</v>
      </c>
    </row>
    <row r="3242" spans="1:9" x14ac:dyDescent="0.25">
      <c r="A3242" t="s">
        <v>9</v>
      </c>
      <c r="B3242" s="39">
        <v>45723</v>
      </c>
      <c r="C3242" s="40">
        <v>0.54166666666666663</v>
      </c>
      <c r="D3242" s="41">
        <v>6126.4459999999999</v>
      </c>
      <c r="E3242" s="41">
        <v>6144.424</v>
      </c>
      <c r="F3242" s="41">
        <v>6125.3879999999999</v>
      </c>
      <c r="G3242" s="41">
        <v>6143.3670000000002</v>
      </c>
      <c r="H3242" s="41">
        <v>3744393596.8899999</v>
      </c>
      <c r="I3242" s="42">
        <v>12210</v>
      </c>
    </row>
    <row r="3243" spans="1:9" x14ac:dyDescent="0.25">
      <c r="A3243" t="s">
        <v>9</v>
      </c>
      <c r="B3243" s="39">
        <v>45723</v>
      </c>
      <c r="C3243" s="40">
        <v>0.52083333333333337</v>
      </c>
      <c r="D3243" s="41">
        <v>6138.0789999999997</v>
      </c>
      <c r="E3243" s="41">
        <v>6140.723</v>
      </c>
      <c r="F3243" s="41">
        <v>6121.6869999999999</v>
      </c>
      <c r="G3243" s="41">
        <v>6127.5029999999997</v>
      </c>
      <c r="H3243" s="41">
        <v>7369502874.71</v>
      </c>
      <c r="I3243" s="42">
        <v>24025</v>
      </c>
    </row>
    <row r="3244" spans="1:9" x14ac:dyDescent="0.25">
      <c r="A3244" t="s">
        <v>9</v>
      </c>
      <c r="B3244" s="39">
        <v>45723</v>
      </c>
      <c r="C3244" s="40">
        <v>0.5</v>
      </c>
      <c r="D3244" s="41">
        <v>6134.3770000000004</v>
      </c>
      <c r="E3244" s="41">
        <v>6146.5389999999998</v>
      </c>
      <c r="F3244" s="41">
        <v>6130.1469999999999</v>
      </c>
      <c r="G3244" s="41">
        <v>6138.6080000000002</v>
      </c>
      <c r="H3244" s="41">
        <v>6998191936.4399996</v>
      </c>
      <c r="I3244" s="42">
        <v>22815</v>
      </c>
    </row>
    <row r="3245" spans="1:9" x14ac:dyDescent="0.25">
      <c r="A3245" t="s">
        <v>9</v>
      </c>
      <c r="B3245" s="39">
        <v>45723</v>
      </c>
      <c r="C3245" s="40">
        <v>0.47916666666666669</v>
      </c>
      <c r="D3245" s="41">
        <v>6135.9639999999999</v>
      </c>
      <c r="E3245" s="41">
        <v>6143.3670000000002</v>
      </c>
      <c r="F3245" s="41">
        <v>6132.2619999999997</v>
      </c>
      <c r="G3245" s="41">
        <v>6134.9059999999999</v>
      </c>
      <c r="H3245" s="41">
        <v>3409898705.29</v>
      </c>
      <c r="I3245" s="42">
        <v>11110</v>
      </c>
    </row>
    <row r="3246" spans="1:9" x14ac:dyDescent="0.25">
      <c r="A3246" t="s">
        <v>9</v>
      </c>
      <c r="B3246" s="39">
        <v>45723</v>
      </c>
      <c r="C3246" s="40">
        <v>0.45833333333333331</v>
      </c>
      <c r="D3246" s="41">
        <v>6133.8490000000002</v>
      </c>
      <c r="E3246" s="41">
        <v>6143.8950000000004</v>
      </c>
      <c r="F3246" s="41">
        <v>6123.2730000000001</v>
      </c>
      <c r="G3246" s="41">
        <v>6135.4350000000004</v>
      </c>
      <c r="H3246" s="41">
        <v>6081618211.8299999</v>
      </c>
      <c r="I3246" s="42">
        <v>19820</v>
      </c>
    </row>
    <row r="3247" spans="1:9" x14ac:dyDescent="0.25">
      <c r="A3247" t="s">
        <v>9</v>
      </c>
      <c r="B3247" s="39">
        <v>45723</v>
      </c>
      <c r="C3247" s="40">
        <v>0.4375</v>
      </c>
      <c r="D3247" s="41">
        <v>6140.1940000000004</v>
      </c>
      <c r="E3247" s="41">
        <v>6140.723</v>
      </c>
      <c r="F3247" s="41">
        <v>6115.87</v>
      </c>
      <c r="G3247" s="41">
        <v>6133.8490000000002</v>
      </c>
      <c r="H3247" s="41">
        <v>7648372748.8299999</v>
      </c>
      <c r="I3247" s="42">
        <v>24960</v>
      </c>
    </row>
    <row r="3248" spans="1:9" x14ac:dyDescent="0.25">
      <c r="A3248" t="s">
        <v>9</v>
      </c>
      <c r="B3248" s="39">
        <v>45723</v>
      </c>
      <c r="C3248" s="40">
        <v>0.41666666666666669</v>
      </c>
      <c r="D3248" s="41">
        <v>6129.6180000000004</v>
      </c>
      <c r="E3248" s="41">
        <v>6140.1940000000004</v>
      </c>
      <c r="F3248" s="41">
        <v>6126.4459999999999</v>
      </c>
      <c r="G3248" s="41">
        <v>6135.9639999999999</v>
      </c>
      <c r="H3248" s="41">
        <v>3410855929.3800001</v>
      </c>
      <c r="I3248" s="42">
        <v>11125</v>
      </c>
    </row>
    <row r="3249" spans="1:9" x14ac:dyDescent="0.25">
      <c r="A3249" t="s">
        <v>9</v>
      </c>
      <c r="B3249" s="39">
        <v>45723</v>
      </c>
      <c r="C3249" s="40">
        <v>0.39583333333333331</v>
      </c>
      <c r="D3249" s="41">
        <v>6127.5029999999997</v>
      </c>
      <c r="E3249" s="41">
        <v>6137.0209999999997</v>
      </c>
      <c r="F3249" s="41">
        <v>6122.2150000000001</v>
      </c>
      <c r="G3249" s="41">
        <v>6129.6180000000004</v>
      </c>
      <c r="H3249" s="41">
        <v>2026071793.3299999</v>
      </c>
      <c r="I3249" s="42">
        <v>6610</v>
      </c>
    </row>
    <row r="3250" spans="1:9" x14ac:dyDescent="0.25">
      <c r="A3250" t="s">
        <v>9</v>
      </c>
      <c r="B3250" s="39">
        <v>45723</v>
      </c>
      <c r="C3250" s="40">
        <v>0.375</v>
      </c>
      <c r="D3250" s="41">
        <v>6126.4459999999999</v>
      </c>
      <c r="E3250" s="41">
        <v>6129.09</v>
      </c>
      <c r="F3250" s="41">
        <v>6113.2259999999997</v>
      </c>
      <c r="G3250" s="41">
        <v>6126.9740000000002</v>
      </c>
      <c r="H3250" s="41">
        <v>6162944848.0900002</v>
      </c>
      <c r="I3250" s="42">
        <v>20125</v>
      </c>
    </row>
    <row r="3251" spans="1:9" x14ac:dyDescent="0.25">
      <c r="A3251" t="s">
        <v>9</v>
      </c>
      <c r="B3251" s="39">
        <v>45722</v>
      </c>
      <c r="C3251" s="40">
        <v>0.75</v>
      </c>
      <c r="D3251" s="41">
        <v>6125.3879999999999</v>
      </c>
      <c r="E3251" s="41">
        <v>6128.0320000000002</v>
      </c>
      <c r="F3251" s="41">
        <v>6120.6289999999999</v>
      </c>
      <c r="G3251" s="41">
        <v>6128.0320000000002</v>
      </c>
      <c r="H3251" s="41">
        <v>845179296.25</v>
      </c>
      <c r="I3251" s="42">
        <v>2760</v>
      </c>
    </row>
    <row r="3252" spans="1:9" x14ac:dyDescent="0.25">
      <c r="A3252" t="s">
        <v>9</v>
      </c>
      <c r="B3252" s="39">
        <v>45722</v>
      </c>
      <c r="C3252" s="40">
        <v>0.72916666666666663</v>
      </c>
      <c r="D3252" s="41">
        <v>6127.5029999999997</v>
      </c>
      <c r="E3252" s="41">
        <v>6129.6180000000004</v>
      </c>
      <c r="F3252" s="41">
        <v>6124.3310000000001</v>
      </c>
      <c r="G3252" s="41">
        <v>6125.9170000000004</v>
      </c>
      <c r="H3252" s="41">
        <v>1554608459.23</v>
      </c>
      <c r="I3252" s="42">
        <v>5075</v>
      </c>
    </row>
    <row r="3253" spans="1:9" x14ac:dyDescent="0.25">
      <c r="A3253" t="s">
        <v>9</v>
      </c>
      <c r="B3253" s="39">
        <v>45722</v>
      </c>
      <c r="C3253" s="40">
        <v>0.70833333333333337</v>
      </c>
      <c r="D3253" s="41">
        <v>6121.6869999999999</v>
      </c>
      <c r="E3253" s="41">
        <v>6128.5609999999997</v>
      </c>
      <c r="F3253" s="41">
        <v>6117.4560000000001</v>
      </c>
      <c r="G3253" s="41">
        <v>6127.5029999999997</v>
      </c>
      <c r="H3253" s="41">
        <v>3265932519.7800002</v>
      </c>
      <c r="I3253" s="42">
        <v>10670</v>
      </c>
    </row>
    <row r="3254" spans="1:9" x14ac:dyDescent="0.25">
      <c r="A3254" t="s">
        <v>9</v>
      </c>
      <c r="B3254" s="39">
        <v>45722</v>
      </c>
      <c r="C3254" s="40">
        <v>0.6875</v>
      </c>
      <c r="D3254" s="41">
        <v>6127.5029999999997</v>
      </c>
      <c r="E3254" s="41">
        <v>6127.5029999999997</v>
      </c>
      <c r="F3254" s="41">
        <v>6120.6289999999999</v>
      </c>
      <c r="G3254" s="41">
        <v>6121.6869999999999</v>
      </c>
      <c r="H3254" s="41">
        <v>2956139984.8499999</v>
      </c>
      <c r="I3254" s="42">
        <v>9655</v>
      </c>
    </row>
    <row r="3255" spans="1:9" x14ac:dyDescent="0.25">
      <c r="A3255" t="s">
        <v>9</v>
      </c>
      <c r="B3255" s="39">
        <v>45722</v>
      </c>
      <c r="C3255" s="40">
        <v>0.66666666666666663</v>
      </c>
      <c r="D3255" s="41">
        <v>6123.2730000000001</v>
      </c>
      <c r="E3255" s="41">
        <v>6130.1469999999999</v>
      </c>
      <c r="F3255" s="41">
        <v>6117.9849999999997</v>
      </c>
      <c r="G3255" s="41">
        <v>6128.0320000000002</v>
      </c>
      <c r="H3255" s="41">
        <v>2868574537.1599998</v>
      </c>
      <c r="I3255" s="42">
        <v>9370</v>
      </c>
    </row>
    <row r="3256" spans="1:9" x14ac:dyDescent="0.25">
      <c r="A3256" t="s">
        <v>9</v>
      </c>
      <c r="B3256" s="39">
        <v>45722</v>
      </c>
      <c r="C3256" s="40">
        <v>0.64583333333333337</v>
      </c>
      <c r="D3256" s="41">
        <v>6120.6289999999999</v>
      </c>
      <c r="E3256" s="41">
        <v>6125.3879999999999</v>
      </c>
      <c r="F3256" s="41">
        <v>6114.2839999999997</v>
      </c>
      <c r="G3256" s="41">
        <v>6122.7439999999997</v>
      </c>
      <c r="H3256" s="41">
        <v>3960648774.4099998</v>
      </c>
      <c r="I3256" s="42">
        <v>12945</v>
      </c>
    </row>
    <row r="3257" spans="1:9" x14ac:dyDescent="0.25">
      <c r="A3257" t="s">
        <v>9</v>
      </c>
      <c r="B3257" s="39">
        <v>45722</v>
      </c>
      <c r="C3257" s="40">
        <v>0.625</v>
      </c>
      <c r="D3257" s="41">
        <v>6133.8490000000002</v>
      </c>
      <c r="E3257" s="41">
        <v>6133.8490000000002</v>
      </c>
      <c r="F3257" s="41">
        <v>6120.1</v>
      </c>
      <c r="G3257" s="41">
        <v>6120.6289999999999</v>
      </c>
      <c r="H3257" s="41">
        <v>3532461064.0799999</v>
      </c>
      <c r="I3257" s="42">
        <v>11530</v>
      </c>
    </row>
    <row r="3258" spans="1:9" x14ac:dyDescent="0.25">
      <c r="A3258" t="s">
        <v>9</v>
      </c>
      <c r="B3258" s="39">
        <v>45722</v>
      </c>
      <c r="C3258" s="40">
        <v>0.60416666666666663</v>
      </c>
      <c r="D3258" s="41">
        <v>6128.5609999999997</v>
      </c>
      <c r="E3258" s="41">
        <v>6135.9639999999999</v>
      </c>
      <c r="F3258" s="41">
        <v>6124.8590000000004</v>
      </c>
      <c r="G3258" s="41">
        <v>6133.32</v>
      </c>
      <c r="H3258" s="41">
        <v>3980230160.6799998</v>
      </c>
      <c r="I3258" s="42">
        <v>12985</v>
      </c>
    </row>
    <row r="3259" spans="1:9" x14ac:dyDescent="0.25">
      <c r="A3259" t="s">
        <v>9</v>
      </c>
      <c r="B3259" s="39">
        <v>45722</v>
      </c>
      <c r="C3259" s="40">
        <v>0.58333333333333337</v>
      </c>
      <c r="D3259" s="41">
        <v>6143.3670000000002</v>
      </c>
      <c r="E3259" s="41">
        <v>6143.8950000000004</v>
      </c>
      <c r="F3259" s="41">
        <v>6125.9170000000004</v>
      </c>
      <c r="G3259" s="41">
        <v>6128.5609999999997</v>
      </c>
      <c r="H3259" s="41">
        <v>5059668802.0299997</v>
      </c>
      <c r="I3259" s="42">
        <v>16500</v>
      </c>
    </row>
    <row r="3260" spans="1:9" x14ac:dyDescent="0.25">
      <c r="A3260" t="s">
        <v>9</v>
      </c>
      <c r="B3260" s="39">
        <v>45722</v>
      </c>
      <c r="C3260" s="40">
        <v>0.5625</v>
      </c>
      <c r="D3260" s="41">
        <v>6122.2150000000001</v>
      </c>
      <c r="E3260" s="41">
        <v>6144.9530000000004</v>
      </c>
      <c r="F3260" s="41">
        <v>6120.6289999999999</v>
      </c>
      <c r="G3260" s="41">
        <v>6142.8379999999997</v>
      </c>
      <c r="H3260" s="41">
        <v>8903638821.0900002</v>
      </c>
      <c r="I3260" s="42">
        <v>29020</v>
      </c>
    </row>
    <row r="3261" spans="1:9" x14ac:dyDescent="0.25">
      <c r="A3261" t="s">
        <v>9</v>
      </c>
      <c r="B3261" s="39">
        <v>45722</v>
      </c>
      <c r="C3261" s="40">
        <v>0.54166666666666663</v>
      </c>
      <c r="D3261" s="41">
        <v>6114.2839999999997</v>
      </c>
      <c r="E3261" s="41">
        <v>6129.6180000000004</v>
      </c>
      <c r="F3261" s="41">
        <v>6112.6970000000001</v>
      </c>
      <c r="G3261" s="41">
        <v>6123.2730000000001</v>
      </c>
      <c r="H3261" s="41">
        <v>4380593068.1400003</v>
      </c>
      <c r="I3261" s="42">
        <v>14315</v>
      </c>
    </row>
    <row r="3262" spans="1:9" x14ac:dyDescent="0.25">
      <c r="A3262" t="s">
        <v>9</v>
      </c>
      <c r="B3262" s="39">
        <v>45722</v>
      </c>
      <c r="C3262" s="40">
        <v>0.52083333333333337</v>
      </c>
      <c r="D3262" s="41">
        <v>6108.9960000000001</v>
      </c>
      <c r="E3262" s="41">
        <v>6124.8590000000004</v>
      </c>
      <c r="F3262" s="41">
        <v>6108.9960000000001</v>
      </c>
      <c r="G3262" s="41">
        <v>6113.7550000000001</v>
      </c>
      <c r="H3262" s="41">
        <v>4453271506.6599998</v>
      </c>
      <c r="I3262" s="42">
        <v>14560</v>
      </c>
    </row>
    <row r="3263" spans="1:9" x14ac:dyDescent="0.25">
      <c r="A3263" t="s">
        <v>9</v>
      </c>
      <c r="B3263" s="39">
        <v>45722</v>
      </c>
      <c r="C3263" s="40">
        <v>0.5</v>
      </c>
      <c r="D3263" s="41">
        <v>6121.6869999999999</v>
      </c>
      <c r="E3263" s="41">
        <v>6124.3310000000001</v>
      </c>
      <c r="F3263" s="41">
        <v>6096.8339999999998</v>
      </c>
      <c r="G3263" s="41">
        <v>6109.5249999999996</v>
      </c>
      <c r="H3263" s="41">
        <v>7994687328.7200003</v>
      </c>
      <c r="I3263" s="42">
        <v>26185</v>
      </c>
    </row>
    <row r="3264" spans="1:9" x14ac:dyDescent="0.25">
      <c r="A3264" t="s">
        <v>9</v>
      </c>
      <c r="B3264" s="39">
        <v>45722</v>
      </c>
      <c r="C3264" s="40">
        <v>0.47916666666666669</v>
      </c>
      <c r="D3264" s="41">
        <v>6103.1790000000001</v>
      </c>
      <c r="E3264" s="41">
        <v>6131.2049999999999</v>
      </c>
      <c r="F3264" s="41">
        <v>6100.5349999999999</v>
      </c>
      <c r="G3264" s="41">
        <v>6121.1580000000004</v>
      </c>
      <c r="H3264" s="41">
        <v>8443738584.75</v>
      </c>
      <c r="I3264" s="42">
        <v>27620</v>
      </c>
    </row>
    <row r="3265" spans="1:9" x14ac:dyDescent="0.25">
      <c r="A3265" t="s">
        <v>9</v>
      </c>
      <c r="B3265" s="39">
        <v>45722</v>
      </c>
      <c r="C3265" s="40">
        <v>0.45833333333333331</v>
      </c>
      <c r="D3265" s="41">
        <v>6101.5929999999998</v>
      </c>
      <c r="E3265" s="41">
        <v>6105.2939999999999</v>
      </c>
      <c r="F3265" s="41">
        <v>6093.6610000000001</v>
      </c>
      <c r="G3265" s="41">
        <v>6104.2370000000001</v>
      </c>
      <c r="H3265" s="41">
        <v>4043998523.1500001</v>
      </c>
      <c r="I3265" s="42">
        <v>13260</v>
      </c>
    </row>
    <row r="3266" spans="1:9" x14ac:dyDescent="0.25">
      <c r="A3266" t="s">
        <v>9</v>
      </c>
      <c r="B3266" s="39">
        <v>45722</v>
      </c>
      <c r="C3266" s="40">
        <v>0.4375</v>
      </c>
      <c r="D3266" s="41">
        <v>6103.7079999999996</v>
      </c>
      <c r="E3266" s="41">
        <v>6111.64</v>
      </c>
      <c r="F3266" s="41">
        <v>6100.5349999999999</v>
      </c>
      <c r="G3266" s="41">
        <v>6100.5349999999999</v>
      </c>
      <c r="H3266" s="41">
        <v>2943238544.77</v>
      </c>
      <c r="I3266" s="42">
        <v>9640</v>
      </c>
    </row>
    <row r="3267" spans="1:9" x14ac:dyDescent="0.25">
      <c r="A3267" t="s">
        <v>9</v>
      </c>
      <c r="B3267" s="39">
        <v>45722</v>
      </c>
      <c r="C3267" s="40">
        <v>0.41666666666666669</v>
      </c>
      <c r="D3267" s="41">
        <v>6106.3519999999999</v>
      </c>
      <c r="E3267" s="41">
        <v>6116.9279999999999</v>
      </c>
      <c r="F3267" s="41">
        <v>6096.8339999999998</v>
      </c>
      <c r="G3267" s="41">
        <v>6103.7079999999996</v>
      </c>
      <c r="H3267" s="41">
        <v>5363298273.2600002</v>
      </c>
      <c r="I3267" s="42">
        <v>17570</v>
      </c>
    </row>
    <row r="3268" spans="1:9" x14ac:dyDescent="0.25">
      <c r="A3268" t="s">
        <v>9</v>
      </c>
      <c r="B3268" s="39">
        <v>45722</v>
      </c>
      <c r="C3268" s="40">
        <v>0.39583333333333331</v>
      </c>
      <c r="D3268" s="41">
        <v>6120.6289999999999</v>
      </c>
      <c r="E3268" s="41">
        <v>6125.3879999999999</v>
      </c>
      <c r="F3268" s="41">
        <v>6105.8230000000003</v>
      </c>
      <c r="G3268" s="41">
        <v>6106.3519999999999</v>
      </c>
      <c r="H3268" s="41">
        <v>3746456764.4499998</v>
      </c>
      <c r="I3268" s="42">
        <v>12255</v>
      </c>
    </row>
    <row r="3269" spans="1:9" x14ac:dyDescent="0.25">
      <c r="A3269" t="s">
        <v>9</v>
      </c>
      <c r="B3269" s="39">
        <v>45722</v>
      </c>
      <c r="C3269" s="40">
        <v>0.375</v>
      </c>
      <c r="D3269" s="41">
        <v>6114.8130000000001</v>
      </c>
      <c r="E3269" s="41">
        <v>6129.6180000000004</v>
      </c>
      <c r="F3269" s="41">
        <v>6111.1109999999999</v>
      </c>
      <c r="G3269" s="41">
        <v>6120.1</v>
      </c>
      <c r="H3269" s="41">
        <v>4575791695.25</v>
      </c>
      <c r="I3269" s="42">
        <v>14950</v>
      </c>
    </row>
    <row r="3270" spans="1:9" x14ac:dyDescent="0.25">
      <c r="A3270" t="s">
        <v>9</v>
      </c>
      <c r="B3270" s="39">
        <v>45721</v>
      </c>
      <c r="C3270" s="40">
        <v>0.75</v>
      </c>
      <c r="D3270" s="41">
        <v>6120.1</v>
      </c>
      <c r="E3270" s="41">
        <v>6120.1</v>
      </c>
      <c r="F3270" s="41">
        <v>6101.0640000000003</v>
      </c>
      <c r="G3270" s="41">
        <v>6102.1220000000003</v>
      </c>
      <c r="H3270" s="41">
        <v>1540318574.9300001</v>
      </c>
      <c r="I3270" s="42">
        <v>5045</v>
      </c>
    </row>
    <row r="3271" spans="1:9" x14ac:dyDescent="0.25">
      <c r="A3271" t="s">
        <v>9</v>
      </c>
      <c r="B3271" s="39">
        <v>45721</v>
      </c>
      <c r="C3271" s="40">
        <v>0.72916666666666663</v>
      </c>
      <c r="D3271" s="41">
        <v>6126.9740000000002</v>
      </c>
      <c r="E3271" s="41">
        <v>6128.0320000000002</v>
      </c>
      <c r="F3271" s="41">
        <v>6111.1109999999999</v>
      </c>
      <c r="G3271" s="41">
        <v>6120.6289999999999</v>
      </c>
      <c r="H3271" s="41">
        <v>1817025870.8299999</v>
      </c>
      <c r="I3271" s="42">
        <v>5940</v>
      </c>
    </row>
    <row r="3272" spans="1:9" x14ac:dyDescent="0.25">
      <c r="A3272" t="s">
        <v>9</v>
      </c>
      <c r="B3272" s="39">
        <v>45721</v>
      </c>
      <c r="C3272" s="40">
        <v>0.70833333333333337</v>
      </c>
      <c r="D3272" s="41">
        <v>6119.0429999999997</v>
      </c>
      <c r="E3272" s="41">
        <v>6129.09</v>
      </c>
      <c r="F3272" s="41">
        <v>6117.4560000000001</v>
      </c>
      <c r="G3272" s="41">
        <v>6126.9740000000002</v>
      </c>
      <c r="H3272" s="41">
        <v>1204973272.8099999</v>
      </c>
      <c r="I3272" s="42">
        <v>3935</v>
      </c>
    </row>
    <row r="3273" spans="1:9" x14ac:dyDescent="0.25">
      <c r="A3273" t="s">
        <v>9</v>
      </c>
      <c r="B3273" s="39">
        <v>45721</v>
      </c>
      <c r="C3273" s="40">
        <v>0.6875</v>
      </c>
      <c r="D3273" s="41">
        <v>6119.0429999999997</v>
      </c>
      <c r="E3273" s="41">
        <v>6123.2730000000001</v>
      </c>
      <c r="F3273" s="41">
        <v>6114.8130000000001</v>
      </c>
      <c r="G3273" s="41">
        <v>6118.5140000000001</v>
      </c>
      <c r="H3273" s="41">
        <v>4023308681.6999998</v>
      </c>
      <c r="I3273" s="42">
        <v>13145</v>
      </c>
    </row>
    <row r="3274" spans="1:9" x14ac:dyDescent="0.25">
      <c r="A3274" t="s">
        <v>9</v>
      </c>
      <c r="B3274" s="39">
        <v>45721</v>
      </c>
      <c r="C3274" s="40">
        <v>0.66666666666666663</v>
      </c>
      <c r="D3274" s="41">
        <v>6139.1360000000004</v>
      </c>
      <c r="E3274" s="41">
        <v>6140.723</v>
      </c>
      <c r="F3274" s="41">
        <v>6116.3990000000003</v>
      </c>
      <c r="G3274" s="41">
        <v>6119.5720000000001</v>
      </c>
      <c r="H3274" s="41">
        <v>4759001821.04</v>
      </c>
      <c r="I3274" s="42">
        <v>15525</v>
      </c>
    </row>
    <row r="3275" spans="1:9" x14ac:dyDescent="0.25">
      <c r="A3275" t="s">
        <v>9</v>
      </c>
      <c r="B3275" s="39">
        <v>45721</v>
      </c>
      <c r="C3275" s="40">
        <v>0.64583333333333337</v>
      </c>
      <c r="D3275" s="41">
        <v>6143.8950000000004</v>
      </c>
      <c r="E3275" s="41">
        <v>6150.241</v>
      </c>
      <c r="F3275" s="41">
        <v>6133.8490000000002</v>
      </c>
      <c r="G3275" s="41">
        <v>6139.1360000000004</v>
      </c>
      <c r="H3275" s="41">
        <v>8564036575.1700001</v>
      </c>
      <c r="I3275" s="42">
        <v>27890</v>
      </c>
    </row>
    <row r="3276" spans="1:9" x14ac:dyDescent="0.25">
      <c r="A3276" t="s">
        <v>9</v>
      </c>
      <c r="B3276" s="39">
        <v>45721</v>
      </c>
      <c r="C3276" s="40">
        <v>0.625</v>
      </c>
      <c r="D3276" s="41">
        <v>6158.1719999999996</v>
      </c>
      <c r="E3276" s="41">
        <v>6161.8739999999998</v>
      </c>
      <c r="F3276" s="41">
        <v>6142.3090000000002</v>
      </c>
      <c r="G3276" s="41">
        <v>6143.3670000000002</v>
      </c>
      <c r="H3276" s="41">
        <v>5176721008.3000002</v>
      </c>
      <c r="I3276" s="42">
        <v>16825</v>
      </c>
    </row>
    <row r="3277" spans="1:9" x14ac:dyDescent="0.25">
      <c r="A3277" t="s">
        <v>9</v>
      </c>
      <c r="B3277" s="39">
        <v>45721</v>
      </c>
      <c r="C3277" s="40">
        <v>0.60416666666666663</v>
      </c>
      <c r="D3277" s="41">
        <v>6166.6329999999998</v>
      </c>
      <c r="E3277" s="41">
        <v>6171.9210000000003</v>
      </c>
      <c r="F3277" s="41">
        <v>6158.1719999999996</v>
      </c>
      <c r="G3277" s="41">
        <v>6158.701</v>
      </c>
      <c r="H3277" s="41">
        <v>4923606291.9499998</v>
      </c>
      <c r="I3277" s="42">
        <v>15975</v>
      </c>
    </row>
    <row r="3278" spans="1:9" x14ac:dyDescent="0.25">
      <c r="A3278" t="s">
        <v>9</v>
      </c>
      <c r="B3278" s="39">
        <v>45721</v>
      </c>
      <c r="C3278" s="40">
        <v>0.58333333333333337</v>
      </c>
      <c r="D3278" s="41">
        <v>6175.0929999999998</v>
      </c>
      <c r="E3278" s="41">
        <v>6183.0249999999996</v>
      </c>
      <c r="F3278" s="41">
        <v>6164.518</v>
      </c>
      <c r="G3278" s="41">
        <v>6166.6329999999998</v>
      </c>
      <c r="H3278" s="41">
        <v>7121402447.3800001</v>
      </c>
      <c r="I3278" s="42">
        <v>23060</v>
      </c>
    </row>
    <row r="3279" spans="1:9" x14ac:dyDescent="0.25">
      <c r="A3279" t="s">
        <v>9</v>
      </c>
      <c r="B3279" s="39">
        <v>45721</v>
      </c>
      <c r="C3279" s="40">
        <v>0.5625</v>
      </c>
      <c r="D3279" s="41">
        <v>6167.1620000000003</v>
      </c>
      <c r="E3279" s="41">
        <v>6185.14</v>
      </c>
      <c r="F3279" s="41">
        <v>6161.3450000000003</v>
      </c>
      <c r="G3279" s="41">
        <v>6174.5649999999996</v>
      </c>
      <c r="H3279" s="41">
        <v>6383934854.3900003</v>
      </c>
      <c r="I3279" s="42">
        <v>20675</v>
      </c>
    </row>
    <row r="3280" spans="1:9" x14ac:dyDescent="0.25">
      <c r="A3280" t="s">
        <v>9</v>
      </c>
      <c r="B3280" s="39">
        <v>45721</v>
      </c>
      <c r="C3280" s="40">
        <v>0.54166666666666663</v>
      </c>
      <c r="D3280" s="41">
        <v>6197.3019999999997</v>
      </c>
      <c r="E3280" s="41">
        <v>6216.3379999999997</v>
      </c>
      <c r="F3280" s="41">
        <v>6158.1719999999996</v>
      </c>
      <c r="G3280" s="41">
        <v>6167.6909999999998</v>
      </c>
      <c r="H3280" s="41">
        <v>14873269349.780001</v>
      </c>
      <c r="I3280" s="42">
        <v>48115</v>
      </c>
    </row>
    <row r="3281" spans="1:9" x14ac:dyDescent="0.25">
      <c r="A3281" t="s">
        <v>9</v>
      </c>
      <c r="B3281" s="39">
        <v>45716</v>
      </c>
      <c r="C3281" s="40">
        <v>0.75</v>
      </c>
      <c r="D3281" s="41">
        <v>6258.6409999999996</v>
      </c>
      <c r="E3281" s="41">
        <v>6270.2740000000003</v>
      </c>
      <c r="F3281" s="41">
        <v>6247.5360000000001</v>
      </c>
      <c r="G3281" s="41">
        <v>6250.18</v>
      </c>
      <c r="H3281" s="41">
        <v>2052203310.29</v>
      </c>
      <c r="I3281" s="42">
        <v>6560</v>
      </c>
    </row>
    <row r="3282" spans="1:9" x14ac:dyDescent="0.25">
      <c r="A3282" t="s">
        <v>9</v>
      </c>
      <c r="B3282" s="39">
        <v>45716</v>
      </c>
      <c r="C3282" s="40">
        <v>0.72916666666666663</v>
      </c>
      <c r="D3282" s="41">
        <v>6266.0439999999999</v>
      </c>
      <c r="E3282" s="41">
        <v>6275.0330000000004</v>
      </c>
      <c r="F3282" s="41">
        <v>6256.5259999999998</v>
      </c>
      <c r="G3282" s="41">
        <v>6258.1120000000001</v>
      </c>
      <c r="H3282" s="41">
        <v>1590074001.6500001</v>
      </c>
      <c r="I3282" s="42">
        <v>5075</v>
      </c>
    </row>
    <row r="3283" spans="1:9" x14ac:dyDescent="0.25">
      <c r="A3283" t="s">
        <v>9</v>
      </c>
      <c r="B3283" s="39">
        <v>45716</v>
      </c>
      <c r="C3283" s="40">
        <v>0.70833333333333337</v>
      </c>
      <c r="D3283" s="41">
        <v>6290.8959999999997</v>
      </c>
      <c r="E3283" s="41">
        <v>6292.4830000000002</v>
      </c>
      <c r="F3283" s="41">
        <v>6261.2849999999999</v>
      </c>
      <c r="G3283" s="41">
        <v>6266.0439999999999</v>
      </c>
      <c r="H3283" s="41">
        <v>5718931147.4099998</v>
      </c>
      <c r="I3283" s="42">
        <v>18215</v>
      </c>
    </row>
    <row r="3284" spans="1:9" x14ac:dyDescent="0.25">
      <c r="A3284" t="s">
        <v>9</v>
      </c>
      <c r="B3284" s="39">
        <v>45716</v>
      </c>
      <c r="C3284" s="40">
        <v>0.6875</v>
      </c>
      <c r="D3284" s="41">
        <v>6277.1480000000001</v>
      </c>
      <c r="E3284" s="41">
        <v>6293.0110000000004</v>
      </c>
      <c r="F3284" s="41">
        <v>6275.5619999999999</v>
      </c>
      <c r="G3284" s="41">
        <v>6289.8389999999999</v>
      </c>
      <c r="H3284" s="41">
        <v>3149343789.2199998</v>
      </c>
      <c r="I3284" s="42">
        <v>10025</v>
      </c>
    </row>
    <row r="3285" spans="1:9" x14ac:dyDescent="0.25">
      <c r="A3285" t="s">
        <v>9</v>
      </c>
      <c r="B3285" s="39">
        <v>45716</v>
      </c>
      <c r="C3285" s="40">
        <v>0.66666666666666663</v>
      </c>
      <c r="D3285" s="41">
        <v>6279.2629999999999</v>
      </c>
      <c r="E3285" s="41">
        <v>6279.2629999999999</v>
      </c>
      <c r="F3285" s="41">
        <v>6267.1009999999997</v>
      </c>
      <c r="G3285" s="41">
        <v>6277.6769999999997</v>
      </c>
      <c r="H3285" s="41">
        <v>6514182238.0600004</v>
      </c>
      <c r="I3285" s="42">
        <v>20770</v>
      </c>
    </row>
    <row r="3286" spans="1:9" x14ac:dyDescent="0.25">
      <c r="A3286" t="s">
        <v>9</v>
      </c>
      <c r="B3286" s="39">
        <v>45716</v>
      </c>
      <c r="C3286" s="40">
        <v>0.64583333333333337</v>
      </c>
      <c r="D3286" s="41">
        <v>6271.3310000000001</v>
      </c>
      <c r="E3286" s="41">
        <v>6280.3209999999999</v>
      </c>
      <c r="F3286" s="41">
        <v>6264.9859999999999</v>
      </c>
      <c r="G3286" s="41">
        <v>6279.2629999999999</v>
      </c>
      <c r="H3286" s="41">
        <v>9051645150.5799999</v>
      </c>
      <c r="I3286" s="42">
        <v>28865</v>
      </c>
    </row>
    <row r="3287" spans="1:9" x14ac:dyDescent="0.25">
      <c r="A3287" t="s">
        <v>9</v>
      </c>
      <c r="B3287" s="39">
        <v>45716</v>
      </c>
      <c r="C3287" s="40">
        <v>0.625</v>
      </c>
      <c r="D3287" s="41">
        <v>6259.6980000000003</v>
      </c>
      <c r="E3287" s="41">
        <v>6282.9650000000001</v>
      </c>
      <c r="F3287" s="41">
        <v>6259.6980000000003</v>
      </c>
      <c r="G3287" s="41">
        <v>6271.86</v>
      </c>
      <c r="H3287" s="41">
        <v>8390096624.6499996</v>
      </c>
      <c r="I3287" s="42">
        <v>26755</v>
      </c>
    </row>
    <row r="3288" spans="1:9" x14ac:dyDescent="0.25">
      <c r="A3288" t="s">
        <v>9</v>
      </c>
      <c r="B3288" s="39">
        <v>45716</v>
      </c>
      <c r="C3288" s="40">
        <v>0.60416666666666663</v>
      </c>
      <c r="D3288" s="41">
        <v>6250.18</v>
      </c>
      <c r="E3288" s="41">
        <v>6264.9859999999999</v>
      </c>
      <c r="F3288" s="41">
        <v>6244.3639999999996</v>
      </c>
      <c r="G3288" s="41">
        <v>6259.6980000000003</v>
      </c>
      <c r="H3288" s="41">
        <v>7878619975.29</v>
      </c>
      <c r="I3288" s="42">
        <v>25200</v>
      </c>
    </row>
    <row r="3289" spans="1:9" x14ac:dyDescent="0.25">
      <c r="A3289" t="s">
        <v>9</v>
      </c>
      <c r="B3289" s="39">
        <v>45716</v>
      </c>
      <c r="C3289" s="40">
        <v>0.58333333333333337</v>
      </c>
      <c r="D3289" s="41">
        <v>6256.5259999999998</v>
      </c>
      <c r="E3289" s="41">
        <v>6256.5259999999998</v>
      </c>
      <c r="F3289" s="41">
        <v>6241.72</v>
      </c>
      <c r="G3289" s="41">
        <v>6248.5940000000001</v>
      </c>
      <c r="H3289" s="41">
        <v>3603340328.48</v>
      </c>
      <c r="I3289" s="42">
        <v>11535</v>
      </c>
    </row>
    <row r="3290" spans="1:9" x14ac:dyDescent="0.25">
      <c r="A3290" t="s">
        <v>9</v>
      </c>
      <c r="B3290" s="39">
        <v>45716</v>
      </c>
      <c r="C3290" s="40">
        <v>0.5625</v>
      </c>
      <c r="D3290" s="41">
        <v>6247.0079999999998</v>
      </c>
      <c r="E3290" s="41">
        <v>6266.5720000000001</v>
      </c>
      <c r="F3290" s="41">
        <v>6244.8919999999998</v>
      </c>
      <c r="G3290" s="41">
        <v>6256.5259999999998</v>
      </c>
      <c r="H3290" s="41">
        <v>3951259094.8499999</v>
      </c>
      <c r="I3290" s="42">
        <v>12630</v>
      </c>
    </row>
    <row r="3291" spans="1:9" x14ac:dyDescent="0.25">
      <c r="A3291" t="s">
        <v>9</v>
      </c>
      <c r="B3291" s="39">
        <v>45716</v>
      </c>
      <c r="C3291" s="40">
        <v>0.54166666666666663</v>
      </c>
      <c r="D3291" s="41">
        <v>6241.72</v>
      </c>
      <c r="E3291" s="41">
        <v>6250.18</v>
      </c>
      <c r="F3291" s="41">
        <v>6226.9139999999998</v>
      </c>
      <c r="G3291" s="41">
        <v>6246.4790000000003</v>
      </c>
      <c r="H3291" s="41">
        <v>6018522193.1999998</v>
      </c>
      <c r="I3291" s="42">
        <v>19290</v>
      </c>
    </row>
    <row r="3292" spans="1:9" x14ac:dyDescent="0.25">
      <c r="A3292" t="s">
        <v>9</v>
      </c>
      <c r="B3292" s="39">
        <v>45716</v>
      </c>
      <c r="C3292" s="40">
        <v>0.52083333333333337</v>
      </c>
      <c r="D3292" s="41">
        <v>6224.27</v>
      </c>
      <c r="E3292" s="41">
        <v>6244.8919999999998</v>
      </c>
      <c r="F3292" s="41">
        <v>6221.6260000000002</v>
      </c>
      <c r="G3292" s="41">
        <v>6241.72</v>
      </c>
      <c r="H3292" s="41">
        <v>4585208342.5900002</v>
      </c>
      <c r="I3292" s="42">
        <v>14705</v>
      </c>
    </row>
    <row r="3293" spans="1:9" x14ac:dyDescent="0.25">
      <c r="A3293" t="s">
        <v>9</v>
      </c>
      <c r="B3293" s="39">
        <v>45716</v>
      </c>
      <c r="C3293" s="40">
        <v>0.5</v>
      </c>
      <c r="D3293" s="41">
        <v>6214.223</v>
      </c>
      <c r="E3293" s="41">
        <v>6230.0870000000004</v>
      </c>
      <c r="F3293" s="41">
        <v>6213.6940000000004</v>
      </c>
      <c r="G3293" s="41">
        <v>6223.2120000000004</v>
      </c>
      <c r="H3293" s="41">
        <v>4182556742.8800001</v>
      </c>
      <c r="I3293" s="42">
        <v>13445</v>
      </c>
    </row>
    <row r="3294" spans="1:9" x14ac:dyDescent="0.25">
      <c r="A3294" t="s">
        <v>9</v>
      </c>
      <c r="B3294" s="39">
        <v>45716</v>
      </c>
      <c r="C3294" s="40">
        <v>0.47916666666666669</v>
      </c>
      <c r="D3294" s="41">
        <v>6215.81</v>
      </c>
      <c r="E3294" s="41">
        <v>6219.5110000000004</v>
      </c>
      <c r="F3294" s="41">
        <v>6204.1760000000004</v>
      </c>
      <c r="G3294" s="41">
        <v>6213.6940000000004</v>
      </c>
      <c r="H3294" s="41">
        <v>9374627707.2900009</v>
      </c>
      <c r="I3294" s="42">
        <v>30190</v>
      </c>
    </row>
    <row r="3295" spans="1:9" x14ac:dyDescent="0.25">
      <c r="A3295" t="s">
        <v>9</v>
      </c>
      <c r="B3295" s="39">
        <v>45716</v>
      </c>
      <c r="C3295" s="40">
        <v>0.45833333333333331</v>
      </c>
      <c r="D3295" s="41">
        <v>6205.2340000000004</v>
      </c>
      <c r="E3295" s="41">
        <v>6217.9250000000002</v>
      </c>
      <c r="F3295" s="41">
        <v>6197.8310000000001</v>
      </c>
      <c r="G3295" s="41">
        <v>6215.2809999999999</v>
      </c>
      <c r="H3295" s="41">
        <v>5160906254.5299997</v>
      </c>
      <c r="I3295" s="42">
        <v>16630</v>
      </c>
    </row>
    <row r="3296" spans="1:9" x14ac:dyDescent="0.25">
      <c r="A3296" t="s">
        <v>9</v>
      </c>
      <c r="B3296" s="39">
        <v>45716</v>
      </c>
      <c r="C3296" s="40">
        <v>0.4375</v>
      </c>
      <c r="D3296" s="41">
        <v>6204.7049999999999</v>
      </c>
      <c r="E3296" s="41">
        <v>6213.6940000000004</v>
      </c>
      <c r="F3296" s="41">
        <v>6201.0039999999999</v>
      </c>
      <c r="G3296" s="41">
        <v>6206.82</v>
      </c>
      <c r="H3296" s="41">
        <v>4929146320.54</v>
      </c>
      <c r="I3296" s="42">
        <v>15880</v>
      </c>
    </row>
    <row r="3297" spans="1:9" x14ac:dyDescent="0.25">
      <c r="A3297" t="s">
        <v>9</v>
      </c>
      <c r="B3297" s="39">
        <v>45716</v>
      </c>
      <c r="C3297" s="40">
        <v>0.41666666666666669</v>
      </c>
      <c r="D3297" s="41">
        <v>6213.1660000000002</v>
      </c>
      <c r="E3297" s="41">
        <v>6216.3379999999997</v>
      </c>
      <c r="F3297" s="41">
        <v>6192.5429999999997</v>
      </c>
      <c r="G3297" s="41">
        <v>6205.7629999999999</v>
      </c>
      <c r="H3297" s="41">
        <v>5882479512.3599997</v>
      </c>
      <c r="I3297" s="42">
        <v>18965</v>
      </c>
    </row>
    <row r="3298" spans="1:9" x14ac:dyDescent="0.25">
      <c r="A3298" t="s">
        <v>9</v>
      </c>
      <c r="B3298" s="39">
        <v>45716</v>
      </c>
      <c r="C3298" s="40">
        <v>0.39583333333333331</v>
      </c>
      <c r="D3298" s="41">
        <v>6222.1549999999997</v>
      </c>
      <c r="E3298" s="41">
        <v>6222.6840000000002</v>
      </c>
      <c r="F3298" s="41">
        <v>6207.3490000000002</v>
      </c>
      <c r="G3298" s="41">
        <v>6212.6369999999997</v>
      </c>
      <c r="H3298" s="41">
        <v>4560141656.46</v>
      </c>
      <c r="I3298" s="42">
        <v>14675</v>
      </c>
    </row>
    <row r="3299" spans="1:9" x14ac:dyDescent="0.25">
      <c r="A3299" t="s">
        <v>9</v>
      </c>
      <c r="B3299" s="39">
        <v>45716</v>
      </c>
      <c r="C3299" s="40">
        <v>0.375</v>
      </c>
      <c r="D3299" s="41">
        <v>6206.2910000000002</v>
      </c>
      <c r="E3299" s="41">
        <v>6232.73</v>
      </c>
      <c r="F3299" s="41">
        <v>6201.5320000000002</v>
      </c>
      <c r="G3299" s="41">
        <v>6221.6260000000002</v>
      </c>
      <c r="H3299" s="41">
        <v>8258324239.3100004</v>
      </c>
      <c r="I3299" s="42">
        <v>26545</v>
      </c>
    </row>
    <row r="3300" spans="1:9" x14ac:dyDescent="0.25">
      <c r="A3300" t="s">
        <v>9</v>
      </c>
      <c r="B3300" s="39">
        <v>45715</v>
      </c>
      <c r="C3300" s="40">
        <v>0.75</v>
      </c>
      <c r="D3300" s="41">
        <v>6214.2150000000001</v>
      </c>
      <c r="E3300" s="41">
        <v>6224.3370000000004</v>
      </c>
      <c r="F3300" s="41">
        <v>6213.683</v>
      </c>
      <c r="G3300" s="41">
        <v>6215.2809999999999</v>
      </c>
      <c r="H3300" s="41">
        <v>1192481008.79</v>
      </c>
      <c r="I3300" s="42">
        <v>3835</v>
      </c>
    </row>
    <row r="3301" spans="1:9" x14ac:dyDescent="0.25">
      <c r="A3301" t="s">
        <v>9</v>
      </c>
      <c r="B3301" s="39">
        <v>45715</v>
      </c>
      <c r="C3301" s="40">
        <v>0.72916666666666663</v>
      </c>
      <c r="D3301" s="41">
        <v>6210.4859999999999</v>
      </c>
      <c r="E3301" s="41">
        <v>6217.4120000000003</v>
      </c>
      <c r="F3301" s="41">
        <v>6209.9530000000004</v>
      </c>
      <c r="G3301" s="41">
        <v>6214.2150000000001</v>
      </c>
      <c r="H3301" s="41">
        <v>1277083567.6600001</v>
      </c>
      <c r="I3301" s="42">
        <v>4110</v>
      </c>
    </row>
    <row r="3302" spans="1:9" x14ac:dyDescent="0.25">
      <c r="A3302" t="s">
        <v>9</v>
      </c>
      <c r="B3302" s="39">
        <v>45715</v>
      </c>
      <c r="C3302" s="40">
        <v>0.70833333333333337</v>
      </c>
      <c r="D3302" s="41">
        <v>6212.0839999999998</v>
      </c>
      <c r="E3302" s="41">
        <v>6213.15</v>
      </c>
      <c r="F3302" s="41">
        <v>6206.7569999999996</v>
      </c>
      <c r="G3302" s="41">
        <v>6211.0190000000002</v>
      </c>
      <c r="H3302" s="41">
        <v>2943513692.5599999</v>
      </c>
      <c r="I3302" s="42">
        <v>9480</v>
      </c>
    </row>
    <row r="3303" spans="1:9" x14ac:dyDescent="0.25">
      <c r="A3303" t="s">
        <v>9</v>
      </c>
      <c r="B3303" s="39">
        <v>45715</v>
      </c>
      <c r="C3303" s="40">
        <v>0.6875</v>
      </c>
      <c r="D3303" s="41">
        <v>6215.2809999999999</v>
      </c>
      <c r="E3303" s="41">
        <v>6221.1409999999996</v>
      </c>
      <c r="F3303" s="41">
        <v>6209.4210000000003</v>
      </c>
      <c r="G3303" s="41">
        <v>6212.0839999999998</v>
      </c>
      <c r="H3303" s="41">
        <v>2821718535.8699999</v>
      </c>
      <c r="I3303" s="42">
        <v>9080</v>
      </c>
    </row>
    <row r="3304" spans="1:9" x14ac:dyDescent="0.25">
      <c r="A3304" t="s">
        <v>9</v>
      </c>
      <c r="B3304" s="39">
        <v>45715</v>
      </c>
      <c r="C3304" s="40">
        <v>0.66666666666666663</v>
      </c>
      <c r="D3304" s="41">
        <v>6204.6260000000002</v>
      </c>
      <c r="E3304" s="41">
        <v>6215.2809999999999</v>
      </c>
      <c r="F3304" s="41">
        <v>6201.43</v>
      </c>
      <c r="G3304" s="41">
        <v>6213.683</v>
      </c>
      <c r="H3304" s="41">
        <v>6557928636.2200003</v>
      </c>
      <c r="I3304" s="42">
        <v>21130</v>
      </c>
    </row>
    <row r="3305" spans="1:9" x14ac:dyDescent="0.25">
      <c r="A3305" t="s">
        <v>9</v>
      </c>
      <c r="B3305" s="39">
        <v>45715</v>
      </c>
      <c r="C3305" s="40">
        <v>0.64583333333333337</v>
      </c>
      <c r="D3305" s="41">
        <v>6209.4210000000003</v>
      </c>
      <c r="E3305" s="41">
        <v>6211.0190000000002</v>
      </c>
      <c r="F3305" s="41">
        <v>6203.0280000000002</v>
      </c>
      <c r="G3305" s="41">
        <v>6205.1589999999997</v>
      </c>
      <c r="H3305" s="41">
        <v>2462444465.5</v>
      </c>
      <c r="I3305" s="42">
        <v>7935</v>
      </c>
    </row>
    <row r="3306" spans="1:9" x14ac:dyDescent="0.25">
      <c r="A3306" t="s">
        <v>9</v>
      </c>
      <c r="B3306" s="39">
        <v>45715</v>
      </c>
      <c r="C3306" s="40">
        <v>0.625</v>
      </c>
      <c r="D3306" s="41">
        <v>6209.4210000000003</v>
      </c>
      <c r="E3306" s="41">
        <v>6219.5429999999997</v>
      </c>
      <c r="F3306" s="41">
        <v>6207.8230000000003</v>
      </c>
      <c r="G3306" s="41">
        <v>6209.4210000000003</v>
      </c>
      <c r="H3306" s="41">
        <v>5115308681.8199997</v>
      </c>
      <c r="I3306" s="42">
        <v>16465</v>
      </c>
    </row>
    <row r="3307" spans="1:9" x14ac:dyDescent="0.25">
      <c r="A3307" t="s">
        <v>9</v>
      </c>
      <c r="B3307" s="39">
        <v>45715</v>
      </c>
      <c r="C3307" s="40">
        <v>0.60416666666666663</v>
      </c>
      <c r="D3307" s="41">
        <v>6207.29</v>
      </c>
      <c r="E3307" s="41">
        <v>6217.9440000000004</v>
      </c>
      <c r="F3307" s="41">
        <v>6205.692</v>
      </c>
      <c r="G3307" s="41">
        <v>6209.4210000000003</v>
      </c>
      <c r="H3307" s="41">
        <v>2276804706.1199999</v>
      </c>
      <c r="I3307" s="42">
        <v>7330</v>
      </c>
    </row>
    <row r="3308" spans="1:9" x14ac:dyDescent="0.25">
      <c r="A3308" t="s">
        <v>9</v>
      </c>
      <c r="B3308" s="39">
        <v>45715</v>
      </c>
      <c r="C3308" s="40">
        <v>0.58333333333333337</v>
      </c>
      <c r="D3308" s="41">
        <v>6212.0839999999998</v>
      </c>
      <c r="E3308" s="41">
        <v>6212.6170000000002</v>
      </c>
      <c r="F3308" s="41">
        <v>6202.4949999999999</v>
      </c>
      <c r="G3308" s="41">
        <v>6207.8230000000003</v>
      </c>
      <c r="H3308" s="41">
        <v>2049912998.6900001</v>
      </c>
      <c r="I3308" s="42">
        <v>6605</v>
      </c>
    </row>
    <row r="3309" spans="1:9" x14ac:dyDescent="0.25">
      <c r="A3309" t="s">
        <v>9</v>
      </c>
      <c r="B3309" s="39">
        <v>45715</v>
      </c>
      <c r="C3309" s="40">
        <v>0.5625</v>
      </c>
      <c r="D3309" s="41">
        <v>6217.9440000000004</v>
      </c>
      <c r="E3309" s="41">
        <v>6219.5429999999997</v>
      </c>
      <c r="F3309" s="41">
        <v>6211.5519999999997</v>
      </c>
      <c r="G3309" s="41">
        <v>6212.0839999999998</v>
      </c>
      <c r="H3309" s="41">
        <v>2701130796.1399999</v>
      </c>
      <c r="I3309" s="42">
        <v>8690</v>
      </c>
    </row>
    <row r="3310" spans="1:9" x14ac:dyDescent="0.25">
      <c r="A3310" t="s">
        <v>9</v>
      </c>
      <c r="B3310" s="39">
        <v>45715</v>
      </c>
      <c r="C3310" s="40">
        <v>0.54166666666666663</v>
      </c>
      <c r="D3310" s="41">
        <v>6212.0839999999998</v>
      </c>
      <c r="E3310" s="41">
        <v>6220.6080000000002</v>
      </c>
      <c r="F3310" s="41">
        <v>6209.9530000000004</v>
      </c>
      <c r="G3310" s="41">
        <v>6217.4120000000003</v>
      </c>
      <c r="H3310" s="41">
        <v>5997190399.1700001</v>
      </c>
      <c r="I3310" s="42">
        <v>19295</v>
      </c>
    </row>
    <row r="3311" spans="1:9" x14ac:dyDescent="0.25">
      <c r="A3311" t="s">
        <v>9</v>
      </c>
      <c r="B3311" s="39">
        <v>45715</v>
      </c>
      <c r="C3311" s="40">
        <v>0.52083333333333337</v>
      </c>
      <c r="D3311" s="41">
        <v>6214.7479999999996</v>
      </c>
      <c r="E3311" s="41">
        <v>6216.8789999999999</v>
      </c>
      <c r="F3311" s="41">
        <v>6206.2240000000002</v>
      </c>
      <c r="G3311" s="41">
        <v>6212.0839999999998</v>
      </c>
      <c r="H3311" s="41">
        <v>3695711023.25</v>
      </c>
      <c r="I3311" s="42">
        <v>11900</v>
      </c>
    </row>
    <row r="3312" spans="1:9" x14ac:dyDescent="0.25">
      <c r="A3312" t="s">
        <v>9</v>
      </c>
      <c r="B3312" s="39">
        <v>45715</v>
      </c>
      <c r="C3312" s="40">
        <v>0.5</v>
      </c>
      <c r="D3312" s="41">
        <v>6212.6170000000002</v>
      </c>
      <c r="E3312" s="41">
        <v>6219.01</v>
      </c>
      <c r="F3312" s="41">
        <v>6207.29</v>
      </c>
      <c r="G3312" s="41">
        <v>6215.2809999999999</v>
      </c>
      <c r="H3312" s="41">
        <v>4637090189.3900003</v>
      </c>
      <c r="I3312" s="42">
        <v>14925</v>
      </c>
    </row>
    <row r="3313" spans="1:9" x14ac:dyDescent="0.25">
      <c r="A3313" t="s">
        <v>9</v>
      </c>
      <c r="B3313" s="39">
        <v>45715</v>
      </c>
      <c r="C3313" s="40">
        <v>0.47916666666666669</v>
      </c>
      <c r="D3313" s="41">
        <v>6195.57</v>
      </c>
      <c r="E3313" s="41">
        <v>6214.2150000000001</v>
      </c>
      <c r="F3313" s="41">
        <v>6189.1769999999997</v>
      </c>
      <c r="G3313" s="41">
        <v>6212.0839999999998</v>
      </c>
      <c r="H3313" s="41">
        <v>5970360864.3299999</v>
      </c>
      <c r="I3313" s="42">
        <v>19260</v>
      </c>
    </row>
    <row r="3314" spans="1:9" x14ac:dyDescent="0.25">
      <c r="A3314" t="s">
        <v>9</v>
      </c>
      <c r="B3314" s="39">
        <v>45715</v>
      </c>
      <c r="C3314" s="40">
        <v>0.45833333333333331</v>
      </c>
      <c r="D3314" s="41">
        <v>6206.7569999999996</v>
      </c>
      <c r="E3314" s="41">
        <v>6213.683</v>
      </c>
      <c r="F3314" s="41">
        <v>6189.71</v>
      </c>
      <c r="G3314" s="41">
        <v>6195.57</v>
      </c>
      <c r="H3314" s="41">
        <v>5338551369.0100002</v>
      </c>
      <c r="I3314" s="42">
        <v>17220</v>
      </c>
    </row>
    <row r="3315" spans="1:9" x14ac:dyDescent="0.25">
      <c r="A3315" t="s">
        <v>9</v>
      </c>
      <c r="B3315" s="39">
        <v>45715</v>
      </c>
      <c r="C3315" s="40">
        <v>0.4375</v>
      </c>
      <c r="D3315" s="41">
        <v>6183.85</v>
      </c>
      <c r="E3315" s="41">
        <v>6211.0190000000002</v>
      </c>
      <c r="F3315" s="41">
        <v>6180.1210000000001</v>
      </c>
      <c r="G3315" s="41">
        <v>6206.7569999999996</v>
      </c>
      <c r="H3315" s="41">
        <v>7163298283.6599998</v>
      </c>
      <c r="I3315" s="42">
        <v>23120</v>
      </c>
    </row>
    <row r="3316" spans="1:9" x14ac:dyDescent="0.25">
      <c r="A3316" t="s">
        <v>9</v>
      </c>
      <c r="B3316" s="39">
        <v>45715</v>
      </c>
      <c r="C3316" s="40">
        <v>0.41666666666666669</v>
      </c>
      <c r="D3316" s="41">
        <v>6188.1120000000001</v>
      </c>
      <c r="E3316" s="41">
        <v>6195.0370000000003</v>
      </c>
      <c r="F3316" s="41">
        <v>6182.7849999999999</v>
      </c>
      <c r="G3316" s="41">
        <v>6184.3829999999998</v>
      </c>
      <c r="H3316" s="41">
        <v>5284719297.5</v>
      </c>
      <c r="I3316" s="42">
        <v>17080</v>
      </c>
    </row>
    <row r="3317" spans="1:9" x14ac:dyDescent="0.25">
      <c r="A3317" t="s">
        <v>9</v>
      </c>
      <c r="B3317" s="39">
        <v>45715</v>
      </c>
      <c r="C3317" s="40">
        <v>0.39583333333333331</v>
      </c>
      <c r="D3317" s="41">
        <v>6197.1679999999997</v>
      </c>
      <c r="E3317" s="41">
        <v>6201.43</v>
      </c>
      <c r="F3317" s="41">
        <v>6177.4570000000003</v>
      </c>
      <c r="G3317" s="41">
        <v>6187.5789999999997</v>
      </c>
      <c r="H3317" s="41">
        <v>4331230402.4200001</v>
      </c>
      <c r="I3317" s="42">
        <v>14000</v>
      </c>
    </row>
    <row r="3318" spans="1:9" x14ac:dyDescent="0.25">
      <c r="A3318" t="s">
        <v>9</v>
      </c>
      <c r="B3318" s="39">
        <v>45715</v>
      </c>
      <c r="C3318" s="40">
        <v>0.375</v>
      </c>
      <c r="D3318" s="41">
        <v>6200.3639999999996</v>
      </c>
      <c r="E3318" s="41">
        <v>6206.7569999999996</v>
      </c>
      <c r="F3318" s="41">
        <v>6182.2520000000004</v>
      </c>
      <c r="G3318" s="41">
        <v>6196.6350000000002</v>
      </c>
      <c r="H3318" s="41">
        <v>5406365558.0799999</v>
      </c>
      <c r="I3318" s="42">
        <v>17445</v>
      </c>
    </row>
    <row r="3319" spans="1:9" x14ac:dyDescent="0.25">
      <c r="A3319" t="s">
        <v>9</v>
      </c>
      <c r="B3319" s="39">
        <v>45714</v>
      </c>
      <c r="C3319" s="40">
        <v>0.75</v>
      </c>
      <c r="D3319" s="41">
        <v>6192.9059999999999</v>
      </c>
      <c r="E3319" s="41">
        <v>6212.0839999999998</v>
      </c>
      <c r="F3319" s="41">
        <v>6180.6540000000005</v>
      </c>
      <c r="G3319" s="41">
        <v>6185.4480000000003</v>
      </c>
      <c r="H3319" s="41">
        <v>2344984343.25</v>
      </c>
      <c r="I3319" s="42">
        <v>7575</v>
      </c>
    </row>
    <row r="3320" spans="1:9" x14ac:dyDescent="0.25">
      <c r="A3320" t="s">
        <v>9</v>
      </c>
      <c r="B3320" s="39">
        <v>45714</v>
      </c>
      <c r="C3320" s="40">
        <v>0.72916666666666663</v>
      </c>
      <c r="D3320" s="41">
        <v>6191.8410000000003</v>
      </c>
      <c r="E3320" s="41">
        <v>6199.299</v>
      </c>
      <c r="F3320" s="41">
        <v>6189.71</v>
      </c>
      <c r="G3320" s="41">
        <v>6191.308</v>
      </c>
      <c r="H3320" s="41">
        <v>6213467198.75</v>
      </c>
      <c r="I3320" s="42">
        <v>20055</v>
      </c>
    </row>
    <row r="3321" spans="1:9" x14ac:dyDescent="0.25">
      <c r="A3321" t="s">
        <v>9</v>
      </c>
      <c r="B3321" s="39">
        <v>45714</v>
      </c>
      <c r="C3321" s="40">
        <v>0.70833333333333337</v>
      </c>
      <c r="D3321" s="41">
        <v>6182.2520000000004</v>
      </c>
      <c r="E3321" s="41">
        <v>6194.5050000000001</v>
      </c>
      <c r="F3321" s="41">
        <v>6181.1859999999997</v>
      </c>
      <c r="G3321" s="41">
        <v>6191.8410000000003</v>
      </c>
      <c r="H3321" s="41">
        <v>3337576714.0100002</v>
      </c>
      <c r="I3321" s="42">
        <v>10785</v>
      </c>
    </row>
    <row r="3322" spans="1:9" x14ac:dyDescent="0.25">
      <c r="A3322" t="s">
        <v>9</v>
      </c>
      <c r="B3322" s="39">
        <v>45714</v>
      </c>
      <c r="C3322" s="40">
        <v>0.6875</v>
      </c>
      <c r="D3322" s="41">
        <v>6179.0559999999996</v>
      </c>
      <c r="E3322" s="41">
        <v>6182.2520000000004</v>
      </c>
      <c r="F3322" s="41">
        <v>6169.9989999999998</v>
      </c>
      <c r="G3322" s="41">
        <v>6181.7190000000001</v>
      </c>
      <c r="H3322" s="41">
        <v>4982842947.71</v>
      </c>
      <c r="I3322" s="42">
        <v>16140</v>
      </c>
    </row>
    <row r="3323" spans="1:9" x14ac:dyDescent="0.25">
      <c r="A3323" t="s">
        <v>9</v>
      </c>
      <c r="B3323" s="39">
        <v>45714</v>
      </c>
      <c r="C3323" s="40">
        <v>0.66666666666666663</v>
      </c>
      <c r="D3323" s="41">
        <v>6171.5969999999998</v>
      </c>
      <c r="E3323" s="41">
        <v>6180.6540000000005</v>
      </c>
      <c r="F3323" s="41">
        <v>6170.5320000000002</v>
      </c>
      <c r="G3323" s="41">
        <v>6178.5230000000001</v>
      </c>
      <c r="H3323" s="41">
        <v>3543641211.2600002</v>
      </c>
      <c r="I3323" s="42">
        <v>11475</v>
      </c>
    </row>
    <row r="3324" spans="1:9" x14ac:dyDescent="0.25">
      <c r="A3324" t="s">
        <v>9</v>
      </c>
      <c r="B3324" s="39">
        <v>45714</v>
      </c>
      <c r="C3324" s="40">
        <v>0.64583333333333337</v>
      </c>
      <c r="D3324" s="41">
        <v>6163.607</v>
      </c>
      <c r="E3324" s="41">
        <v>6173.1959999999999</v>
      </c>
      <c r="F3324" s="41">
        <v>6161.4759999999997</v>
      </c>
      <c r="G3324" s="41">
        <v>6172.13</v>
      </c>
      <c r="H3324" s="41">
        <v>10425028142.940001</v>
      </c>
      <c r="I3324" s="42">
        <v>33810</v>
      </c>
    </row>
    <row r="3325" spans="1:9" x14ac:dyDescent="0.25">
      <c r="A3325" t="s">
        <v>9</v>
      </c>
      <c r="B3325" s="39">
        <v>45714</v>
      </c>
      <c r="C3325" s="40">
        <v>0.625</v>
      </c>
      <c r="D3325" s="41">
        <v>6165.2049999999999</v>
      </c>
      <c r="E3325" s="41">
        <v>6168.4009999999998</v>
      </c>
      <c r="F3325" s="41">
        <v>6160.41</v>
      </c>
      <c r="G3325" s="41">
        <v>6163.607</v>
      </c>
      <c r="H3325" s="41">
        <v>5000449447.0600004</v>
      </c>
      <c r="I3325" s="42">
        <v>16225</v>
      </c>
    </row>
    <row r="3326" spans="1:9" x14ac:dyDescent="0.25">
      <c r="A3326" t="s">
        <v>9</v>
      </c>
      <c r="B3326" s="39">
        <v>45714</v>
      </c>
      <c r="C3326" s="40">
        <v>0.60416666666666663</v>
      </c>
      <c r="D3326" s="41">
        <v>6151.3540000000003</v>
      </c>
      <c r="E3326" s="41">
        <v>6167.8680000000004</v>
      </c>
      <c r="F3326" s="41">
        <v>6149.7560000000003</v>
      </c>
      <c r="G3326" s="41">
        <v>6164.1390000000001</v>
      </c>
      <c r="H3326" s="41">
        <v>4893841827.1700001</v>
      </c>
      <c r="I3326" s="42">
        <v>15885</v>
      </c>
    </row>
    <row r="3327" spans="1:9" x14ac:dyDescent="0.25">
      <c r="A3327" t="s">
        <v>9</v>
      </c>
      <c r="B3327" s="39">
        <v>45714</v>
      </c>
      <c r="C3327" s="40">
        <v>0.58333333333333337</v>
      </c>
      <c r="D3327" s="41">
        <v>6159.3450000000003</v>
      </c>
      <c r="E3327" s="41">
        <v>6167.8680000000004</v>
      </c>
      <c r="F3327" s="41">
        <v>6150.2879999999996</v>
      </c>
      <c r="G3327" s="41">
        <v>6151.3540000000003</v>
      </c>
      <c r="H3327" s="41">
        <v>5104566453.1400003</v>
      </c>
      <c r="I3327" s="42">
        <v>16575</v>
      </c>
    </row>
    <row r="3328" spans="1:9" x14ac:dyDescent="0.25">
      <c r="A3328" t="s">
        <v>9</v>
      </c>
      <c r="B3328" s="39">
        <v>45714</v>
      </c>
      <c r="C3328" s="40">
        <v>0.5625</v>
      </c>
      <c r="D3328" s="41">
        <v>6152.9520000000002</v>
      </c>
      <c r="E3328" s="41">
        <v>6163.0739999999996</v>
      </c>
      <c r="F3328" s="41">
        <v>6149.7560000000003</v>
      </c>
      <c r="G3328" s="41">
        <v>6159.3450000000003</v>
      </c>
      <c r="H3328" s="41">
        <v>2751762400.29</v>
      </c>
      <c r="I3328" s="42">
        <v>8940</v>
      </c>
    </row>
    <row r="3329" spans="1:9" x14ac:dyDescent="0.25">
      <c r="A3329" t="s">
        <v>9</v>
      </c>
      <c r="B3329" s="39">
        <v>45714</v>
      </c>
      <c r="C3329" s="40">
        <v>0.54166666666666663</v>
      </c>
      <c r="D3329" s="41">
        <v>6160.41</v>
      </c>
      <c r="E3329" s="41">
        <v>6161.4759999999997</v>
      </c>
      <c r="F3329" s="41">
        <v>6151.3540000000003</v>
      </c>
      <c r="G3329" s="41">
        <v>6152.4189999999999</v>
      </c>
      <c r="H3329" s="41">
        <v>5704973917.8400002</v>
      </c>
      <c r="I3329" s="42">
        <v>18535</v>
      </c>
    </row>
    <row r="3330" spans="1:9" x14ac:dyDescent="0.25">
      <c r="A3330" t="s">
        <v>9</v>
      </c>
      <c r="B3330" s="39">
        <v>45714</v>
      </c>
      <c r="C3330" s="40">
        <v>0.52083333333333337</v>
      </c>
      <c r="D3330" s="41">
        <v>6171.0649999999996</v>
      </c>
      <c r="E3330" s="41">
        <v>6174.7939999999999</v>
      </c>
      <c r="F3330" s="41">
        <v>6155.0829999999996</v>
      </c>
      <c r="G3330" s="41">
        <v>6160.41</v>
      </c>
      <c r="H3330" s="41">
        <v>5283855620.1300001</v>
      </c>
      <c r="I3330" s="42">
        <v>17140</v>
      </c>
    </row>
    <row r="3331" spans="1:9" x14ac:dyDescent="0.25">
      <c r="A3331" t="s">
        <v>9</v>
      </c>
      <c r="B3331" s="39">
        <v>45714</v>
      </c>
      <c r="C3331" s="40">
        <v>0.5</v>
      </c>
      <c r="D3331" s="41">
        <v>6181.7190000000001</v>
      </c>
      <c r="E3331" s="41">
        <v>6183.85</v>
      </c>
      <c r="F3331" s="41">
        <v>6168.9340000000002</v>
      </c>
      <c r="G3331" s="41">
        <v>6170.5320000000002</v>
      </c>
      <c r="H3331" s="41">
        <v>5820594946.6700001</v>
      </c>
      <c r="I3331" s="42">
        <v>18845</v>
      </c>
    </row>
    <row r="3332" spans="1:9" x14ac:dyDescent="0.25">
      <c r="A3332" t="s">
        <v>9</v>
      </c>
      <c r="B3332" s="39">
        <v>45714</v>
      </c>
      <c r="C3332" s="40">
        <v>0.47916666666666669</v>
      </c>
      <c r="D3332" s="41">
        <v>6164.6719999999996</v>
      </c>
      <c r="E3332" s="41">
        <v>6186.5140000000001</v>
      </c>
      <c r="F3332" s="41">
        <v>6158.2790000000005</v>
      </c>
      <c r="G3332" s="41">
        <v>6180.6540000000005</v>
      </c>
      <c r="H3332" s="41">
        <v>6913486563.2299995</v>
      </c>
      <c r="I3332" s="42">
        <v>22400</v>
      </c>
    </row>
    <row r="3333" spans="1:9" x14ac:dyDescent="0.25">
      <c r="A3333" t="s">
        <v>9</v>
      </c>
      <c r="B3333" s="39">
        <v>45714</v>
      </c>
      <c r="C3333" s="40">
        <v>0.45833333333333331</v>
      </c>
      <c r="D3333" s="41">
        <v>6154.55</v>
      </c>
      <c r="E3333" s="41">
        <v>6169.4669999999996</v>
      </c>
      <c r="F3333" s="41">
        <v>6152.9520000000002</v>
      </c>
      <c r="G3333" s="41">
        <v>6164.6719999999996</v>
      </c>
      <c r="H3333" s="41">
        <v>6808284932.8599997</v>
      </c>
      <c r="I3333" s="42">
        <v>22100</v>
      </c>
    </row>
    <row r="3334" spans="1:9" x14ac:dyDescent="0.25">
      <c r="A3334" t="s">
        <v>9</v>
      </c>
      <c r="B3334" s="39">
        <v>45714</v>
      </c>
      <c r="C3334" s="40">
        <v>0.4375</v>
      </c>
      <c r="D3334" s="41">
        <v>6133.241</v>
      </c>
      <c r="E3334" s="41">
        <v>6157.2139999999999</v>
      </c>
      <c r="F3334" s="41">
        <v>6133.241</v>
      </c>
      <c r="G3334" s="41">
        <v>6155.0829999999996</v>
      </c>
      <c r="H3334" s="41">
        <v>7751985440.0200005</v>
      </c>
      <c r="I3334" s="42">
        <v>25210</v>
      </c>
    </row>
    <row r="3335" spans="1:9" x14ac:dyDescent="0.25">
      <c r="A3335" t="s">
        <v>9</v>
      </c>
      <c r="B3335" s="39">
        <v>45714</v>
      </c>
      <c r="C3335" s="40">
        <v>0.41666666666666669</v>
      </c>
      <c r="D3335" s="41">
        <v>6120.9889999999996</v>
      </c>
      <c r="E3335" s="41">
        <v>6136.97</v>
      </c>
      <c r="F3335" s="41">
        <v>6116.7269999999999</v>
      </c>
      <c r="G3335" s="41">
        <v>6132.7089999999998</v>
      </c>
      <c r="H3335" s="41">
        <v>4882076636.9099998</v>
      </c>
      <c r="I3335" s="42">
        <v>15930</v>
      </c>
    </row>
    <row r="3336" spans="1:9" x14ac:dyDescent="0.25">
      <c r="A3336" t="s">
        <v>9</v>
      </c>
      <c r="B3336" s="39">
        <v>45714</v>
      </c>
      <c r="C3336" s="40">
        <v>0.39583333333333331</v>
      </c>
      <c r="D3336" s="41">
        <v>6126.8490000000002</v>
      </c>
      <c r="E3336" s="41">
        <v>6132.7089999999998</v>
      </c>
      <c r="F3336" s="41">
        <v>6116.7269999999999</v>
      </c>
      <c r="G3336" s="41">
        <v>6121.5209999999997</v>
      </c>
      <c r="H3336" s="41">
        <v>6483842031.8699999</v>
      </c>
      <c r="I3336" s="42">
        <v>21180</v>
      </c>
    </row>
    <row r="3337" spans="1:9" x14ac:dyDescent="0.25">
      <c r="A3337" t="s">
        <v>9</v>
      </c>
      <c r="B3337" s="39">
        <v>45714</v>
      </c>
      <c r="C3337" s="40">
        <v>0.375</v>
      </c>
      <c r="D3337" s="41">
        <v>6116.7269999999999</v>
      </c>
      <c r="E3337" s="41">
        <v>6131.11</v>
      </c>
      <c r="F3337" s="41">
        <v>6110.3339999999998</v>
      </c>
      <c r="G3337" s="41">
        <v>6126.8490000000002</v>
      </c>
      <c r="H3337" s="41">
        <v>4885592742.7299995</v>
      </c>
      <c r="I3337" s="42">
        <v>15960</v>
      </c>
    </row>
    <row r="3338" spans="1:9" x14ac:dyDescent="0.25">
      <c r="A3338" t="s">
        <v>9</v>
      </c>
      <c r="B3338" s="39">
        <v>45713</v>
      </c>
      <c r="C3338" s="40">
        <v>0.75</v>
      </c>
      <c r="D3338" s="41">
        <v>6130.5780000000004</v>
      </c>
      <c r="E3338" s="41">
        <v>6130.5780000000004</v>
      </c>
      <c r="F3338" s="41">
        <v>6117.26</v>
      </c>
      <c r="G3338" s="41">
        <v>6118.3249999999998</v>
      </c>
      <c r="H3338" s="41">
        <v>2835615284.54</v>
      </c>
      <c r="I3338" s="42">
        <v>9260</v>
      </c>
    </row>
    <row r="3339" spans="1:9" x14ac:dyDescent="0.25">
      <c r="A3339" t="s">
        <v>9</v>
      </c>
      <c r="B3339" s="39">
        <v>45713</v>
      </c>
      <c r="C3339" s="40">
        <v>0.72916666666666663</v>
      </c>
      <c r="D3339" s="41">
        <v>6132.7089999999998</v>
      </c>
      <c r="E3339" s="41">
        <v>6134.84</v>
      </c>
      <c r="F3339" s="41">
        <v>6130.0450000000001</v>
      </c>
      <c r="G3339" s="41">
        <v>6131.11</v>
      </c>
      <c r="H3339" s="41">
        <v>3884912969</v>
      </c>
      <c r="I3339" s="42">
        <v>12670</v>
      </c>
    </row>
    <row r="3340" spans="1:9" x14ac:dyDescent="0.25">
      <c r="A3340" t="s">
        <v>9</v>
      </c>
      <c r="B3340" s="39">
        <v>45713</v>
      </c>
      <c r="C3340" s="40">
        <v>0.70833333333333337</v>
      </c>
      <c r="D3340" s="41">
        <v>6132.7089999999998</v>
      </c>
      <c r="E3340" s="41">
        <v>6136.97</v>
      </c>
      <c r="F3340" s="41">
        <v>6131.11</v>
      </c>
      <c r="G3340" s="41">
        <v>6132.7089999999998</v>
      </c>
      <c r="H3340" s="41">
        <v>1542743135.21</v>
      </c>
      <c r="I3340" s="42">
        <v>5030</v>
      </c>
    </row>
    <row r="3341" spans="1:9" x14ac:dyDescent="0.25">
      <c r="A3341" t="s">
        <v>9</v>
      </c>
      <c r="B3341" s="39">
        <v>45713</v>
      </c>
      <c r="C3341" s="40">
        <v>0.6875</v>
      </c>
      <c r="D3341" s="41">
        <v>6132.1760000000004</v>
      </c>
      <c r="E3341" s="41">
        <v>6133.7740000000003</v>
      </c>
      <c r="F3341" s="41">
        <v>6125.7830000000004</v>
      </c>
      <c r="G3341" s="41">
        <v>6132.7089999999998</v>
      </c>
      <c r="H3341" s="41">
        <v>2643309027.9499998</v>
      </c>
      <c r="I3341" s="42">
        <v>8625</v>
      </c>
    </row>
    <row r="3342" spans="1:9" x14ac:dyDescent="0.25">
      <c r="A3342" t="s">
        <v>9</v>
      </c>
      <c r="B3342" s="39">
        <v>45713</v>
      </c>
      <c r="C3342" s="40">
        <v>0.66666666666666663</v>
      </c>
      <c r="D3342" s="41">
        <v>6127.3810000000003</v>
      </c>
      <c r="E3342" s="41">
        <v>6137.5029999999997</v>
      </c>
      <c r="F3342" s="41">
        <v>6126.3159999999998</v>
      </c>
      <c r="G3342" s="41">
        <v>6132.7089999999998</v>
      </c>
      <c r="H3342" s="41">
        <v>3548954591.7199998</v>
      </c>
      <c r="I3342" s="42">
        <v>11575</v>
      </c>
    </row>
    <row r="3343" spans="1:9" x14ac:dyDescent="0.25">
      <c r="A3343" t="s">
        <v>9</v>
      </c>
      <c r="B3343" s="39">
        <v>45713</v>
      </c>
      <c r="C3343" s="40">
        <v>0.64583333333333337</v>
      </c>
      <c r="D3343" s="41">
        <v>6132.7089999999998</v>
      </c>
      <c r="E3343" s="41">
        <v>6133.7740000000003</v>
      </c>
      <c r="F3343" s="41">
        <v>6122.5870000000004</v>
      </c>
      <c r="G3343" s="41">
        <v>6127.3810000000003</v>
      </c>
      <c r="H3343" s="41">
        <v>3790020197.0300002</v>
      </c>
      <c r="I3343" s="42">
        <v>12370</v>
      </c>
    </row>
    <row r="3344" spans="1:9" x14ac:dyDescent="0.25">
      <c r="A3344" t="s">
        <v>9</v>
      </c>
      <c r="B3344" s="39">
        <v>45713</v>
      </c>
      <c r="C3344" s="40">
        <v>0.625</v>
      </c>
      <c r="D3344" s="41">
        <v>6138.0360000000001</v>
      </c>
      <c r="E3344" s="41">
        <v>6144.9610000000002</v>
      </c>
      <c r="F3344" s="41">
        <v>6129.5119999999997</v>
      </c>
      <c r="G3344" s="41">
        <v>6132.7089999999998</v>
      </c>
      <c r="H3344" s="41">
        <v>2923258893.3800001</v>
      </c>
      <c r="I3344" s="42">
        <v>9530</v>
      </c>
    </row>
    <row r="3345" spans="1:9" x14ac:dyDescent="0.25">
      <c r="A3345" t="s">
        <v>9</v>
      </c>
      <c r="B3345" s="39">
        <v>45713</v>
      </c>
      <c r="C3345" s="40">
        <v>0.60416666666666663</v>
      </c>
      <c r="D3345" s="41">
        <v>6149.7560000000003</v>
      </c>
      <c r="E3345" s="41">
        <v>6150.8209999999999</v>
      </c>
      <c r="F3345" s="41">
        <v>6136.97</v>
      </c>
      <c r="G3345" s="41">
        <v>6138.5690000000004</v>
      </c>
      <c r="H3345" s="41">
        <v>2294402415.5300002</v>
      </c>
      <c r="I3345" s="42">
        <v>7470</v>
      </c>
    </row>
    <row r="3346" spans="1:9" x14ac:dyDescent="0.25">
      <c r="A3346" t="s">
        <v>9</v>
      </c>
      <c r="B3346" s="39">
        <v>45713</v>
      </c>
      <c r="C3346" s="40">
        <v>0.58333333333333337</v>
      </c>
      <c r="D3346" s="41">
        <v>6148.69</v>
      </c>
      <c r="E3346" s="41">
        <v>6152.9520000000002</v>
      </c>
      <c r="F3346" s="41">
        <v>6146.5590000000002</v>
      </c>
      <c r="G3346" s="41">
        <v>6149.7560000000003</v>
      </c>
      <c r="H3346" s="41">
        <v>1898885193.1300001</v>
      </c>
      <c r="I3346" s="42">
        <v>6175</v>
      </c>
    </row>
    <row r="3347" spans="1:9" x14ac:dyDescent="0.25">
      <c r="A3347" t="s">
        <v>9</v>
      </c>
      <c r="B3347" s="39">
        <v>45713</v>
      </c>
      <c r="C3347" s="40">
        <v>0.5625</v>
      </c>
      <c r="D3347" s="41">
        <v>6150.2879999999996</v>
      </c>
      <c r="E3347" s="41">
        <v>6155.616</v>
      </c>
      <c r="F3347" s="41">
        <v>6143.3630000000003</v>
      </c>
      <c r="G3347" s="41">
        <v>6149.223</v>
      </c>
      <c r="H3347" s="41">
        <v>5031555549.9799995</v>
      </c>
      <c r="I3347" s="42">
        <v>16365</v>
      </c>
    </row>
    <row r="3348" spans="1:9" x14ac:dyDescent="0.25">
      <c r="A3348" t="s">
        <v>9</v>
      </c>
      <c r="B3348" s="39">
        <v>45713</v>
      </c>
      <c r="C3348" s="40">
        <v>0.54166666666666663</v>
      </c>
      <c r="D3348" s="41">
        <v>6138.5690000000004</v>
      </c>
      <c r="E3348" s="41">
        <v>6151.3540000000003</v>
      </c>
      <c r="F3348" s="41">
        <v>6136.97</v>
      </c>
      <c r="G3348" s="41">
        <v>6149.7560000000003</v>
      </c>
      <c r="H3348" s="41">
        <v>5172817608.3500004</v>
      </c>
      <c r="I3348" s="42">
        <v>16845</v>
      </c>
    </row>
    <row r="3349" spans="1:9" x14ac:dyDescent="0.25">
      <c r="A3349" t="s">
        <v>9</v>
      </c>
      <c r="B3349" s="39">
        <v>45713</v>
      </c>
      <c r="C3349" s="40">
        <v>0.52083333333333337</v>
      </c>
      <c r="D3349" s="41">
        <v>6149.223</v>
      </c>
      <c r="E3349" s="41">
        <v>6154.55</v>
      </c>
      <c r="F3349" s="41">
        <v>6136.4380000000001</v>
      </c>
      <c r="G3349" s="41">
        <v>6139.1009999999997</v>
      </c>
      <c r="H3349" s="41">
        <v>3566276483.7399998</v>
      </c>
      <c r="I3349" s="42">
        <v>11605</v>
      </c>
    </row>
    <row r="3350" spans="1:9" x14ac:dyDescent="0.25">
      <c r="A3350" t="s">
        <v>9</v>
      </c>
      <c r="B3350" s="39">
        <v>45713</v>
      </c>
      <c r="C3350" s="40">
        <v>0.5</v>
      </c>
      <c r="D3350" s="41">
        <v>6157.2139999999999</v>
      </c>
      <c r="E3350" s="41">
        <v>6159.8779999999997</v>
      </c>
      <c r="F3350" s="41">
        <v>6146.027</v>
      </c>
      <c r="G3350" s="41">
        <v>6149.7560000000003</v>
      </c>
      <c r="H3350" s="41">
        <v>3260610341.6300001</v>
      </c>
      <c r="I3350" s="42">
        <v>10600</v>
      </c>
    </row>
    <row r="3351" spans="1:9" x14ac:dyDescent="0.25">
      <c r="A3351" t="s">
        <v>9</v>
      </c>
      <c r="B3351" s="39">
        <v>45713</v>
      </c>
      <c r="C3351" s="40">
        <v>0.47916666666666669</v>
      </c>
      <c r="D3351" s="41">
        <v>6152.4189999999999</v>
      </c>
      <c r="E3351" s="41">
        <v>6161.4759999999997</v>
      </c>
      <c r="F3351" s="41">
        <v>6146.027</v>
      </c>
      <c r="G3351" s="41">
        <v>6156.6809999999996</v>
      </c>
      <c r="H3351" s="41">
        <v>5287415808.7799997</v>
      </c>
      <c r="I3351" s="42">
        <v>17185</v>
      </c>
    </row>
    <row r="3352" spans="1:9" x14ac:dyDescent="0.25">
      <c r="A3352" t="s">
        <v>9</v>
      </c>
      <c r="B3352" s="39">
        <v>45713</v>
      </c>
      <c r="C3352" s="40">
        <v>0.45833333333333331</v>
      </c>
      <c r="D3352" s="41">
        <v>6162.0079999999998</v>
      </c>
      <c r="E3352" s="41">
        <v>6168.9340000000002</v>
      </c>
      <c r="F3352" s="41">
        <v>6152.4189999999999</v>
      </c>
      <c r="G3352" s="41">
        <v>6152.4189999999999</v>
      </c>
      <c r="H3352" s="41">
        <v>3459210721.96</v>
      </c>
      <c r="I3352" s="42">
        <v>11230</v>
      </c>
    </row>
    <row r="3353" spans="1:9" x14ac:dyDescent="0.25">
      <c r="A3353" t="s">
        <v>9</v>
      </c>
      <c r="B3353" s="39">
        <v>45713</v>
      </c>
      <c r="C3353" s="40">
        <v>0.4375</v>
      </c>
      <c r="D3353" s="41">
        <v>6170.5320000000002</v>
      </c>
      <c r="E3353" s="41">
        <v>6172.13</v>
      </c>
      <c r="F3353" s="41">
        <v>6158.2790000000005</v>
      </c>
      <c r="G3353" s="41">
        <v>6162.0079999999998</v>
      </c>
      <c r="H3353" s="41">
        <v>5452270443.1000004</v>
      </c>
      <c r="I3353" s="42">
        <v>17690</v>
      </c>
    </row>
    <row r="3354" spans="1:9" x14ac:dyDescent="0.25">
      <c r="A3354" t="s">
        <v>9</v>
      </c>
      <c r="B3354" s="39">
        <v>45713</v>
      </c>
      <c r="C3354" s="40">
        <v>0.41666666666666669</v>
      </c>
      <c r="D3354" s="41">
        <v>6192.9059999999999</v>
      </c>
      <c r="E3354" s="41">
        <v>6193.4390000000003</v>
      </c>
      <c r="F3354" s="41">
        <v>6169.4669999999996</v>
      </c>
      <c r="G3354" s="41">
        <v>6170.5320000000002</v>
      </c>
      <c r="H3354" s="41">
        <v>5581002320.8100004</v>
      </c>
      <c r="I3354" s="42">
        <v>18060</v>
      </c>
    </row>
    <row r="3355" spans="1:9" x14ac:dyDescent="0.25">
      <c r="A3355" t="s">
        <v>9</v>
      </c>
      <c r="B3355" s="39">
        <v>45713</v>
      </c>
      <c r="C3355" s="40">
        <v>0.39583333333333331</v>
      </c>
      <c r="D3355" s="41">
        <v>6184.9160000000002</v>
      </c>
      <c r="E3355" s="41">
        <v>6197.1679999999997</v>
      </c>
      <c r="F3355" s="41">
        <v>6176.9250000000002</v>
      </c>
      <c r="G3355" s="41">
        <v>6192.9059999999999</v>
      </c>
      <c r="H3355" s="41">
        <v>7276660300.0699997</v>
      </c>
      <c r="I3355" s="42">
        <v>23515</v>
      </c>
    </row>
    <row r="3356" spans="1:9" x14ac:dyDescent="0.25">
      <c r="A3356" t="s">
        <v>9</v>
      </c>
      <c r="B3356" s="39">
        <v>45713</v>
      </c>
      <c r="C3356" s="40">
        <v>0.375</v>
      </c>
      <c r="D3356" s="41">
        <v>6147.0919999999996</v>
      </c>
      <c r="E3356" s="41">
        <v>6186.5140000000001</v>
      </c>
      <c r="F3356" s="41">
        <v>6146.027</v>
      </c>
      <c r="G3356" s="41">
        <v>6184.9160000000002</v>
      </c>
      <c r="H3356" s="41">
        <v>7825890119.4099998</v>
      </c>
      <c r="I3356" s="42">
        <v>25375</v>
      </c>
    </row>
    <row r="3357" spans="1:9" x14ac:dyDescent="0.25">
      <c r="A3357" t="s">
        <v>9</v>
      </c>
      <c r="B3357" s="39">
        <v>45712</v>
      </c>
      <c r="C3357" s="40">
        <v>0.75</v>
      </c>
      <c r="D3357" s="41">
        <v>6157.7470000000003</v>
      </c>
      <c r="E3357" s="41">
        <v>6168.4009999999998</v>
      </c>
      <c r="F3357" s="41">
        <v>6150.8209999999999</v>
      </c>
      <c r="G3357" s="41">
        <v>6150.8209999999999</v>
      </c>
      <c r="H3357" s="41">
        <v>1400636177.95</v>
      </c>
      <c r="I3357" s="42">
        <v>4545</v>
      </c>
    </row>
    <row r="3358" spans="1:9" x14ac:dyDescent="0.25">
      <c r="A3358" t="s">
        <v>9</v>
      </c>
      <c r="B3358" s="39">
        <v>45712</v>
      </c>
      <c r="C3358" s="40">
        <v>0.72916666666666663</v>
      </c>
      <c r="D3358" s="41">
        <v>6156.1480000000001</v>
      </c>
      <c r="E3358" s="41">
        <v>6159.8779999999997</v>
      </c>
      <c r="F3358" s="41">
        <v>6147.625</v>
      </c>
      <c r="G3358" s="41">
        <v>6157.7470000000003</v>
      </c>
      <c r="H3358" s="41">
        <v>3327441922.8800001</v>
      </c>
      <c r="I3358" s="42">
        <v>10815</v>
      </c>
    </row>
    <row r="3359" spans="1:9" x14ac:dyDescent="0.25">
      <c r="A3359" t="s">
        <v>9</v>
      </c>
      <c r="B3359" s="39">
        <v>45712</v>
      </c>
      <c r="C3359" s="40">
        <v>0.70833333333333337</v>
      </c>
      <c r="D3359" s="41">
        <v>6136.4380000000001</v>
      </c>
      <c r="E3359" s="41">
        <v>6157.2139999999999</v>
      </c>
      <c r="F3359" s="41">
        <v>6136.4380000000001</v>
      </c>
      <c r="G3359" s="41">
        <v>6157.2139999999999</v>
      </c>
      <c r="H3359" s="41">
        <v>3658028453.3299999</v>
      </c>
      <c r="I3359" s="42">
        <v>11905</v>
      </c>
    </row>
    <row r="3360" spans="1:9" x14ac:dyDescent="0.25">
      <c r="A3360" t="s">
        <v>9</v>
      </c>
      <c r="B3360" s="39">
        <v>45712</v>
      </c>
      <c r="C3360" s="40">
        <v>0.6875</v>
      </c>
      <c r="D3360" s="41">
        <v>6131.11</v>
      </c>
      <c r="E3360" s="41">
        <v>6136.97</v>
      </c>
      <c r="F3360" s="41">
        <v>6128.4470000000001</v>
      </c>
      <c r="G3360" s="41">
        <v>6136.4380000000001</v>
      </c>
      <c r="H3360" s="41">
        <v>1600665721.25</v>
      </c>
      <c r="I3360" s="42">
        <v>5220</v>
      </c>
    </row>
    <row r="3361" spans="1:9" x14ac:dyDescent="0.25">
      <c r="A3361" t="s">
        <v>9</v>
      </c>
      <c r="B3361" s="39">
        <v>45712</v>
      </c>
      <c r="C3361" s="40">
        <v>0.66666666666666663</v>
      </c>
      <c r="D3361" s="41">
        <v>6129.5119999999997</v>
      </c>
      <c r="E3361" s="41">
        <v>6135.3720000000003</v>
      </c>
      <c r="F3361" s="41">
        <v>6126.8490000000002</v>
      </c>
      <c r="G3361" s="41">
        <v>6131.11</v>
      </c>
      <c r="H3361" s="41">
        <v>4444717209.2299995</v>
      </c>
      <c r="I3361" s="42">
        <v>14500</v>
      </c>
    </row>
    <row r="3362" spans="1:9" x14ac:dyDescent="0.25">
      <c r="A3362" t="s">
        <v>9</v>
      </c>
      <c r="B3362" s="39">
        <v>45712</v>
      </c>
      <c r="C3362" s="40">
        <v>0.64583333333333337</v>
      </c>
      <c r="D3362" s="41">
        <v>6120.9889999999996</v>
      </c>
      <c r="E3362" s="41">
        <v>6131.11</v>
      </c>
      <c r="F3362" s="41">
        <v>6119.9229999999998</v>
      </c>
      <c r="G3362" s="41">
        <v>6129.5119999999997</v>
      </c>
      <c r="H3362" s="41">
        <v>5110749903.6599998</v>
      </c>
      <c r="I3362" s="42">
        <v>16690</v>
      </c>
    </row>
    <row r="3363" spans="1:9" x14ac:dyDescent="0.25">
      <c r="A3363" t="s">
        <v>9</v>
      </c>
      <c r="B3363" s="39">
        <v>45712</v>
      </c>
      <c r="C3363" s="40">
        <v>0.625</v>
      </c>
      <c r="D3363" s="41">
        <v>6115.6610000000001</v>
      </c>
      <c r="E3363" s="41">
        <v>6122.5870000000004</v>
      </c>
      <c r="F3363" s="41">
        <v>6111.9319999999998</v>
      </c>
      <c r="G3363" s="41">
        <v>6120.9889999999996</v>
      </c>
      <c r="H3363" s="41">
        <v>3097936276.25</v>
      </c>
      <c r="I3363" s="42">
        <v>10130</v>
      </c>
    </row>
    <row r="3364" spans="1:9" x14ac:dyDescent="0.25">
      <c r="A3364" t="s">
        <v>9</v>
      </c>
      <c r="B3364" s="39">
        <v>45712</v>
      </c>
      <c r="C3364" s="40">
        <v>0.60416666666666663</v>
      </c>
      <c r="D3364" s="41">
        <v>6115.6610000000001</v>
      </c>
      <c r="E3364" s="41">
        <v>6122.0540000000001</v>
      </c>
      <c r="F3364" s="41">
        <v>6109.8019999999997</v>
      </c>
      <c r="G3364" s="41">
        <v>6115.6610000000001</v>
      </c>
      <c r="H3364" s="41">
        <v>3904385464.27</v>
      </c>
      <c r="I3364" s="42">
        <v>12770</v>
      </c>
    </row>
    <row r="3365" spans="1:9" x14ac:dyDescent="0.25">
      <c r="A3365" t="s">
        <v>9</v>
      </c>
      <c r="B3365" s="39">
        <v>45712</v>
      </c>
      <c r="C3365" s="40">
        <v>0.58333333333333337</v>
      </c>
      <c r="D3365" s="41">
        <v>6113.5309999999999</v>
      </c>
      <c r="E3365" s="41">
        <v>6123.12</v>
      </c>
      <c r="F3365" s="41">
        <v>6112.9979999999996</v>
      </c>
      <c r="G3365" s="41">
        <v>6116.1940000000004</v>
      </c>
      <c r="H3365" s="41">
        <v>2219540832.2199998</v>
      </c>
      <c r="I3365" s="42">
        <v>7255</v>
      </c>
    </row>
    <row r="3366" spans="1:9" x14ac:dyDescent="0.25">
      <c r="A3366" t="s">
        <v>9</v>
      </c>
      <c r="B3366" s="39">
        <v>45712</v>
      </c>
      <c r="C3366" s="40">
        <v>0.5625</v>
      </c>
      <c r="D3366" s="41">
        <v>6120.4560000000001</v>
      </c>
      <c r="E3366" s="41">
        <v>6122.0540000000001</v>
      </c>
      <c r="F3366" s="41">
        <v>6108.7359999999999</v>
      </c>
      <c r="G3366" s="41">
        <v>6113.5309999999999</v>
      </c>
      <c r="H3366" s="41">
        <v>2340232053.4200001</v>
      </c>
      <c r="I3366" s="42">
        <v>7655</v>
      </c>
    </row>
    <row r="3367" spans="1:9" x14ac:dyDescent="0.25">
      <c r="A3367" t="s">
        <v>9</v>
      </c>
      <c r="B3367" s="39">
        <v>45712</v>
      </c>
      <c r="C3367" s="40">
        <v>0.54166666666666663</v>
      </c>
      <c r="D3367" s="41">
        <v>6111.9319999999998</v>
      </c>
      <c r="E3367" s="41">
        <v>6120.4560000000001</v>
      </c>
      <c r="F3367" s="41">
        <v>6105.54</v>
      </c>
      <c r="G3367" s="41">
        <v>6120.4560000000001</v>
      </c>
      <c r="H3367" s="41">
        <v>4312684978.5699997</v>
      </c>
      <c r="I3367" s="42">
        <v>14115</v>
      </c>
    </row>
    <row r="3368" spans="1:9" x14ac:dyDescent="0.25">
      <c r="A3368" t="s">
        <v>9</v>
      </c>
      <c r="B3368" s="39">
        <v>45712</v>
      </c>
      <c r="C3368" s="40">
        <v>0.52083333333333337</v>
      </c>
      <c r="D3368" s="41">
        <v>6113.5309999999999</v>
      </c>
      <c r="E3368" s="41">
        <v>6114.5959999999995</v>
      </c>
      <c r="F3368" s="41">
        <v>6105.54</v>
      </c>
      <c r="G3368" s="41">
        <v>6111.4</v>
      </c>
      <c r="H3368" s="41">
        <v>3174689426.1999998</v>
      </c>
      <c r="I3368" s="42">
        <v>10390</v>
      </c>
    </row>
    <row r="3369" spans="1:9" x14ac:dyDescent="0.25">
      <c r="A3369" t="s">
        <v>9</v>
      </c>
      <c r="B3369" s="39">
        <v>45712</v>
      </c>
      <c r="C3369" s="40">
        <v>0.5</v>
      </c>
      <c r="D3369" s="41">
        <v>6113.5309999999999</v>
      </c>
      <c r="E3369" s="41">
        <v>6116.7269999999999</v>
      </c>
      <c r="F3369" s="41">
        <v>6110.3339999999998</v>
      </c>
      <c r="G3369" s="41">
        <v>6113.5309999999999</v>
      </c>
      <c r="H3369" s="41">
        <v>5448851559.25</v>
      </c>
      <c r="I3369" s="42">
        <v>17825</v>
      </c>
    </row>
    <row r="3370" spans="1:9" x14ac:dyDescent="0.25">
      <c r="A3370" t="s">
        <v>9</v>
      </c>
      <c r="B3370" s="39">
        <v>45712</v>
      </c>
      <c r="C3370" s="40">
        <v>0.47916666666666669</v>
      </c>
      <c r="D3370" s="41">
        <v>6109.2690000000002</v>
      </c>
      <c r="E3370" s="41">
        <v>6115.1289999999999</v>
      </c>
      <c r="F3370" s="41">
        <v>6102.3429999999998</v>
      </c>
      <c r="G3370" s="41">
        <v>6112.9979999999996</v>
      </c>
      <c r="H3370" s="41">
        <v>4320066656.5699997</v>
      </c>
      <c r="I3370" s="42">
        <v>14140</v>
      </c>
    </row>
    <row r="3371" spans="1:9" x14ac:dyDescent="0.25">
      <c r="A3371" t="s">
        <v>9</v>
      </c>
      <c r="B3371" s="39">
        <v>45712</v>
      </c>
      <c r="C3371" s="40">
        <v>0.45833333333333331</v>
      </c>
      <c r="D3371" s="41">
        <v>6105.0069999999996</v>
      </c>
      <c r="E3371" s="41">
        <v>6114.0630000000001</v>
      </c>
      <c r="F3371" s="41">
        <v>6103.4089999999997</v>
      </c>
      <c r="G3371" s="41">
        <v>6109.2690000000002</v>
      </c>
      <c r="H3371" s="41">
        <v>4994519306.3900003</v>
      </c>
      <c r="I3371" s="42">
        <v>16350</v>
      </c>
    </row>
    <row r="3372" spans="1:9" x14ac:dyDescent="0.25">
      <c r="A3372" t="s">
        <v>9</v>
      </c>
      <c r="B3372" s="39">
        <v>45712</v>
      </c>
      <c r="C3372" s="40">
        <v>0.4375</v>
      </c>
      <c r="D3372" s="41">
        <v>6106.0720000000001</v>
      </c>
      <c r="E3372" s="41">
        <v>6109.8019999999997</v>
      </c>
      <c r="F3372" s="41">
        <v>6100.7449999999999</v>
      </c>
      <c r="G3372" s="41">
        <v>6103.942</v>
      </c>
      <c r="H3372" s="41">
        <v>4210410262.23</v>
      </c>
      <c r="I3372" s="42">
        <v>13790</v>
      </c>
    </row>
    <row r="3373" spans="1:9" x14ac:dyDescent="0.25">
      <c r="A3373" t="s">
        <v>9</v>
      </c>
      <c r="B3373" s="39">
        <v>45712</v>
      </c>
      <c r="C3373" s="40">
        <v>0.41666666666666669</v>
      </c>
      <c r="D3373" s="41">
        <v>6089.558</v>
      </c>
      <c r="E3373" s="41">
        <v>6107.6710000000003</v>
      </c>
      <c r="F3373" s="41">
        <v>6089.558</v>
      </c>
      <c r="G3373" s="41">
        <v>6106.0720000000001</v>
      </c>
      <c r="H3373" s="41">
        <v>6818184793.0900002</v>
      </c>
      <c r="I3373" s="42">
        <v>22365</v>
      </c>
    </row>
    <row r="3374" spans="1:9" x14ac:dyDescent="0.25">
      <c r="A3374" t="s">
        <v>9</v>
      </c>
      <c r="B3374" s="39">
        <v>45712</v>
      </c>
      <c r="C3374" s="40">
        <v>0.39583333333333331</v>
      </c>
      <c r="D3374" s="41">
        <v>6094.8850000000002</v>
      </c>
      <c r="E3374" s="41">
        <v>6101.8109999999997</v>
      </c>
      <c r="F3374" s="41">
        <v>6089.558</v>
      </c>
      <c r="G3374" s="41">
        <v>6089.558</v>
      </c>
      <c r="H3374" s="41">
        <v>5427204354.9899998</v>
      </c>
      <c r="I3374" s="42">
        <v>17805</v>
      </c>
    </row>
    <row r="3375" spans="1:9" x14ac:dyDescent="0.25">
      <c r="A3375" t="s">
        <v>9</v>
      </c>
      <c r="B3375" s="39">
        <v>45712</v>
      </c>
      <c r="C3375" s="40">
        <v>0.375</v>
      </c>
      <c r="D3375" s="41">
        <v>6100.2129999999997</v>
      </c>
      <c r="E3375" s="41">
        <v>6100.2129999999997</v>
      </c>
      <c r="F3375" s="41">
        <v>6085.8289999999997</v>
      </c>
      <c r="G3375" s="41">
        <v>6094.8850000000002</v>
      </c>
      <c r="H3375" s="41">
        <v>3376613998.8499999</v>
      </c>
      <c r="I3375" s="42">
        <v>11085</v>
      </c>
    </row>
    <row r="3376" spans="1:9" x14ac:dyDescent="0.25">
      <c r="A3376" t="s">
        <v>9</v>
      </c>
      <c r="B3376" s="39">
        <v>45709</v>
      </c>
      <c r="C3376" s="40">
        <v>0.75</v>
      </c>
      <c r="D3376" s="41">
        <v>6112.9979999999996</v>
      </c>
      <c r="E3376" s="41">
        <v>6115.6610000000001</v>
      </c>
      <c r="F3376" s="41">
        <v>6109.2690000000002</v>
      </c>
      <c r="G3376" s="41">
        <v>6115.6610000000001</v>
      </c>
      <c r="H3376" s="41">
        <v>1113990116</v>
      </c>
      <c r="I3376" s="42">
        <v>3645</v>
      </c>
    </row>
    <row r="3377" spans="1:9" x14ac:dyDescent="0.25">
      <c r="A3377" t="s">
        <v>9</v>
      </c>
      <c r="B3377" s="39">
        <v>45709</v>
      </c>
      <c r="C3377" s="40">
        <v>0.72916666666666663</v>
      </c>
      <c r="D3377" s="41">
        <v>6113.5309999999999</v>
      </c>
      <c r="E3377" s="41">
        <v>6115.1289999999999</v>
      </c>
      <c r="F3377" s="41">
        <v>6108.7359999999999</v>
      </c>
      <c r="G3377" s="41">
        <v>6112.9979999999996</v>
      </c>
      <c r="H3377" s="41">
        <v>1659361954.46</v>
      </c>
      <c r="I3377" s="42">
        <v>5430</v>
      </c>
    </row>
    <row r="3378" spans="1:9" x14ac:dyDescent="0.25">
      <c r="A3378" t="s">
        <v>9</v>
      </c>
      <c r="B3378" s="39">
        <v>45709</v>
      </c>
      <c r="C3378" s="40">
        <v>0.70833333333333337</v>
      </c>
      <c r="D3378" s="41">
        <v>6112.4650000000001</v>
      </c>
      <c r="E3378" s="41">
        <v>6115.1289999999999</v>
      </c>
      <c r="F3378" s="41">
        <v>6108.2030000000004</v>
      </c>
      <c r="G3378" s="41">
        <v>6114.0630000000001</v>
      </c>
      <c r="H3378" s="41">
        <v>1821219222.0999999</v>
      </c>
      <c r="I3378" s="42">
        <v>5960</v>
      </c>
    </row>
    <row r="3379" spans="1:9" x14ac:dyDescent="0.25">
      <c r="A3379" t="s">
        <v>9</v>
      </c>
      <c r="B3379" s="39">
        <v>45709</v>
      </c>
      <c r="C3379" s="40">
        <v>0.6875</v>
      </c>
      <c r="D3379" s="41">
        <v>6109.2690000000002</v>
      </c>
      <c r="E3379" s="41">
        <v>6113.5309999999999</v>
      </c>
      <c r="F3379" s="41">
        <v>6106.6049999999996</v>
      </c>
      <c r="G3379" s="41">
        <v>6112.4650000000001</v>
      </c>
      <c r="H3379" s="41">
        <v>2125011510.6099999</v>
      </c>
      <c r="I3379" s="42">
        <v>6955</v>
      </c>
    </row>
    <row r="3380" spans="1:9" x14ac:dyDescent="0.25">
      <c r="A3380" t="s">
        <v>9</v>
      </c>
      <c r="B3380" s="39">
        <v>45709</v>
      </c>
      <c r="C3380" s="40">
        <v>0.66666666666666663</v>
      </c>
      <c r="D3380" s="41">
        <v>6113.5309999999999</v>
      </c>
      <c r="E3380" s="41">
        <v>6114.0630000000001</v>
      </c>
      <c r="F3380" s="41">
        <v>6107.6710000000003</v>
      </c>
      <c r="G3380" s="41">
        <v>6109.8019999999997</v>
      </c>
      <c r="H3380" s="41">
        <v>2509958840.27</v>
      </c>
      <c r="I3380" s="42">
        <v>8215</v>
      </c>
    </row>
    <row r="3381" spans="1:9" x14ac:dyDescent="0.25">
      <c r="A3381" t="s">
        <v>9</v>
      </c>
      <c r="B3381" s="39">
        <v>45709</v>
      </c>
      <c r="C3381" s="40">
        <v>0.64583333333333337</v>
      </c>
      <c r="D3381" s="41">
        <v>6117.26</v>
      </c>
      <c r="E3381" s="41">
        <v>6118.8580000000002</v>
      </c>
      <c r="F3381" s="41">
        <v>6107.1379999999999</v>
      </c>
      <c r="G3381" s="41">
        <v>6114.0630000000001</v>
      </c>
      <c r="H3381" s="41">
        <v>3616639062.71</v>
      </c>
      <c r="I3381" s="42">
        <v>11835</v>
      </c>
    </row>
    <row r="3382" spans="1:9" x14ac:dyDescent="0.25">
      <c r="A3382" t="s">
        <v>9</v>
      </c>
      <c r="B3382" s="39">
        <v>45709</v>
      </c>
      <c r="C3382" s="40">
        <v>0.625</v>
      </c>
      <c r="D3382" s="41">
        <v>6083.6980000000003</v>
      </c>
      <c r="E3382" s="41">
        <v>6118.3249999999998</v>
      </c>
      <c r="F3382" s="41">
        <v>6083.6980000000003</v>
      </c>
      <c r="G3382" s="41">
        <v>6116.7269999999999</v>
      </c>
      <c r="H3382" s="41">
        <v>8277439426.6599998</v>
      </c>
      <c r="I3382" s="42">
        <v>27125</v>
      </c>
    </row>
    <row r="3383" spans="1:9" x14ac:dyDescent="0.25">
      <c r="A3383" t="s">
        <v>9</v>
      </c>
      <c r="B3383" s="39">
        <v>45709</v>
      </c>
      <c r="C3383" s="40">
        <v>0.60416666666666663</v>
      </c>
      <c r="D3383" s="41">
        <v>6085.2960000000003</v>
      </c>
      <c r="E3383" s="41">
        <v>6085.8289999999997</v>
      </c>
      <c r="F3383" s="41">
        <v>6078.9040000000005</v>
      </c>
      <c r="G3383" s="41">
        <v>6083.6980000000003</v>
      </c>
      <c r="H3383" s="41">
        <v>6866675116.6300001</v>
      </c>
      <c r="I3383" s="42">
        <v>22575</v>
      </c>
    </row>
    <row r="3384" spans="1:9" x14ac:dyDescent="0.25">
      <c r="A3384" t="s">
        <v>9</v>
      </c>
      <c r="B3384" s="39">
        <v>45709</v>
      </c>
      <c r="C3384" s="40">
        <v>0.58333333333333337</v>
      </c>
      <c r="D3384" s="41">
        <v>6077.8379999999997</v>
      </c>
      <c r="E3384" s="41">
        <v>6089.0249999999996</v>
      </c>
      <c r="F3384" s="41">
        <v>6076.7730000000001</v>
      </c>
      <c r="G3384" s="41">
        <v>6085.2960000000003</v>
      </c>
      <c r="H3384" s="41">
        <v>4720892997.6599998</v>
      </c>
      <c r="I3384" s="42">
        <v>15515</v>
      </c>
    </row>
    <row r="3385" spans="1:9" x14ac:dyDescent="0.25">
      <c r="A3385" t="s">
        <v>9</v>
      </c>
      <c r="B3385" s="39">
        <v>45709</v>
      </c>
      <c r="C3385" s="40">
        <v>0.5625</v>
      </c>
      <c r="D3385" s="41">
        <v>6081.567</v>
      </c>
      <c r="E3385" s="41">
        <v>6084.2309999999998</v>
      </c>
      <c r="F3385" s="41">
        <v>6074.6419999999998</v>
      </c>
      <c r="G3385" s="41">
        <v>6078.3710000000001</v>
      </c>
      <c r="H3385" s="41">
        <v>2066944956.1400001</v>
      </c>
      <c r="I3385" s="42">
        <v>6800</v>
      </c>
    </row>
    <row r="3386" spans="1:9" x14ac:dyDescent="0.25">
      <c r="A3386" t="s">
        <v>9</v>
      </c>
      <c r="B3386" s="39">
        <v>45709</v>
      </c>
      <c r="C3386" s="40">
        <v>0.54166666666666663</v>
      </c>
      <c r="D3386" s="41">
        <v>6078.9040000000005</v>
      </c>
      <c r="E3386" s="41">
        <v>6083.6980000000003</v>
      </c>
      <c r="F3386" s="41">
        <v>6076.24</v>
      </c>
      <c r="G3386" s="41">
        <v>6081.0339999999997</v>
      </c>
      <c r="H3386" s="41">
        <v>7490494830.4799995</v>
      </c>
      <c r="I3386" s="42">
        <v>24635</v>
      </c>
    </row>
    <row r="3387" spans="1:9" x14ac:dyDescent="0.25">
      <c r="A3387" t="s">
        <v>9</v>
      </c>
      <c r="B3387" s="39">
        <v>45709</v>
      </c>
      <c r="C3387" s="40">
        <v>0.52083333333333337</v>
      </c>
      <c r="D3387" s="41">
        <v>6081.567</v>
      </c>
      <c r="E3387" s="41">
        <v>6083.6980000000003</v>
      </c>
      <c r="F3387" s="41">
        <v>6073.576</v>
      </c>
      <c r="G3387" s="41">
        <v>6078.3710000000001</v>
      </c>
      <c r="H3387" s="41">
        <v>3016945180.6399999</v>
      </c>
      <c r="I3387" s="42">
        <v>9925</v>
      </c>
    </row>
    <row r="3388" spans="1:9" x14ac:dyDescent="0.25">
      <c r="A3388" t="s">
        <v>9</v>
      </c>
      <c r="B3388" s="39">
        <v>45709</v>
      </c>
      <c r="C3388" s="40">
        <v>0.5</v>
      </c>
      <c r="D3388" s="41">
        <v>6083.165</v>
      </c>
      <c r="E3388" s="41">
        <v>6088.4930000000004</v>
      </c>
      <c r="F3388" s="41">
        <v>6076.24</v>
      </c>
      <c r="G3388" s="41">
        <v>6081.0339999999997</v>
      </c>
      <c r="H3388" s="41">
        <v>2928695732.4299998</v>
      </c>
      <c r="I3388" s="42">
        <v>9630</v>
      </c>
    </row>
    <row r="3389" spans="1:9" x14ac:dyDescent="0.25">
      <c r="A3389" t="s">
        <v>9</v>
      </c>
      <c r="B3389" s="39">
        <v>45709</v>
      </c>
      <c r="C3389" s="40">
        <v>0.47916666666666669</v>
      </c>
      <c r="D3389" s="41">
        <v>6081.567</v>
      </c>
      <c r="E3389" s="41">
        <v>6088.4930000000004</v>
      </c>
      <c r="F3389" s="41">
        <v>6076.24</v>
      </c>
      <c r="G3389" s="41">
        <v>6081.567</v>
      </c>
      <c r="H3389" s="41">
        <v>4133342006.5500002</v>
      </c>
      <c r="I3389" s="42">
        <v>13590</v>
      </c>
    </row>
    <row r="3390" spans="1:9" x14ac:dyDescent="0.25">
      <c r="A3390" t="s">
        <v>9</v>
      </c>
      <c r="B3390" s="39">
        <v>45709</v>
      </c>
      <c r="C3390" s="40">
        <v>0.45833333333333331</v>
      </c>
      <c r="D3390" s="41">
        <v>6082.6329999999998</v>
      </c>
      <c r="E3390" s="41">
        <v>6092.7539999999999</v>
      </c>
      <c r="F3390" s="41">
        <v>6081.0339999999997</v>
      </c>
      <c r="G3390" s="41">
        <v>6081.0339999999997</v>
      </c>
      <c r="H3390" s="41">
        <v>5078242872.0900002</v>
      </c>
      <c r="I3390" s="42">
        <v>16685</v>
      </c>
    </row>
    <row r="3391" spans="1:9" x14ac:dyDescent="0.25">
      <c r="A3391" t="s">
        <v>9</v>
      </c>
      <c r="B3391" s="39">
        <v>45709</v>
      </c>
      <c r="C3391" s="40">
        <v>0.4375</v>
      </c>
      <c r="D3391" s="41">
        <v>6093.82</v>
      </c>
      <c r="E3391" s="41">
        <v>6098.0820000000003</v>
      </c>
      <c r="F3391" s="41">
        <v>6079.4359999999997</v>
      </c>
      <c r="G3391" s="41">
        <v>6082.6329999999998</v>
      </c>
      <c r="H3391" s="41">
        <v>5715090463.1999998</v>
      </c>
      <c r="I3391" s="42">
        <v>18770</v>
      </c>
    </row>
    <row r="3392" spans="1:9" x14ac:dyDescent="0.25">
      <c r="A3392" t="s">
        <v>9</v>
      </c>
      <c r="B3392" s="39">
        <v>45709</v>
      </c>
      <c r="C3392" s="40">
        <v>0.41666666666666669</v>
      </c>
      <c r="D3392" s="41">
        <v>6089.558</v>
      </c>
      <c r="E3392" s="41">
        <v>6097.549</v>
      </c>
      <c r="F3392" s="41">
        <v>6085.2960000000003</v>
      </c>
      <c r="G3392" s="41">
        <v>6094.3530000000001</v>
      </c>
      <c r="H3392" s="41">
        <v>3952391542.4899998</v>
      </c>
      <c r="I3392" s="42">
        <v>12975</v>
      </c>
    </row>
    <row r="3393" spans="1:9" x14ac:dyDescent="0.25">
      <c r="A3393" t="s">
        <v>9</v>
      </c>
      <c r="B3393" s="39">
        <v>45709</v>
      </c>
      <c r="C3393" s="40">
        <v>0.39583333333333331</v>
      </c>
      <c r="D3393" s="41">
        <v>6090.0910000000003</v>
      </c>
      <c r="E3393" s="41">
        <v>6099.68</v>
      </c>
      <c r="F3393" s="41">
        <v>6084.7640000000001</v>
      </c>
      <c r="G3393" s="41">
        <v>6089.558</v>
      </c>
      <c r="H3393" s="41">
        <v>2315008811.9899998</v>
      </c>
      <c r="I3393" s="42">
        <v>7600</v>
      </c>
    </row>
    <row r="3394" spans="1:9" x14ac:dyDescent="0.25">
      <c r="A3394" t="s">
        <v>9</v>
      </c>
      <c r="B3394" s="39">
        <v>45709</v>
      </c>
      <c r="C3394" s="40">
        <v>0.375</v>
      </c>
      <c r="D3394" s="41">
        <v>6089.558</v>
      </c>
      <c r="E3394" s="41">
        <v>6097.0159999999996</v>
      </c>
      <c r="F3394" s="41">
        <v>6083.6980000000003</v>
      </c>
      <c r="G3394" s="41">
        <v>6089.558</v>
      </c>
      <c r="H3394" s="41">
        <v>3107682046.3099999</v>
      </c>
      <c r="I3394" s="42">
        <v>10205</v>
      </c>
    </row>
    <row r="3395" spans="1:9" x14ac:dyDescent="0.25">
      <c r="A3395" t="s">
        <v>9</v>
      </c>
      <c r="B3395" s="39">
        <v>45708</v>
      </c>
      <c r="C3395" s="40">
        <v>0.75</v>
      </c>
      <c r="D3395" s="41">
        <v>6085.8289999999997</v>
      </c>
      <c r="E3395" s="41">
        <v>6090.0910000000003</v>
      </c>
      <c r="F3395" s="41">
        <v>6078.3710000000001</v>
      </c>
      <c r="G3395" s="41">
        <v>6086.3620000000001</v>
      </c>
      <c r="H3395" s="41">
        <v>727357916.26999998</v>
      </c>
      <c r="I3395" s="42">
        <v>2390</v>
      </c>
    </row>
    <row r="3396" spans="1:9" x14ac:dyDescent="0.25">
      <c r="A3396" t="s">
        <v>9</v>
      </c>
      <c r="B3396" s="39">
        <v>45708</v>
      </c>
      <c r="C3396" s="40">
        <v>0.72916666666666663</v>
      </c>
      <c r="D3396" s="41">
        <v>6084.2309999999998</v>
      </c>
      <c r="E3396" s="41">
        <v>6088.4930000000004</v>
      </c>
      <c r="F3396" s="41">
        <v>6079.9690000000001</v>
      </c>
      <c r="G3396" s="41">
        <v>6085.8289999999997</v>
      </c>
      <c r="H3396" s="41">
        <v>2477266287.8800001</v>
      </c>
      <c r="I3396" s="42">
        <v>8145</v>
      </c>
    </row>
    <row r="3397" spans="1:9" x14ac:dyDescent="0.25">
      <c r="A3397" t="s">
        <v>9</v>
      </c>
      <c r="B3397" s="39">
        <v>45708</v>
      </c>
      <c r="C3397" s="40">
        <v>0.70833333333333337</v>
      </c>
      <c r="D3397" s="41">
        <v>6086.3620000000001</v>
      </c>
      <c r="E3397" s="41">
        <v>6087.4269999999997</v>
      </c>
      <c r="F3397" s="41">
        <v>6081.0339999999997</v>
      </c>
      <c r="G3397" s="41">
        <v>6084.7640000000001</v>
      </c>
      <c r="H3397" s="41">
        <v>2069883323.73</v>
      </c>
      <c r="I3397" s="42">
        <v>6805</v>
      </c>
    </row>
    <row r="3398" spans="1:9" x14ac:dyDescent="0.25">
      <c r="A3398" t="s">
        <v>9</v>
      </c>
      <c r="B3398" s="39">
        <v>45708</v>
      </c>
      <c r="C3398" s="40">
        <v>0.6875</v>
      </c>
      <c r="D3398" s="41">
        <v>6087.96</v>
      </c>
      <c r="E3398" s="41">
        <v>6090.6239999999998</v>
      </c>
      <c r="F3398" s="41">
        <v>6083.6980000000003</v>
      </c>
      <c r="G3398" s="41">
        <v>6086.8940000000002</v>
      </c>
      <c r="H3398" s="41">
        <v>1346718204.8299999</v>
      </c>
      <c r="I3398" s="42">
        <v>4425</v>
      </c>
    </row>
    <row r="3399" spans="1:9" x14ac:dyDescent="0.25">
      <c r="A3399" t="s">
        <v>9</v>
      </c>
      <c r="B3399" s="39">
        <v>45708</v>
      </c>
      <c r="C3399" s="40">
        <v>0.66666666666666663</v>
      </c>
      <c r="D3399" s="41">
        <v>6082.1</v>
      </c>
      <c r="E3399" s="41">
        <v>6092.2219999999998</v>
      </c>
      <c r="F3399" s="41">
        <v>6080.5020000000004</v>
      </c>
      <c r="G3399" s="41">
        <v>6088.4930000000004</v>
      </c>
      <c r="H3399" s="41">
        <v>3786642998.77</v>
      </c>
      <c r="I3399" s="42">
        <v>12440</v>
      </c>
    </row>
    <row r="3400" spans="1:9" x14ac:dyDescent="0.25">
      <c r="A3400" t="s">
        <v>9</v>
      </c>
      <c r="B3400" s="39">
        <v>45708</v>
      </c>
      <c r="C3400" s="40">
        <v>0.64583333333333337</v>
      </c>
      <c r="D3400" s="41">
        <v>6080.5020000000004</v>
      </c>
      <c r="E3400" s="41">
        <v>6082.6329999999998</v>
      </c>
      <c r="F3400" s="41">
        <v>6077.3050000000003</v>
      </c>
      <c r="G3400" s="41">
        <v>6081.567</v>
      </c>
      <c r="H3400" s="41">
        <v>3337563395.9299998</v>
      </c>
      <c r="I3400" s="42">
        <v>10980</v>
      </c>
    </row>
    <row r="3401" spans="1:9" x14ac:dyDescent="0.25">
      <c r="A3401" t="s">
        <v>9</v>
      </c>
      <c r="B3401" s="39">
        <v>45708</v>
      </c>
      <c r="C3401" s="40">
        <v>0.625</v>
      </c>
      <c r="D3401" s="41">
        <v>6075.7070000000003</v>
      </c>
      <c r="E3401" s="41">
        <v>6081.567</v>
      </c>
      <c r="F3401" s="41">
        <v>6075.1750000000002</v>
      </c>
      <c r="G3401" s="41">
        <v>6080.5020000000004</v>
      </c>
      <c r="H3401" s="41">
        <v>1975766995.72</v>
      </c>
      <c r="I3401" s="42">
        <v>6500</v>
      </c>
    </row>
    <row r="3402" spans="1:9" x14ac:dyDescent="0.25">
      <c r="A3402" t="s">
        <v>9</v>
      </c>
      <c r="B3402" s="39">
        <v>45708</v>
      </c>
      <c r="C3402" s="40">
        <v>0.60416666666666663</v>
      </c>
      <c r="D3402" s="41">
        <v>6073.576</v>
      </c>
      <c r="E3402" s="41">
        <v>6076.7730000000001</v>
      </c>
      <c r="F3402" s="41">
        <v>6067.1840000000002</v>
      </c>
      <c r="G3402" s="41">
        <v>6075.7070000000003</v>
      </c>
      <c r="H3402" s="41">
        <v>4995709276.6700001</v>
      </c>
      <c r="I3402" s="42">
        <v>16450</v>
      </c>
    </row>
    <row r="3403" spans="1:9" x14ac:dyDescent="0.25">
      <c r="A3403" t="s">
        <v>9</v>
      </c>
      <c r="B3403" s="39">
        <v>45708</v>
      </c>
      <c r="C3403" s="40">
        <v>0.58333333333333337</v>
      </c>
      <c r="D3403" s="41">
        <v>6079.9690000000001</v>
      </c>
      <c r="E3403" s="41">
        <v>6082.6329999999998</v>
      </c>
      <c r="F3403" s="41">
        <v>6073.0439999999999</v>
      </c>
      <c r="G3403" s="41">
        <v>6073.0439999999999</v>
      </c>
      <c r="H3403" s="41">
        <v>5735899960.3400002</v>
      </c>
      <c r="I3403" s="42">
        <v>18870</v>
      </c>
    </row>
    <row r="3404" spans="1:9" x14ac:dyDescent="0.25">
      <c r="A3404" t="s">
        <v>9</v>
      </c>
      <c r="B3404" s="39">
        <v>45708</v>
      </c>
      <c r="C3404" s="40">
        <v>0.5625</v>
      </c>
      <c r="D3404" s="41">
        <v>6084.2309999999998</v>
      </c>
      <c r="E3404" s="41">
        <v>6084.2309999999998</v>
      </c>
      <c r="F3404" s="41">
        <v>6078.3710000000001</v>
      </c>
      <c r="G3404" s="41">
        <v>6078.9040000000005</v>
      </c>
      <c r="H3404" s="41">
        <v>1228090353.49</v>
      </c>
      <c r="I3404" s="42">
        <v>4040</v>
      </c>
    </row>
    <row r="3405" spans="1:9" x14ac:dyDescent="0.25">
      <c r="A3405" t="s">
        <v>9</v>
      </c>
      <c r="B3405" s="39">
        <v>45708</v>
      </c>
      <c r="C3405" s="40">
        <v>0.54166666666666663</v>
      </c>
      <c r="D3405" s="41">
        <v>6079.9690000000001</v>
      </c>
      <c r="E3405" s="41">
        <v>6085.2960000000003</v>
      </c>
      <c r="F3405" s="41">
        <v>6078.3710000000001</v>
      </c>
      <c r="G3405" s="41">
        <v>6084.7640000000001</v>
      </c>
      <c r="H3405" s="41">
        <v>3922740839.1500001</v>
      </c>
      <c r="I3405" s="42">
        <v>12900</v>
      </c>
    </row>
    <row r="3406" spans="1:9" x14ac:dyDescent="0.25">
      <c r="A3406" t="s">
        <v>9</v>
      </c>
      <c r="B3406" s="39">
        <v>45708</v>
      </c>
      <c r="C3406" s="40">
        <v>0.52083333333333337</v>
      </c>
      <c r="D3406" s="41">
        <v>6084.7640000000001</v>
      </c>
      <c r="E3406" s="41">
        <v>6086.3620000000001</v>
      </c>
      <c r="F3406" s="41">
        <v>6070.9129999999996</v>
      </c>
      <c r="G3406" s="41">
        <v>6079.4359999999997</v>
      </c>
      <c r="H3406" s="41">
        <v>3445398276.73</v>
      </c>
      <c r="I3406" s="42">
        <v>11335</v>
      </c>
    </row>
    <row r="3407" spans="1:9" x14ac:dyDescent="0.25">
      <c r="A3407" t="s">
        <v>9</v>
      </c>
      <c r="B3407" s="39">
        <v>45708</v>
      </c>
      <c r="C3407" s="40">
        <v>0.5</v>
      </c>
      <c r="D3407" s="41">
        <v>6075.7070000000003</v>
      </c>
      <c r="E3407" s="41">
        <v>6090.0910000000003</v>
      </c>
      <c r="F3407" s="41">
        <v>6071.9780000000001</v>
      </c>
      <c r="G3407" s="41">
        <v>6084.7640000000001</v>
      </c>
      <c r="H3407" s="41">
        <v>3144239638.1700001</v>
      </c>
      <c r="I3407" s="42">
        <v>10340</v>
      </c>
    </row>
    <row r="3408" spans="1:9" x14ac:dyDescent="0.25">
      <c r="A3408" t="s">
        <v>9</v>
      </c>
      <c r="B3408" s="39">
        <v>45708</v>
      </c>
      <c r="C3408" s="40">
        <v>0.47916666666666669</v>
      </c>
      <c r="D3408" s="41">
        <v>6086.8940000000002</v>
      </c>
      <c r="E3408" s="41">
        <v>6088.4930000000004</v>
      </c>
      <c r="F3408" s="41">
        <v>6072.5110000000004</v>
      </c>
      <c r="G3408" s="41">
        <v>6076.24</v>
      </c>
      <c r="H3408" s="41">
        <v>4531025813.9099998</v>
      </c>
      <c r="I3408" s="42">
        <v>14905</v>
      </c>
    </row>
    <row r="3409" spans="1:9" x14ac:dyDescent="0.25">
      <c r="A3409" t="s">
        <v>9</v>
      </c>
      <c r="B3409" s="39">
        <v>45708</v>
      </c>
      <c r="C3409" s="40">
        <v>0.45833333333333331</v>
      </c>
      <c r="D3409" s="41">
        <v>6093.82</v>
      </c>
      <c r="E3409" s="41">
        <v>6095.951</v>
      </c>
      <c r="F3409" s="41">
        <v>6079.9690000000001</v>
      </c>
      <c r="G3409" s="41">
        <v>6087.4269999999997</v>
      </c>
      <c r="H3409" s="41">
        <v>3565487254.4200001</v>
      </c>
      <c r="I3409" s="42">
        <v>11715</v>
      </c>
    </row>
    <row r="3410" spans="1:9" x14ac:dyDescent="0.25">
      <c r="A3410" t="s">
        <v>9</v>
      </c>
      <c r="B3410" s="39">
        <v>45708</v>
      </c>
      <c r="C3410" s="40">
        <v>0.4375</v>
      </c>
      <c r="D3410" s="41">
        <v>6083.6980000000003</v>
      </c>
      <c r="E3410" s="41">
        <v>6099.68</v>
      </c>
      <c r="F3410" s="41">
        <v>6083.6980000000003</v>
      </c>
      <c r="G3410" s="41">
        <v>6094.3530000000001</v>
      </c>
      <c r="H3410" s="41">
        <v>4770523215.5100002</v>
      </c>
      <c r="I3410" s="42">
        <v>15660</v>
      </c>
    </row>
    <row r="3411" spans="1:9" x14ac:dyDescent="0.25">
      <c r="A3411" t="s">
        <v>9</v>
      </c>
      <c r="B3411" s="39">
        <v>45708</v>
      </c>
      <c r="C3411" s="40">
        <v>0.41666666666666669</v>
      </c>
      <c r="D3411" s="41">
        <v>6081.0339999999997</v>
      </c>
      <c r="E3411" s="41">
        <v>6087.96</v>
      </c>
      <c r="F3411" s="41">
        <v>6077.3050000000003</v>
      </c>
      <c r="G3411" s="41">
        <v>6083.6980000000003</v>
      </c>
      <c r="H3411" s="41">
        <v>3480798927.1300001</v>
      </c>
      <c r="I3411" s="42">
        <v>11445</v>
      </c>
    </row>
    <row r="3412" spans="1:9" x14ac:dyDescent="0.25">
      <c r="A3412" t="s">
        <v>9</v>
      </c>
      <c r="B3412" s="39">
        <v>45708</v>
      </c>
      <c r="C3412" s="40">
        <v>0.39583333333333331</v>
      </c>
      <c r="D3412" s="41">
        <v>6082.1</v>
      </c>
      <c r="E3412" s="41">
        <v>6085.2960000000003</v>
      </c>
      <c r="F3412" s="41">
        <v>6072.5110000000004</v>
      </c>
      <c r="G3412" s="41">
        <v>6080.5020000000004</v>
      </c>
      <c r="H3412" s="41">
        <v>3954992296.8000002</v>
      </c>
      <c r="I3412" s="42">
        <v>13015</v>
      </c>
    </row>
    <row r="3413" spans="1:9" x14ac:dyDescent="0.25">
      <c r="A3413" t="s">
        <v>9</v>
      </c>
      <c r="B3413" s="39">
        <v>45708</v>
      </c>
      <c r="C3413" s="40">
        <v>0.375</v>
      </c>
      <c r="D3413" s="41">
        <v>6090.0910000000003</v>
      </c>
      <c r="E3413" s="41">
        <v>6096.4830000000002</v>
      </c>
      <c r="F3413" s="41">
        <v>6079.9690000000001</v>
      </c>
      <c r="G3413" s="41">
        <v>6081.0339999999997</v>
      </c>
      <c r="H3413" s="41">
        <v>4044841113.02</v>
      </c>
      <c r="I3413" s="42">
        <v>13290</v>
      </c>
    </row>
    <row r="3414" spans="1:9" x14ac:dyDescent="0.25">
      <c r="A3414" t="s">
        <v>9</v>
      </c>
      <c r="B3414" s="39">
        <v>45707</v>
      </c>
      <c r="C3414" s="40">
        <v>0.75</v>
      </c>
      <c r="D3414" s="41">
        <v>6105.54</v>
      </c>
      <c r="E3414" s="41">
        <v>6112.4650000000001</v>
      </c>
      <c r="F3414" s="41">
        <v>6102.3429999999998</v>
      </c>
      <c r="G3414" s="41">
        <v>6105.0069999999996</v>
      </c>
      <c r="H3414" s="41">
        <v>1558811396.52</v>
      </c>
      <c r="I3414" s="42">
        <v>5105</v>
      </c>
    </row>
    <row r="3415" spans="1:9" x14ac:dyDescent="0.25">
      <c r="A3415" t="s">
        <v>9</v>
      </c>
      <c r="B3415" s="39">
        <v>45707</v>
      </c>
      <c r="C3415" s="40">
        <v>0.72916666666666663</v>
      </c>
      <c r="D3415" s="41">
        <v>6101.2780000000002</v>
      </c>
      <c r="E3415" s="41">
        <v>6107.6710000000003</v>
      </c>
      <c r="F3415" s="41">
        <v>6096.4830000000002</v>
      </c>
      <c r="G3415" s="41">
        <v>6105.0069999999996</v>
      </c>
      <c r="H3415" s="41">
        <v>1517884409.5699999</v>
      </c>
      <c r="I3415" s="42">
        <v>4975</v>
      </c>
    </row>
    <row r="3416" spans="1:9" x14ac:dyDescent="0.25">
      <c r="A3416" t="s">
        <v>9</v>
      </c>
      <c r="B3416" s="39">
        <v>45707</v>
      </c>
      <c r="C3416" s="40">
        <v>0.70833333333333337</v>
      </c>
      <c r="D3416" s="41">
        <v>6110.3339999999998</v>
      </c>
      <c r="E3416" s="41">
        <v>6111.4</v>
      </c>
      <c r="F3416" s="41">
        <v>6100.7449999999999</v>
      </c>
      <c r="G3416" s="41">
        <v>6101.8109999999997</v>
      </c>
      <c r="H3416" s="41">
        <v>2238772270.29</v>
      </c>
      <c r="I3416" s="42">
        <v>7335</v>
      </c>
    </row>
    <row r="3417" spans="1:9" x14ac:dyDescent="0.25">
      <c r="A3417" t="s">
        <v>9</v>
      </c>
      <c r="B3417" s="39">
        <v>45707</v>
      </c>
      <c r="C3417" s="40">
        <v>0.6875</v>
      </c>
      <c r="D3417" s="41">
        <v>6099.1469999999999</v>
      </c>
      <c r="E3417" s="41">
        <v>6115.1289999999999</v>
      </c>
      <c r="F3417" s="41">
        <v>6099.1469999999999</v>
      </c>
      <c r="G3417" s="41">
        <v>6109.8019999999997</v>
      </c>
      <c r="H3417" s="41">
        <v>2827584616.5799999</v>
      </c>
      <c r="I3417" s="42">
        <v>9260</v>
      </c>
    </row>
    <row r="3418" spans="1:9" x14ac:dyDescent="0.25">
      <c r="A3418" t="s">
        <v>9</v>
      </c>
      <c r="B3418" s="39">
        <v>45707</v>
      </c>
      <c r="C3418" s="40">
        <v>0.66666666666666663</v>
      </c>
      <c r="D3418" s="41">
        <v>6099.1469999999999</v>
      </c>
      <c r="E3418" s="41">
        <v>6101.8109999999997</v>
      </c>
      <c r="F3418" s="41">
        <v>6095.951</v>
      </c>
      <c r="G3418" s="41">
        <v>6099.1469999999999</v>
      </c>
      <c r="H3418" s="41">
        <v>1895330598.0699999</v>
      </c>
      <c r="I3418" s="42">
        <v>6215</v>
      </c>
    </row>
    <row r="3419" spans="1:9" x14ac:dyDescent="0.25">
      <c r="A3419" t="s">
        <v>9</v>
      </c>
      <c r="B3419" s="39">
        <v>45707</v>
      </c>
      <c r="C3419" s="40">
        <v>0.64583333333333337</v>
      </c>
      <c r="D3419" s="41">
        <v>6099.68</v>
      </c>
      <c r="E3419" s="41">
        <v>6102.3429999999998</v>
      </c>
      <c r="F3419" s="41">
        <v>6095.4179999999997</v>
      </c>
      <c r="G3419" s="41">
        <v>6098.0820000000003</v>
      </c>
      <c r="H3419" s="41">
        <v>3348395921.1799998</v>
      </c>
      <c r="I3419" s="42">
        <v>10980</v>
      </c>
    </row>
    <row r="3420" spans="1:9" x14ac:dyDescent="0.25">
      <c r="A3420" t="s">
        <v>9</v>
      </c>
      <c r="B3420" s="39">
        <v>45707</v>
      </c>
      <c r="C3420" s="40">
        <v>0.625</v>
      </c>
      <c r="D3420" s="41">
        <v>6094.3530000000001</v>
      </c>
      <c r="E3420" s="41">
        <v>6099.68</v>
      </c>
      <c r="F3420" s="41">
        <v>6092.2219999999998</v>
      </c>
      <c r="G3420" s="41">
        <v>6099.1469999999999</v>
      </c>
      <c r="H3420" s="41">
        <v>1981276817.8399999</v>
      </c>
      <c r="I3420" s="42">
        <v>6500</v>
      </c>
    </row>
    <row r="3421" spans="1:9" x14ac:dyDescent="0.25">
      <c r="A3421" t="s">
        <v>9</v>
      </c>
      <c r="B3421" s="39">
        <v>45707</v>
      </c>
      <c r="C3421" s="40">
        <v>0.60416666666666663</v>
      </c>
      <c r="D3421" s="41">
        <v>6091.6890000000003</v>
      </c>
      <c r="E3421" s="41">
        <v>6095.4179999999997</v>
      </c>
      <c r="F3421" s="41">
        <v>6089.558</v>
      </c>
      <c r="G3421" s="41">
        <v>6094.3530000000001</v>
      </c>
      <c r="H3421" s="41">
        <v>3248939043.8200002</v>
      </c>
      <c r="I3421" s="42">
        <v>10665</v>
      </c>
    </row>
    <row r="3422" spans="1:9" x14ac:dyDescent="0.25">
      <c r="A3422" t="s">
        <v>9</v>
      </c>
      <c r="B3422" s="39">
        <v>45707</v>
      </c>
      <c r="C3422" s="40">
        <v>0.58333333333333337</v>
      </c>
      <c r="D3422" s="41">
        <v>6097.549</v>
      </c>
      <c r="E3422" s="41">
        <v>6099.1469999999999</v>
      </c>
      <c r="F3422" s="41">
        <v>6086.8940000000002</v>
      </c>
      <c r="G3422" s="41">
        <v>6091.6890000000003</v>
      </c>
      <c r="H3422" s="41">
        <v>3534647779.4299998</v>
      </c>
      <c r="I3422" s="42">
        <v>11605</v>
      </c>
    </row>
    <row r="3423" spans="1:9" x14ac:dyDescent="0.25">
      <c r="A3423" t="s">
        <v>9</v>
      </c>
      <c r="B3423" s="39">
        <v>45707</v>
      </c>
      <c r="C3423" s="40">
        <v>0.5625</v>
      </c>
      <c r="D3423" s="41">
        <v>6090.6239999999998</v>
      </c>
      <c r="E3423" s="41">
        <v>6098.0820000000003</v>
      </c>
      <c r="F3423" s="41">
        <v>6083.6980000000003</v>
      </c>
      <c r="G3423" s="41">
        <v>6097.549</v>
      </c>
      <c r="H3423" s="41">
        <v>6872558510.8400002</v>
      </c>
      <c r="I3423" s="42">
        <v>22565</v>
      </c>
    </row>
    <row r="3424" spans="1:9" x14ac:dyDescent="0.25">
      <c r="A3424" t="s">
        <v>9</v>
      </c>
      <c r="B3424" s="39">
        <v>45707</v>
      </c>
      <c r="C3424" s="40">
        <v>0.54166666666666663</v>
      </c>
      <c r="D3424" s="41">
        <v>6078.9040000000005</v>
      </c>
      <c r="E3424" s="41">
        <v>6094.3530000000001</v>
      </c>
      <c r="F3424" s="41">
        <v>6078.3710000000001</v>
      </c>
      <c r="G3424" s="41">
        <v>6090.6239999999998</v>
      </c>
      <c r="H3424" s="41">
        <v>5736252356.6899996</v>
      </c>
      <c r="I3424" s="42">
        <v>18845</v>
      </c>
    </row>
    <row r="3425" spans="1:9" x14ac:dyDescent="0.25">
      <c r="A3425" t="s">
        <v>9</v>
      </c>
      <c r="B3425" s="39">
        <v>45707</v>
      </c>
      <c r="C3425" s="40">
        <v>0.52083333333333337</v>
      </c>
      <c r="D3425" s="41">
        <v>6077.3050000000003</v>
      </c>
      <c r="E3425" s="41">
        <v>6079.4359999999997</v>
      </c>
      <c r="F3425" s="41">
        <v>6063.4549999999999</v>
      </c>
      <c r="G3425" s="41">
        <v>6079.4359999999997</v>
      </c>
      <c r="H3425" s="41">
        <v>4679389337.9300003</v>
      </c>
      <c r="I3425" s="42">
        <v>15410</v>
      </c>
    </row>
    <row r="3426" spans="1:9" x14ac:dyDescent="0.25">
      <c r="A3426" t="s">
        <v>9</v>
      </c>
      <c r="B3426" s="39">
        <v>45707</v>
      </c>
      <c r="C3426" s="40">
        <v>0.5</v>
      </c>
      <c r="D3426" s="41">
        <v>6073.576</v>
      </c>
      <c r="E3426" s="41">
        <v>6085.8289999999997</v>
      </c>
      <c r="F3426" s="41">
        <v>6070.9129999999996</v>
      </c>
      <c r="G3426" s="41">
        <v>6077.3050000000003</v>
      </c>
      <c r="H3426" s="41">
        <v>2665670347.5599999</v>
      </c>
      <c r="I3426" s="42">
        <v>8770</v>
      </c>
    </row>
    <row r="3427" spans="1:9" x14ac:dyDescent="0.25">
      <c r="A3427" t="s">
        <v>9</v>
      </c>
      <c r="B3427" s="39">
        <v>45707</v>
      </c>
      <c r="C3427" s="40">
        <v>0.47916666666666669</v>
      </c>
      <c r="D3427" s="41">
        <v>6084.7640000000001</v>
      </c>
      <c r="E3427" s="41">
        <v>6084.7640000000001</v>
      </c>
      <c r="F3427" s="41">
        <v>6070.9129999999996</v>
      </c>
      <c r="G3427" s="41">
        <v>6073.0439999999999</v>
      </c>
      <c r="H3427" s="41">
        <v>6380307824.8900003</v>
      </c>
      <c r="I3427" s="42">
        <v>20995</v>
      </c>
    </row>
    <row r="3428" spans="1:9" x14ac:dyDescent="0.25">
      <c r="A3428" t="s">
        <v>9</v>
      </c>
      <c r="B3428" s="39">
        <v>45707</v>
      </c>
      <c r="C3428" s="40">
        <v>0.45833333333333331</v>
      </c>
      <c r="D3428" s="41">
        <v>6090.0910000000003</v>
      </c>
      <c r="E3428" s="41">
        <v>6096.4830000000002</v>
      </c>
      <c r="F3428" s="41">
        <v>6084.2309999999998</v>
      </c>
      <c r="G3428" s="41">
        <v>6084.7640000000001</v>
      </c>
      <c r="H3428" s="41">
        <v>4008045393.9200001</v>
      </c>
      <c r="I3428" s="42">
        <v>13160</v>
      </c>
    </row>
    <row r="3429" spans="1:9" x14ac:dyDescent="0.25">
      <c r="A3429" t="s">
        <v>9</v>
      </c>
      <c r="B3429" s="39">
        <v>45707</v>
      </c>
      <c r="C3429" s="40">
        <v>0.4375</v>
      </c>
      <c r="D3429" s="41">
        <v>6108.2030000000004</v>
      </c>
      <c r="E3429" s="41">
        <v>6110.3339999999998</v>
      </c>
      <c r="F3429" s="41">
        <v>6088.4930000000004</v>
      </c>
      <c r="G3429" s="41">
        <v>6089.558</v>
      </c>
      <c r="H3429" s="41">
        <v>4616090243.7299995</v>
      </c>
      <c r="I3429" s="42">
        <v>15130</v>
      </c>
    </row>
    <row r="3430" spans="1:9" x14ac:dyDescent="0.25">
      <c r="A3430" t="s">
        <v>9</v>
      </c>
      <c r="B3430" s="39">
        <v>45707</v>
      </c>
      <c r="C3430" s="40">
        <v>0.41666666666666669</v>
      </c>
      <c r="D3430" s="41">
        <v>6103.4089999999997</v>
      </c>
      <c r="E3430" s="41">
        <v>6116.7269999999999</v>
      </c>
      <c r="F3430" s="41">
        <v>6102.8760000000002</v>
      </c>
      <c r="G3430" s="41">
        <v>6108.2030000000004</v>
      </c>
      <c r="H3430" s="41">
        <v>5961804398.6400003</v>
      </c>
      <c r="I3430" s="42">
        <v>19510</v>
      </c>
    </row>
    <row r="3431" spans="1:9" x14ac:dyDescent="0.25">
      <c r="A3431" t="s">
        <v>9</v>
      </c>
      <c r="B3431" s="39">
        <v>45707</v>
      </c>
      <c r="C3431" s="40">
        <v>0.39583333333333331</v>
      </c>
      <c r="D3431" s="41">
        <v>6078.9040000000005</v>
      </c>
      <c r="E3431" s="41">
        <v>6106.6049999999996</v>
      </c>
      <c r="F3431" s="41">
        <v>6077.3050000000003</v>
      </c>
      <c r="G3431" s="41">
        <v>6103.942</v>
      </c>
      <c r="H3431" s="41">
        <v>6109859342.79</v>
      </c>
      <c r="I3431" s="42">
        <v>20040</v>
      </c>
    </row>
    <row r="3432" spans="1:9" x14ac:dyDescent="0.25">
      <c r="A3432" t="s">
        <v>9</v>
      </c>
      <c r="B3432" s="39">
        <v>45707</v>
      </c>
      <c r="C3432" s="40">
        <v>0.375</v>
      </c>
      <c r="D3432" s="41">
        <v>6093.2870000000003</v>
      </c>
      <c r="E3432" s="41">
        <v>6093.2870000000003</v>
      </c>
      <c r="F3432" s="41">
        <v>6066.6509999999998</v>
      </c>
      <c r="G3432" s="41">
        <v>6078.9040000000005</v>
      </c>
      <c r="H3432" s="41">
        <v>3777033605.8299999</v>
      </c>
      <c r="I3432" s="42">
        <v>12425</v>
      </c>
    </row>
    <row r="3433" spans="1:9" x14ac:dyDescent="0.25">
      <c r="A3433" t="s">
        <v>9</v>
      </c>
      <c r="B3433" s="39">
        <v>45706</v>
      </c>
      <c r="C3433" s="40">
        <v>0.75</v>
      </c>
      <c r="D3433" s="41">
        <v>6068.7820000000002</v>
      </c>
      <c r="E3433" s="41">
        <v>6074.1090000000004</v>
      </c>
      <c r="F3433" s="41">
        <v>6067.7160000000003</v>
      </c>
      <c r="G3433" s="41">
        <v>6073.0439999999999</v>
      </c>
      <c r="H3433" s="41">
        <v>1388668686.0799999</v>
      </c>
      <c r="I3433" s="42">
        <v>4575</v>
      </c>
    </row>
    <row r="3434" spans="1:9" x14ac:dyDescent="0.25">
      <c r="A3434" t="s">
        <v>9</v>
      </c>
      <c r="B3434" s="39">
        <v>45706</v>
      </c>
      <c r="C3434" s="40">
        <v>0.72916666666666663</v>
      </c>
      <c r="D3434" s="41">
        <v>6067.1840000000002</v>
      </c>
      <c r="E3434" s="41">
        <v>6073.0439999999999</v>
      </c>
      <c r="F3434" s="41">
        <v>6067.1840000000002</v>
      </c>
      <c r="G3434" s="41">
        <v>6068.2489999999998</v>
      </c>
      <c r="H3434" s="41">
        <v>1927275074.01</v>
      </c>
      <c r="I3434" s="42">
        <v>6350</v>
      </c>
    </row>
    <row r="3435" spans="1:9" x14ac:dyDescent="0.25">
      <c r="A3435" t="s">
        <v>9</v>
      </c>
      <c r="B3435" s="39">
        <v>45706</v>
      </c>
      <c r="C3435" s="40">
        <v>0.70833333333333337</v>
      </c>
      <c r="D3435" s="41">
        <v>6072.5110000000004</v>
      </c>
      <c r="E3435" s="41">
        <v>6073.0439999999999</v>
      </c>
      <c r="F3435" s="41">
        <v>6060.7910000000002</v>
      </c>
      <c r="G3435" s="41">
        <v>6066.6509999999998</v>
      </c>
      <c r="H3435" s="41">
        <v>1666613381.6600001</v>
      </c>
      <c r="I3435" s="42">
        <v>5495</v>
      </c>
    </row>
    <row r="3436" spans="1:9" x14ac:dyDescent="0.25">
      <c r="A3436" t="s">
        <v>9</v>
      </c>
      <c r="B3436" s="39">
        <v>45706</v>
      </c>
      <c r="C3436" s="40">
        <v>0.6875</v>
      </c>
      <c r="D3436" s="41">
        <v>6075.1750000000002</v>
      </c>
      <c r="E3436" s="41">
        <v>6076.24</v>
      </c>
      <c r="F3436" s="41">
        <v>6070.38</v>
      </c>
      <c r="G3436" s="41">
        <v>6071.9780000000001</v>
      </c>
      <c r="H3436" s="41">
        <v>4183440621.21</v>
      </c>
      <c r="I3436" s="42">
        <v>13775</v>
      </c>
    </row>
    <row r="3437" spans="1:9" x14ac:dyDescent="0.25">
      <c r="A3437" t="s">
        <v>9</v>
      </c>
      <c r="B3437" s="39">
        <v>45706</v>
      </c>
      <c r="C3437" s="40">
        <v>0.66666666666666663</v>
      </c>
      <c r="D3437" s="41">
        <v>6075.7070000000003</v>
      </c>
      <c r="E3437" s="41">
        <v>6076.24</v>
      </c>
      <c r="F3437" s="41">
        <v>6071.4449999999997</v>
      </c>
      <c r="G3437" s="41">
        <v>6076.24</v>
      </c>
      <c r="H3437" s="41">
        <v>1565570321.1900001</v>
      </c>
      <c r="I3437" s="42">
        <v>5155</v>
      </c>
    </row>
    <row r="3438" spans="1:9" x14ac:dyDescent="0.25">
      <c r="A3438" t="s">
        <v>9</v>
      </c>
      <c r="B3438" s="39">
        <v>45706</v>
      </c>
      <c r="C3438" s="40">
        <v>0.64583333333333337</v>
      </c>
      <c r="D3438" s="41">
        <v>6081.567</v>
      </c>
      <c r="E3438" s="41">
        <v>6082.1</v>
      </c>
      <c r="F3438" s="41">
        <v>6073.0439999999999</v>
      </c>
      <c r="G3438" s="41">
        <v>6076.24</v>
      </c>
      <c r="H3438" s="41">
        <v>3249752112.4899998</v>
      </c>
      <c r="I3438" s="42">
        <v>10695</v>
      </c>
    </row>
    <row r="3439" spans="1:9" x14ac:dyDescent="0.25">
      <c r="A3439" t="s">
        <v>9</v>
      </c>
      <c r="B3439" s="39">
        <v>45706</v>
      </c>
      <c r="C3439" s="40">
        <v>0.625</v>
      </c>
      <c r="D3439" s="41">
        <v>6079.9690000000001</v>
      </c>
      <c r="E3439" s="41">
        <v>6084.7640000000001</v>
      </c>
      <c r="F3439" s="41">
        <v>6078.9040000000005</v>
      </c>
      <c r="G3439" s="41">
        <v>6081.0339999999997</v>
      </c>
      <c r="H3439" s="41">
        <v>2917559688.1799998</v>
      </c>
      <c r="I3439" s="42">
        <v>9595</v>
      </c>
    </row>
    <row r="3440" spans="1:9" x14ac:dyDescent="0.25">
      <c r="A3440" t="s">
        <v>9</v>
      </c>
      <c r="B3440" s="39">
        <v>45706</v>
      </c>
      <c r="C3440" s="40">
        <v>0.60416666666666663</v>
      </c>
      <c r="D3440" s="41">
        <v>6076.24</v>
      </c>
      <c r="E3440" s="41">
        <v>6081.567</v>
      </c>
      <c r="F3440" s="41">
        <v>6071.4449999999997</v>
      </c>
      <c r="G3440" s="41">
        <v>6079.9690000000001</v>
      </c>
      <c r="H3440" s="41">
        <v>10398633310.17</v>
      </c>
      <c r="I3440" s="42">
        <v>34225</v>
      </c>
    </row>
    <row r="3441" spans="1:9" x14ac:dyDescent="0.25">
      <c r="A3441" t="s">
        <v>9</v>
      </c>
      <c r="B3441" s="39">
        <v>45706</v>
      </c>
      <c r="C3441" s="40">
        <v>0.58333333333333337</v>
      </c>
      <c r="D3441" s="41">
        <v>6071.4449999999997</v>
      </c>
      <c r="E3441" s="41">
        <v>6078.9040000000005</v>
      </c>
      <c r="F3441" s="41">
        <v>6069.8469999999998</v>
      </c>
      <c r="G3441" s="41">
        <v>6076.24</v>
      </c>
      <c r="H3441" s="41">
        <v>2880623463.3600001</v>
      </c>
      <c r="I3441" s="42">
        <v>9485</v>
      </c>
    </row>
    <row r="3442" spans="1:9" x14ac:dyDescent="0.25">
      <c r="A3442" t="s">
        <v>9</v>
      </c>
      <c r="B3442" s="39">
        <v>45706</v>
      </c>
      <c r="C3442" s="40">
        <v>0.5625</v>
      </c>
      <c r="D3442" s="41">
        <v>6067.1840000000002</v>
      </c>
      <c r="E3442" s="41">
        <v>6074.1090000000004</v>
      </c>
      <c r="F3442" s="41">
        <v>6065.5860000000002</v>
      </c>
      <c r="G3442" s="41">
        <v>6071.4449999999997</v>
      </c>
      <c r="H3442" s="41">
        <v>3828608529.4499998</v>
      </c>
      <c r="I3442" s="42">
        <v>12615</v>
      </c>
    </row>
    <row r="3443" spans="1:9" x14ac:dyDescent="0.25">
      <c r="A3443" t="s">
        <v>9</v>
      </c>
      <c r="B3443" s="39">
        <v>45706</v>
      </c>
      <c r="C3443" s="40">
        <v>0.54166666666666663</v>
      </c>
      <c r="D3443" s="41">
        <v>6061.3239999999996</v>
      </c>
      <c r="E3443" s="41">
        <v>6070.38</v>
      </c>
      <c r="F3443" s="41">
        <v>6060.7910000000002</v>
      </c>
      <c r="G3443" s="41">
        <v>6068.2489999999998</v>
      </c>
      <c r="H3443" s="41">
        <v>2580970034</v>
      </c>
      <c r="I3443" s="42">
        <v>8510</v>
      </c>
    </row>
    <row r="3444" spans="1:9" x14ac:dyDescent="0.25">
      <c r="A3444" t="s">
        <v>9</v>
      </c>
      <c r="B3444" s="39">
        <v>45706</v>
      </c>
      <c r="C3444" s="40">
        <v>0.52083333333333337</v>
      </c>
      <c r="D3444" s="41">
        <v>6061.8559999999998</v>
      </c>
      <c r="E3444" s="41">
        <v>6068.2489999999998</v>
      </c>
      <c r="F3444" s="41">
        <v>6060.7910000000002</v>
      </c>
      <c r="G3444" s="41">
        <v>6060.7910000000002</v>
      </c>
      <c r="H3444" s="41">
        <v>2278666440.27</v>
      </c>
      <c r="I3444" s="42">
        <v>7515</v>
      </c>
    </row>
    <row r="3445" spans="1:9" x14ac:dyDescent="0.25">
      <c r="A3445" t="s">
        <v>9</v>
      </c>
      <c r="B3445" s="39">
        <v>45706</v>
      </c>
      <c r="C3445" s="40">
        <v>0.5</v>
      </c>
      <c r="D3445" s="41">
        <v>6076.24</v>
      </c>
      <c r="E3445" s="41">
        <v>6078.3710000000001</v>
      </c>
      <c r="F3445" s="41">
        <v>6057.5950000000003</v>
      </c>
      <c r="G3445" s="41">
        <v>6060.7910000000002</v>
      </c>
      <c r="H3445" s="41">
        <v>5504615151.6499996</v>
      </c>
      <c r="I3445" s="42">
        <v>18140</v>
      </c>
    </row>
    <row r="3446" spans="1:9" x14ac:dyDescent="0.25">
      <c r="A3446" t="s">
        <v>9</v>
      </c>
      <c r="B3446" s="39">
        <v>45706</v>
      </c>
      <c r="C3446" s="40">
        <v>0.47916666666666669</v>
      </c>
      <c r="D3446" s="41">
        <v>6097.0159999999996</v>
      </c>
      <c r="E3446" s="41">
        <v>6098.0820000000003</v>
      </c>
      <c r="F3446" s="41">
        <v>6074.1090000000004</v>
      </c>
      <c r="G3446" s="41">
        <v>6076.7730000000001</v>
      </c>
      <c r="H3446" s="41">
        <v>6612088865.1800003</v>
      </c>
      <c r="I3446" s="42">
        <v>21725</v>
      </c>
    </row>
    <row r="3447" spans="1:9" x14ac:dyDescent="0.25">
      <c r="A3447" t="s">
        <v>9</v>
      </c>
      <c r="B3447" s="39">
        <v>45706</v>
      </c>
      <c r="C3447" s="40">
        <v>0.45833333333333331</v>
      </c>
      <c r="D3447" s="41">
        <v>6097.0159999999996</v>
      </c>
      <c r="E3447" s="41">
        <v>6109.8019999999997</v>
      </c>
      <c r="F3447" s="41">
        <v>6096.4830000000002</v>
      </c>
      <c r="G3447" s="41">
        <v>6098.0820000000003</v>
      </c>
      <c r="H3447" s="41">
        <v>7443942154.1400003</v>
      </c>
      <c r="I3447" s="42">
        <v>24390</v>
      </c>
    </row>
    <row r="3448" spans="1:9" x14ac:dyDescent="0.25">
      <c r="A3448" t="s">
        <v>9</v>
      </c>
      <c r="B3448" s="39">
        <v>45706</v>
      </c>
      <c r="C3448" s="40">
        <v>0.4375</v>
      </c>
      <c r="D3448" s="41">
        <v>6092.7539999999999</v>
      </c>
      <c r="E3448" s="41">
        <v>6100.7449999999999</v>
      </c>
      <c r="F3448" s="41">
        <v>6090.0910000000003</v>
      </c>
      <c r="G3448" s="41">
        <v>6096.4830000000002</v>
      </c>
      <c r="H3448" s="41">
        <v>3253285265.4499998</v>
      </c>
      <c r="I3448" s="42">
        <v>10675</v>
      </c>
    </row>
    <row r="3449" spans="1:9" x14ac:dyDescent="0.25">
      <c r="A3449" t="s">
        <v>9</v>
      </c>
      <c r="B3449" s="39">
        <v>45706</v>
      </c>
      <c r="C3449" s="40">
        <v>0.41666666666666669</v>
      </c>
      <c r="D3449" s="41">
        <v>6089.558</v>
      </c>
      <c r="E3449" s="41">
        <v>6096.4830000000002</v>
      </c>
      <c r="F3449" s="41">
        <v>6084.7640000000001</v>
      </c>
      <c r="G3449" s="41">
        <v>6093.2870000000003</v>
      </c>
      <c r="H3449" s="41">
        <v>3118648151.8800001</v>
      </c>
      <c r="I3449" s="42">
        <v>10240</v>
      </c>
    </row>
    <row r="3450" spans="1:9" x14ac:dyDescent="0.25">
      <c r="A3450" t="s">
        <v>9</v>
      </c>
      <c r="B3450" s="39">
        <v>45706</v>
      </c>
      <c r="C3450" s="40">
        <v>0.39583333333333331</v>
      </c>
      <c r="D3450" s="41">
        <v>6097.549</v>
      </c>
      <c r="E3450" s="41">
        <v>6097.549</v>
      </c>
      <c r="F3450" s="41">
        <v>6085.8289999999997</v>
      </c>
      <c r="G3450" s="41">
        <v>6089.558</v>
      </c>
      <c r="H3450" s="41">
        <v>2319247423.5500002</v>
      </c>
      <c r="I3450" s="42">
        <v>7615</v>
      </c>
    </row>
    <row r="3451" spans="1:9" x14ac:dyDescent="0.25">
      <c r="A3451" t="s">
        <v>9</v>
      </c>
      <c r="B3451" s="39">
        <v>45706</v>
      </c>
      <c r="C3451" s="40">
        <v>0.375</v>
      </c>
      <c r="D3451" s="41">
        <v>6096.4830000000002</v>
      </c>
      <c r="E3451" s="41">
        <v>6108.7359999999999</v>
      </c>
      <c r="F3451" s="41">
        <v>6089.0249999999996</v>
      </c>
      <c r="G3451" s="41">
        <v>6097.549</v>
      </c>
      <c r="H3451" s="41">
        <v>3356702672.8899999</v>
      </c>
      <c r="I3451" s="42">
        <v>11005</v>
      </c>
    </row>
    <row r="3452" spans="1:9" x14ac:dyDescent="0.25">
      <c r="A3452" t="s">
        <v>9</v>
      </c>
      <c r="B3452" s="39">
        <v>45705</v>
      </c>
      <c r="C3452" s="40">
        <v>0.75</v>
      </c>
      <c r="D3452" s="41">
        <v>6100.2129999999997</v>
      </c>
      <c r="E3452" s="41">
        <v>6102.3429999999998</v>
      </c>
      <c r="F3452" s="41">
        <v>6097.549</v>
      </c>
      <c r="G3452" s="41">
        <v>6098.6139999999996</v>
      </c>
      <c r="H3452" s="41">
        <v>824970372.98000002</v>
      </c>
      <c r="I3452" s="42">
        <v>2705</v>
      </c>
    </row>
    <row r="3453" spans="1:9" x14ac:dyDescent="0.25">
      <c r="A3453" t="s">
        <v>9</v>
      </c>
      <c r="B3453" s="39">
        <v>45705</v>
      </c>
      <c r="C3453" s="40">
        <v>0.72916666666666663</v>
      </c>
      <c r="D3453" s="41">
        <v>6101.8109999999997</v>
      </c>
      <c r="E3453" s="41">
        <v>6102.8760000000002</v>
      </c>
      <c r="F3453" s="41">
        <v>6098.6139999999996</v>
      </c>
      <c r="G3453" s="41">
        <v>6099.68</v>
      </c>
      <c r="H3453" s="41">
        <v>693948718.09000003</v>
      </c>
      <c r="I3453" s="42">
        <v>2275</v>
      </c>
    </row>
    <row r="3454" spans="1:9" x14ac:dyDescent="0.25">
      <c r="A3454" t="s">
        <v>9</v>
      </c>
      <c r="B3454" s="39">
        <v>45705</v>
      </c>
      <c r="C3454" s="40">
        <v>0.70833333333333337</v>
      </c>
      <c r="D3454" s="41">
        <v>6099.68</v>
      </c>
      <c r="E3454" s="41">
        <v>6105.54</v>
      </c>
      <c r="F3454" s="41">
        <v>6099.1469999999999</v>
      </c>
      <c r="G3454" s="41">
        <v>6101.8109999999997</v>
      </c>
      <c r="H3454" s="41">
        <v>1716397156.95</v>
      </c>
      <c r="I3454" s="42">
        <v>5625</v>
      </c>
    </row>
    <row r="3455" spans="1:9" x14ac:dyDescent="0.25">
      <c r="A3455" t="s">
        <v>9</v>
      </c>
      <c r="B3455" s="39">
        <v>45705</v>
      </c>
      <c r="C3455" s="40">
        <v>0.6875</v>
      </c>
      <c r="D3455" s="41">
        <v>6095.951</v>
      </c>
      <c r="E3455" s="41">
        <v>6100.2129999999997</v>
      </c>
      <c r="F3455" s="41">
        <v>6094.3530000000001</v>
      </c>
      <c r="G3455" s="41">
        <v>6099.1469999999999</v>
      </c>
      <c r="H3455" s="41">
        <v>1679809333.0599999</v>
      </c>
      <c r="I3455" s="42">
        <v>5510</v>
      </c>
    </row>
    <row r="3456" spans="1:9" x14ac:dyDescent="0.25">
      <c r="A3456" t="s">
        <v>9</v>
      </c>
      <c r="B3456" s="39">
        <v>45705</v>
      </c>
      <c r="C3456" s="40">
        <v>0.66666666666666663</v>
      </c>
      <c r="D3456" s="41">
        <v>6097.0159999999996</v>
      </c>
      <c r="E3456" s="41">
        <v>6098.0820000000003</v>
      </c>
      <c r="F3456" s="41">
        <v>6094.3530000000001</v>
      </c>
      <c r="G3456" s="41">
        <v>6095.951</v>
      </c>
      <c r="H3456" s="41">
        <v>1214662800.71</v>
      </c>
      <c r="I3456" s="42">
        <v>3985</v>
      </c>
    </row>
    <row r="3457" spans="1:9" x14ac:dyDescent="0.25">
      <c r="A3457" t="s">
        <v>9</v>
      </c>
      <c r="B3457" s="39">
        <v>45705</v>
      </c>
      <c r="C3457" s="40">
        <v>0.64583333333333337</v>
      </c>
      <c r="D3457" s="41">
        <v>6096.4830000000002</v>
      </c>
      <c r="E3457" s="41">
        <v>6100.7449999999999</v>
      </c>
      <c r="F3457" s="41">
        <v>6095.951</v>
      </c>
      <c r="G3457" s="41">
        <v>6097.549</v>
      </c>
      <c r="H3457" s="41">
        <v>2024722253.3699999</v>
      </c>
      <c r="I3457" s="42">
        <v>6640</v>
      </c>
    </row>
    <row r="3458" spans="1:9" x14ac:dyDescent="0.25">
      <c r="A3458" t="s">
        <v>9</v>
      </c>
      <c r="B3458" s="39">
        <v>45705</v>
      </c>
      <c r="C3458" s="40">
        <v>0.625</v>
      </c>
      <c r="D3458" s="41">
        <v>6095.4179999999997</v>
      </c>
      <c r="E3458" s="41">
        <v>6099.1469999999999</v>
      </c>
      <c r="F3458" s="41">
        <v>6092.7539999999999</v>
      </c>
      <c r="G3458" s="41">
        <v>6096.4830000000002</v>
      </c>
      <c r="H3458" s="41">
        <v>1972034204.77</v>
      </c>
      <c r="I3458" s="42">
        <v>6470</v>
      </c>
    </row>
    <row r="3459" spans="1:9" x14ac:dyDescent="0.25">
      <c r="A3459" t="s">
        <v>9</v>
      </c>
      <c r="B3459" s="39">
        <v>45705</v>
      </c>
      <c r="C3459" s="40">
        <v>0.60416666666666663</v>
      </c>
      <c r="D3459" s="41">
        <v>6095.951</v>
      </c>
      <c r="E3459" s="41">
        <v>6099.68</v>
      </c>
      <c r="F3459" s="41">
        <v>6093.2870000000003</v>
      </c>
      <c r="G3459" s="41">
        <v>6094.8850000000002</v>
      </c>
      <c r="H3459" s="41">
        <v>1929675258.0599999</v>
      </c>
      <c r="I3459" s="42">
        <v>6330</v>
      </c>
    </row>
    <row r="3460" spans="1:9" x14ac:dyDescent="0.25">
      <c r="A3460" t="s">
        <v>9</v>
      </c>
      <c r="B3460" s="39">
        <v>45705</v>
      </c>
      <c r="C3460" s="40">
        <v>0.58333333333333337</v>
      </c>
      <c r="D3460" s="41">
        <v>6097.549</v>
      </c>
      <c r="E3460" s="41">
        <v>6100.2129999999997</v>
      </c>
      <c r="F3460" s="41">
        <v>6094.3530000000001</v>
      </c>
      <c r="G3460" s="41">
        <v>6096.4830000000002</v>
      </c>
      <c r="H3460" s="41">
        <v>2221091855.6100001</v>
      </c>
      <c r="I3460" s="42">
        <v>7285</v>
      </c>
    </row>
    <row r="3461" spans="1:9" x14ac:dyDescent="0.25">
      <c r="A3461" t="s">
        <v>9</v>
      </c>
      <c r="B3461" s="39">
        <v>45705</v>
      </c>
      <c r="C3461" s="40">
        <v>0.5625</v>
      </c>
      <c r="D3461" s="41">
        <v>6097.549</v>
      </c>
      <c r="E3461" s="41">
        <v>6101.2780000000002</v>
      </c>
      <c r="F3461" s="41">
        <v>6093.2870000000003</v>
      </c>
      <c r="G3461" s="41">
        <v>6096.4830000000002</v>
      </c>
      <c r="H3461" s="41">
        <v>1880960791.26</v>
      </c>
      <c r="I3461" s="42">
        <v>6170</v>
      </c>
    </row>
    <row r="3462" spans="1:9" x14ac:dyDescent="0.25">
      <c r="A3462" t="s">
        <v>9</v>
      </c>
      <c r="B3462" s="39">
        <v>45705</v>
      </c>
      <c r="C3462" s="40">
        <v>0.54166666666666663</v>
      </c>
      <c r="D3462" s="41">
        <v>6102.8760000000002</v>
      </c>
      <c r="E3462" s="41">
        <v>6103.4089999999997</v>
      </c>
      <c r="F3462" s="41">
        <v>6092.7539999999999</v>
      </c>
      <c r="G3462" s="41">
        <v>6097.549</v>
      </c>
      <c r="H3462" s="41">
        <v>2395303238.9299998</v>
      </c>
      <c r="I3462" s="42">
        <v>7855</v>
      </c>
    </row>
    <row r="3463" spans="1:9" x14ac:dyDescent="0.25">
      <c r="A3463" t="s">
        <v>9</v>
      </c>
      <c r="B3463" s="39">
        <v>45705</v>
      </c>
      <c r="C3463" s="40">
        <v>0.52083333333333337</v>
      </c>
      <c r="D3463" s="41">
        <v>6097.549</v>
      </c>
      <c r="E3463" s="41">
        <v>6104.4740000000002</v>
      </c>
      <c r="F3463" s="41">
        <v>6093.2870000000003</v>
      </c>
      <c r="G3463" s="41">
        <v>6102.8760000000002</v>
      </c>
      <c r="H3463" s="41">
        <v>2032538766.6300001</v>
      </c>
      <c r="I3463" s="42">
        <v>6665</v>
      </c>
    </row>
    <row r="3464" spans="1:9" x14ac:dyDescent="0.25">
      <c r="A3464" t="s">
        <v>9</v>
      </c>
      <c r="B3464" s="39">
        <v>45705</v>
      </c>
      <c r="C3464" s="40">
        <v>0.5</v>
      </c>
      <c r="D3464" s="41">
        <v>6092.7539999999999</v>
      </c>
      <c r="E3464" s="41">
        <v>6100.7449999999999</v>
      </c>
      <c r="F3464" s="41">
        <v>6090.6239999999998</v>
      </c>
      <c r="G3464" s="41">
        <v>6098.0820000000003</v>
      </c>
      <c r="H3464" s="41">
        <v>1651816730.45</v>
      </c>
      <c r="I3464" s="42">
        <v>5420</v>
      </c>
    </row>
    <row r="3465" spans="1:9" x14ac:dyDescent="0.25">
      <c r="A3465" t="s">
        <v>9</v>
      </c>
      <c r="B3465" s="39">
        <v>45705</v>
      </c>
      <c r="C3465" s="40">
        <v>0.47916666666666669</v>
      </c>
      <c r="D3465" s="41">
        <v>6087.96</v>
      </c>
      <c r="E3465" s="41">
        <v>6098.0820000000003</v>
      </c>
      <c r="F3465" s="41">
        <v>6086.3620000000001</v>
      </c>
      <c r="G3465" s="41">
        <v>6092.2219999999998</v>
      </c>
      <c r="H3465" s="41">
        <v>2790231269.5500002</v>
      </c>
      <c r="I3465" s="42">
        <v>9160</v>
      </c>
    </row>
    <row r="3466" spans="1:9" x14ac:dyDescent="0.25">
      <c r="A3466" t="s">
        <v>9</v>
      </c>
      <c r="B3466" s="39">
        <v>45705</v>
      </c>
      <c r="C3466" s="40">
        <v>0.45833333333333331</v>
      </c>
      <c r="D3466" s="41">
        <v>6091.6890000000003</v>
      </c>
      <c r="E3466" s="41">
        <v>6092.2219999999998</v>
      </c>
      <c r="F3466" s="41">
        <v>6084.2309999999998</v>
      </c>
      <c r="G3466" s="41">
        <v>6087.96</v>
      </c>
      <c r="H3466" s="41">
        <v>3415419149.5799999</v>
      </c>
      <c r="I3466" s="42">
        <v>11220</v>
      </c>
    </row>
    <row r="3467" spans="1:9" x14ac:dyDescent="0.25">
      <c r="A3467" t="s">
        <v>9</v>
      </c>
      <c r="B3467" s="39">
        <v>45705</v>
      </c>
      <c r="C3467" s="40">
        <v>0.4375</v>
      </c>
      <c r="D3467" s="41">
        <v>6092.7539999999999</v>
      </c>
      <c r="E3467" s="41">
        <v>6094.3530000000001</v>
      </c>
      <c r="F3467" s="41">
        <v>6081.567</v>
      </c>
      <c r="G3467" s="41">
        <v>6091.6890000000003</v>
      </c>
      <c r="H3467" s="41">
        <v>3109695473.3699999</v>
      </c>
      <c r="I3467" s="42">
        <v>10215</v>
      </c>
    </row>
    <row r="3468" spans="1:9" x14ac:dyDescent="0.25">
      <c r="A3468" t="s">
        <v>9</v>
      </c>
      <c r="B3468" s="39">
        <v>45705</v>
      </c>
      <c r="C3468" s="40">
        <v>0.41666666666666669</v>
      </c>
      <c r="D3468" s="41">
        <v>6095.951</v>
      </c>
      <c r="E3468" s="41">
        <v>6102.8760000000002</v>
      </c>
      <c r="F3468" s="41">
        <v>6085.2960000000003</v>
      </c>
      <c r="G3468" s="41">
        <v>6092.7539999999999</v>
      </c>
      <c r="H3468" s="41">
        <v>2404078520.6300001</v>
      </c>
      <c r="I3468" s="42">
        <v>7890</v>
      </c>
    </row>
    <row r="3469" spans="1:9" x14ac:dyDescent="0.25">
      <c r="A3469" t="s">
        <v>9</v>
      </c>
      <c r="B3469" s="39">
        <v>45705</v>
      </c>
      <c r="C3469" s="40">
        <v>0.39583333333333331</v>
      </c>
      <c r="D3469" s="41">
        <v>6092.7539999999999</v>
      </c>
      <c r="E3469" s="41">
        <v>6098.0820000000003</v>
      </c>
      <c r="F3469" s="41">
        <v>6086.3620000000001</v>
      </c>
      <c r="G3469" s="41">
        <v>6096.4830000000002</v>
      </c>
      <c r="H3469" s="41">
        <v>2544895222.48</v>
      </c>
      <c r="I3469" s="42">
        <v>8355</v>
      </c>
    </row>
    <row r="3470" spans="1:9" x14ac:dyDescent="0.25">
      <c r="A3470" t="s">
        <v>9</v>
      </c>
      <c r="B3470" s="39">
        <v>45705</v>
      </c>
      <c r="C3470" s="40">
        <v>0.375</v>
      </c>
      <c r="D3470" s="41">
        <v>6101.2780000000002</v>
      </c>
      <c r="E3470" s="41">
        <v>6109.8019999999997</v>
      </c>
      <c r="F3470" s="41">
        <v>6089.0249999999996</v>
      </c>
      <c r="G3470" s="41">
        <v>6092.7539999999999</v>
      </c>
      <c r="H3470" s="41">
        <v>3793609419.0999999</v>
      </c>
      <c r="I3470" s="42">
        <v>12440</v>
      </c>
    </row>
    <row r="3471" spans="1:9" x14ac:dyDescent="0.25">
      <c r="A3471" t="s">
        <v>9</v>
      </c>
      <c r="B3471" s="39">
        <v>45702</v>
      </c>
      <c r="C3471" s="40">
        <v>0.75</v>
      </c>
      <c r="D3471" s="41">
        <v>6086.3620000000001</v>
      </c>
      <c r="E3471" s="41">
        <v>6092.2219999999998</v>
      </c>
      <c r="F3471" s="41">
        <v>6083.165</v>
      </c>
      <c r="G3471" s="41">
        <v>6091.1559999999999</v>
      </c>
      <c r="H3471" s="41">
        <v>1636256154.27</v>
      </c>
      <c r="I3471" s="42">
        <v>5375</v>
      </c>
    </row>
    <row r="3472" spans="1:9" x14ac:dyDescent="0.25">
      <c r="A3472" t="s">
        <v>9</v>
      </c>
      <c r="B3472" s="39">
        <v>45702</v>
      </c>
      <c r="C3472" s="40">
        <v>0.72916666666666663</v>
      </c>
      <c r="D3472" s="41">
        <v>6082.1</v>
      </c>
      <c r="E3472" s="41">
        <v>6091.6890000000003</v>
      </c>
      <c r="F3472" s="41">
        <v>6081.567</v>
      </c>
      <c r="G3472" s="41">
        <v>6086.3620000000001</v>
      </c>
      <c r="H3472" s="41">
        <v>2078540207.72</v>
      </c>
      <c r="I3472" s="42">
        <v>6830</v>
      </c>
    </row>
    <row r="3473" spans="1:9" x14ac:dyDescent="0.25">
      <c r="A3473" t="s">
        <v>9</v>
      </c>
      <c r="B3473" s="39">
        <v>45702</v>
      </c>
      <c r="C3473" s="40">
        <v>0.70833333333333337</v>
      </c>
      <c r="D3473" s="41">
        <v>6083.165</v>
      </c>
      <c r="E3473" s="41">
        <v>6084.7640000000001</v>
      </c>
      <c r="F3473" s="41">
        <v>6078.3710000000001</v>
      </c>
      <c r="G3473" s="41">
        <v>6081.567</v>
      </c>
      <c r="H3473" s="41">
        <v>2432736361.25</v>
      </c>
      <c r="I3473" s="42">
        <v>8000</v>
      </c>
    </row>
    <row r="3474" spans="1:9" x14ac:dyDescent="0.25">
      <c r="A3474" t="s">
        <v>9</v>
      </c>
      <c r="B3474" s="39">
        <v>45702</v>
      </c>
      <c r="C3474" s="40">
        <v>0.6875</v>
      </c>
      <c r="D3474" s="41">
        <v>6089.0249999999996</v>
      </c>
      <c r="E3474" s="41">
        <v>6090.6239999999998</v>
      </c>
      <c r="F3474" s="41">
        <v>6080.5020000000004</v>
      </c>
      <c r="G3474" s="41">
        <v>6083.165</v>
      </c>
      <c r="H3474" s="41">
        <v>4645989329.2200003</v>
      </c>
      <c r="I3474" s="42">
        <v>15270</v>
      </c>
    </row>
    <row r="3475" spans="1:9" x14ac:dyDescent="0.25">
      <c r="A3475" t="s">
        <v>9</v>
      </c>
      <c r="B3475" s="39">
        <v>45702</v>
      </c>
      <c r="C3475" s="40">
        <v>0.66666666666666663</v>
      </c>
      <c r="D3475" s="41">
        <v>6101.8109999999997</v>
      </c>
      <c r="E3475" s="41">
        <v>6103.4089999999997</v>
      </c>
      <c r="F3475" s="41">
        <v>6087.4269999999997</v>
      </c>
      <c r="G3475" s="41">
        <v>6089.0249999999996</v>
      </c>
      <c r="H3475" s="41">
        <v>5231470957.3500004</v>
      </c>
      <c r="I3475" s="42">
        <v>17165</v>
      </c>
    </row>
    <row r="3476" spans="1:9" x14ac:dyDescent="0.25">
      <c r="A3476" t="s">
        <v>9</v>
      </c>
      <c r="B3476" s="39">
        <v>45702</v>
      </c>
      <c r="C3476" s="40">
        <v>0.64583333333333337</v>
      </c>
      <c r="D3476" s="41">
        <v>6098.6139999999996</v>
      </c>
      <c r="E3476" s="41">
        <v>6105.0069999999996</v>
      </c>
      <c r="F3476" s="41">
        <v>6097.0159999999996</v>
      </c>
      <c r="G3476" s="41">
        <v>6102.3429999999998</v>
      </c>
      <c r="H3476" s="41">
        <v>4643666789.5699997</v>
      </c>
      <c r="I3476" s="42">
        <v>15220</v>
      </c>
    </row>
    <row r="3477" spans="1:9" x14ac:dyDescent="0.25">
      <c r="A3477" t="s">
        <v>9</v>
      </c>
      <c r="B3477" s="39">
        <v>45702</v>
      </c>
      <c r="C3477" s="40">
        <v>0.625</v>
      </c>
      <c r="D3477" s="41">
        <v>6103.4089999999997</v>
      </c>
      <c r="E3477" s="41">
        <v>6105.0069999999996</v>
      </c>
      <c r="F3477" s="41">
        <v>6095.4179999999997</v>
      </c>
      <c r="G3477" s="41">
        <v>6099.1469999999999</v>
      </c>
      <c r="H3477" s="41">
        <v>3523818317.3400002</v>
      </c>
      <c r="I3477" s="42">
        <v>11555</v>
      </c>
    </row>
    <row r="3478" spans="1:9" x14ac:dyDescent="0.25">
      <c r="A3478" t="s">
        <v>9</v>
      </c>
      <c r="B3478" s="39">
        <v>45702</v>
      </c>
      <c r="C3478" s="40">
        <v>0.60416666666666663</v>
      </c>
      <c r="D3478" s="41">
        <v>6101.8109999999997</v>
      </c>
      <c r="E3478" s="41">
        <v>6106.0720000000001</v>
      </c>
      <c r="F3478" s="41">
        <v>6100.7449999999999</v>
      </c>
      <c r="G3478" s="41">
        <v>6103.942</v>
      </c>
      <c r="H3478" s="41">
        <v>1583847252.5899999</v>
      </c>
      <c r="I3478" s="42">
        <v>5190</v>
      </c>
    </row>
    <row r="3479" spans="1:9" x14ac:dyDescent="0.25">
      <c r="A3479" t="s">
        <v>9</v>
      </c>
      <c r="B3479" s="39">
        <v>45702</v>
      </c>
      <c r="C3479" s="40">
        <v>0.58333333333333337</v>
      </c>
      <c r="D3479" s="41">
        <v>6101.8109999999997</v>
      </c>
      <c r="E3479" s="41">
        <v>6105.0069999999996</v>
      </c>
      <c r="F3479" s="41">
        <v>6090.6239999999998</v>
      </c>
      <c r="G3479" s="41">
        <v>6101.8109999999997</v>
      </c>
      <c r="H3479" s="41">
        <v>6051522697.6999998</v>
      </c>
      <c r="I3479" s="42">
        <v>19840</v>
      </c>
    </row>
    <row r="3480" spans="1:9" x14ac:dyDescent="0.25">
      <c r="A3480" t="s">
        <v>9</v>
      </c>
      <c r="B3480" s="39">
        <v>45702</v>
      </c>
      <c r="C3480" s="40">
        <v>0.5625</v>
      </c>
      <c r="D3480" s="41">
        <v>6108.7359999999999</v>
      </c>
      <c r="E3480" s="41">
        <v>6111.4</v>
      </c>
      <c r="F3480" s="41">
        <v>6099.68</v>
      </c>
      <c r="G3480" s="41">
        <v>6101.8109999999997</v>
      </c>
      <c r="H3480" s="41">
        <v>2842065362.98</v>
      </c>
      <c r="I3480" s="42">
        <v>9310</v>
      </c>
    </row>
    <row r="3481" spans="1:9" x14ac:dyDescent="0.25">
      <c r="A3481" t="s">
        <v>9</v>
      </c>
      <c r="B3481" s="39">
        <v>45702</v>
      </c>
      <c r="C3481" s="40">
        <v>0.54166666666666663</v>
      </c>
      <c r="D3481" s="41">
        <v>6109.8019999999997</v>
      </c>
      <c r="E3481" s="41">
        <v>6110.8670000000002</v>
      </c>
      <c r="F3481" s="41">
        <v>6106.0720000000001</v>
      </c>
      <c r="G3481" s="41">
        <v>6108.7359999999999</v>
      </c>
      <c r="H3481" s="41">
        <v>1282867875.3699999</v>
      </c>
      <c r="I3481" s="42">
        <v>4200</v>
      </c>
    </row>
    <row r="3482" spans="1:9" x14ac:dyDescent="0.25">
      <c r="A3482" t="s">
        <v>9</v>
      </c>
      <c r="B3482" s="39">
        <v>45702</v>
      </c>
      <c r="C3482" s="40">
        <v>0.52083333333333337</v>
      </c>
      <c r="D3482" s="41">
        <v>6113.5309999999999</v>
      </c>
      <c r="E3482" s="41">
        <v>6113.5309999999999</v>
      </c>
      <c r="F3482" s="41">
        <v>6102.8760000000002</v>
      </c>
      <c r="G3482" s="41">
        <v>6109.2690000000002</v>
      </c>
      <c r="H3482" s="41">
        <v>1873833089</v>
      </c>
      <c r="I3482" s="42">
        <v>6135</v>
      </c>
    </row>
    <row r="3483" spans="1:9" x14ac:dyDescent="0.25">
      <c r="A3483" t="s">
        <v>9</v>
      </c>
      <c r="B3483" s="39">
        <v>45702</v>
      </c>
      <c r="C3483" s="40">
        <v>0.5</v>
      </c>
      <c r="D3483" s="41">
        <v>6110.3339999999998</v>
      </c>
      <c r="E3483" s="41">
        <v>6114.0630000000001</v>
      </c>
      <c r="F3483" s="41">
        <v>6094.3530000000001</v>
      </c>
      <c r="G3483" s="41">
        <v>6113.5309999999999</v>
      </c>
      <c r="H3483" s="41">
        <v>6105494342.6700001</v>
      </c>
      <c r="I3483" s="42">
        <v>20005</v>
      </c>
    </row>
    <row r="3484" spans="1:9" x14ac:dyDescent="0.25">
      <c r="A3484" t="s">
        <v>9</v>
      </c>
      <c r="B3484" s="39">
        <v>45702</v>
      </c>
      <c r="C3484" s="40">
        <v>0.47916666666666669</v>
      </c>
      <c r="D3484" s="41">
        <v>6115.1289999999999</v>
      </c>
      <c r="E3484" s="41">
        <v>6118.3249999999998</v>
      </c>
      <c r="F3484" s="41">
        <v>6109.2690000000002</v>
      </c>
      <c r="G3484" s="41">
        <v>6110.3339999999998</v>
      </c>
      <c r="H3484" s="41">
        <v>3799555408.2800002</v>
      </c>
      <c r="I3484" s="42">
        <v>12430</v>
      </c>
    </row>
    <row r="3485" spans="1:9" x14ac:dyDescent="0.25">
      <c r="A3485" t="s">
        <v>9</v>
      </c>
      <c r="B3485" s="39">
        <v>45702</v>
      </c>
      <c r="C3485" s="40">
        <v>0.45833333333333331</v>
      </c>
      <c r="D3485" s="41">
        <v>6118.8580000000002</v>
      </c>
      <c r="E3485" s="41">
        <v>6122.0540000000001</v>
      </c>
      <c r="F3485" s="41">
        <v>6109.8019999999997</v>
      </c>
      <c r="G3485" s="41">
        <v>6115.1289999999999</v>
      </c>
      <c r="H3485" s="41">
        <v>11186744836.360001</v>
      </c>
      <c r="I3485" s="42">
        <v>36585</v>
      </c>
    </row>
    <row r="3486" spans="1:9" x14ac:dyDescent="0.25">
      <c r="A3486" t="s">
        <v>9</v>
      </c>
      <c r="B3486" s="39">
        <v>45702</v>
      </c>
      <c r="C3486" s="40">
        <v>0.4375</v>
      </c>
      <c r="D3486" s="41">
        <v>6118.3249999999998</v>
      </c>
      <c r="E3486" s="41">
        <v>6123.652</v>
      </c>
      <c r="F3486" s="41">
        <v>6108.7359999999999</v>
      </c>
      <c r="G3486" s="41">
        <v>6118.3249999999998</v>
      </c>
      <c r="H3486" s="41">
        <v>5317740673.2399998</v>
      </c>
      <c r="I3486" s="42">
        <v>17390</v>
      </c>
    </row>
    <row r="3487" spans="1:9" x14ac:dyDescent="0.25">
      <c r="A3487" t="s">
        <v>9</v>
      </c>
      <c r="B3487" s="39">
        <v>45702</v>
      </c>
      <c r="C3487" s="40">
        <v>0.41666666666666669</v>
      </c>
      <c r="D3487" s="41">
        <v>6128.98</v>
      </c>
      <c r="E3487" s="41">
        <v>6130.5780000000004</v>
      </c>
      <c r="F3487" s="41">
        <v>6115.6610000000001</v>
      </c>
      <c r="G3487" s="41">
        <v>6119.3909999999996</v>
      </c>
      <c r="H3487" s="41">
        <v>9122190475.25</v>
      </c>
      <c r="I3487" s="42">
        <v>29785</v>
      </c>
    </row>
    <row r="3488" spans="1:9" x14ac:dyDescent="0.25">
      <c r="A3488" t="s">
        <v>9</v>
      </c>
      <c r="B3488" s="39">
        <v>45702</v>
      </c>
      <c r="C3488" s="40">
        <v>0.39583333333333331</v>
      </c>
      <c r="D3488" s="41">
        <v>6132.7089999999998</v>
      </c>
      <c r="E3488" s="41">
        <v>6135.3720000000003</v>
      </c>
      <c r="F3488" s="41">
        <v>6116.7269999999999</v>
      </c>
      <c r="G3488" s="41">
        <v>6128.4470000000001</v>
      </c>
      <c r="H3488" s="41">
        <v>5257074563.0900002</v>
      </c>
      <c r="I3488" s="42">
        <v>17160</v>
      </c>
    </row>
    <row r="3489" spans="1:9" x14ac:dyDescent="0.25">
      <c r="A3489" t="s">
        <v>9</v>
      </c>
      <c r="B3489" s="39">
        <v>45702</v>
      </c>
      <c r="C3489" s="40">
        <v>0.375</v>
      </c>
      <c r="D3489" s="41">
        <v>6156.6809999999996</v>
      </c>
      <c r="E3489" s="41">
        <v>6161.4759999999997</v>
      </c>
      <c r="F3489" s="41">
        <v>6127.3810000000003</v>
      </c>
      <c r="G3489" s="41">
        <v>6132.7089999999998</v>
      </c>
      <c r="H3489" s="41">
        <v>5377809467.5799999</v>
      </c>
      <c r="I3489" s="42">
        <v>17510</v>
      </c>
    </row>
    <row r="3490" spans="1:9" x14ac:dyDescent="0.25">
      <c r="A3490" t="s">
        <v>9</v>
      </c>
      <c r="B3490" s="39">
        <v>45701</v>
      </c>
      <c r="C3490" s="40">
        <v>0.75</v>
      </c>
      <c r="D3490" s="41">
        <v>6160.41</v>
      </c>
      <c r="E3490" s="41">
        <v>6160.41</v>
      </c>
      <c r="F3490" s="41">
        <v>6154.018</v>
      </c>
      <c r="G3490" s="41">
        <v>6155.0829999999996</v>
      </c>
      <c r="H3490" s="41">
        <v>1251375015.46</v>
      </c>
      <c r="I3490" s="42">
        <v>4065</v>
      </c>
    </row>
    <row r="3491" spans="1:9" x14ac:dyDescent="0.25">
      <c r="A3491" t="s">
        <v>9</v>
      </c>
      <c r="B3491" s="39">
        <v>45701</v>
      </c>
      <c r="C3491" s="40">
        <v>0.72916666666666663</v>
      </c>
      <c r="D3491" s="41">
        <v>6159.3450000000003</v>
      </c>
      <c r="E3491" s="41">
        <v>6162.5410000000002</v>
      </c>
      <c r="F3491" s="41">
        <v>6155.0829999999996</v>
      </c>
      <c r="G3491" s="41">
        <v>6160.41</v>
      </c>
      <c r="H3491" s="41">
        <v>986958157.78999996</v>
      </c>
      <c r="I3491" s="42">
        <v>3205</v>
      </c>
    </row>
    <row r="3492" spans="1:9" x14ac:dyDescent="0.25">
      <c r="A3492" t="s">
        <v>9</v>
      </c>
      <c r="B3492" s="39">
        <v>45701</v>
      </c>
      <c r="C3492" s="40">
        <v>0.70833333333333337</v>
      </c>
      <c r="D3492" s="41">
        <v>6160.41</v>
      </c>
      <c r="E3492" s="41">
        <v>6164.1390000000001</v>
      </c>
      <c r="F3492" s="41">
        <v>6158.2790000000005</v>
      </c>
      <c r="G3492" s="41">
        <v>6159.8779999999997</v>
      </c>
      <c r="H3492" s="41">
        <v>897944518.25</v>
      </c>
      <c r="I3492" s="42">
        <v>2915</v>
      </c>
    </row>
    <row r="3493" spans="1:9" x14ac:dyDescent="0.25">
      <c r="A3493" t="s">
        <v>9</v>
      </c>
      <c r="B3493" s="39">
        <v>45701</v>
      </c>
      <c r="C3493" s="40">
        <v>0.6875</v>
      </c>
      <c r="D3493" s="41">
        <v>6162.0079999999998</v>
      </c>
      <c r="E3493" s="41">
        <v>6163.0739999999996</v>
      </c>
      <c r="F3493" s="41">
        <v>6157.7470000000003</v>
      </c>
      <c r="G3493" s="41">
        <v>6159.8779999999997</v>
      </c>
      <c r="H3493" s="41">
        <v>4014853062.7600002</v>
      </c>
      <c r="I3493" s="42">
        <v>13035</v>
      </c>
    </row>
    <row r="3494" spans="1:9" x14ac:dyDescent="0.25">
      <c r="A3494" t="s">
        <v>9</v>
      </c>
      <c r="B3494" s="39">
        <v>45701</v>
      </c>
      <c r="C3494" s="40">
        <v>0.66666666666666663</v>
      </c>
      <c r="D3494" s="41">
        <v>6172.13</v>
      </c>
      <c r="E3494" s="41">
        <v>6172.13</v>
      </c>
      <c r="F3494" s="41">
        <v>6156.1480000000001</v>
      </c>
      <c r="G3494" s="41">
        <v>6161.4759999999997</v>
      </c>
      <c r="H3494" s="41">
        <v>8455272394.9799995</v>
      </c>
      <c r="I3494" s="42">
        <v>27450</v>
      </c>
    </row>
    <row r="3495" spans="1:9" x14ac:dyDescent="0.25">
      <c r="A3495" t="s">
        <v>9</v>
      </c>
      <c r="B3495" s="39">
        <v>45701</v>
      </c>
      <c r="C3495" s="40">
        <v>0.64583333333333337</v>
      </c>
      <c r="D3495" s="41">
        <v>6171.0649999999996</v>
      </c>
      <c r="E3495" s="41">
        <v>6187.5789999999997</v>
      </c>
      <c r="F3495" s="41">
        <v>6165.7370000000001</v>
      </c>
      <c r="G3495" s="41">
        <v>6172.6629999999996</v>
      </c>
      <c r="H3495" s="41">
        <v>7173123829.0100002</v>
      </c>
      <c r="I3495" s="42">
        <v>23230</v>
      </c>
    </row>
    <row r="3496" spans="1:9" x14ac:dyDescent="0.25">
      <c r="A3496" t="s">
        <v>9</v>
      </c>
      <c r="B3496" s="39">
        <v>45701</v>
      </c>
      <c r="C3496" s="40">
        <v>0.625</v>
      </c>
      <c r="D3496" s="41">
        <v>6165.2049999999999</v>
      </c>
      <c r="E3496" s="41">
        <v>6183.85</v>
      </c>
      <c r="F3496" s="41">
        <v>6159.3450000000003</v>
      </c>
      <c r="G3496" s="41">
        <v>6171.0649999999996</v>
      </c>
      <c r="H3496" s="41">
        <v>8552590522.1599998</v>
      </c>
      <c r="I3496" s="42">
        <v>27710</v>
      </c>
    </row>
    <row r="3497" spans="1:9" x14ac:dyDescent="0.25">
      <c r="A3497" t="s">
        <v>9</v>
      </c>
      <c r="B3497" s="39">
        <v>45701</v>
      </c>
      <c r="C3497" s="40">
        <v>0.60416666666666663</v>
      </c>
      <c r="D3497" s="41">
        <v>6159.8779999999997</v>
      </c>
      <c r="E3497" s="41">
        <v>6165.7370000000001</v>
      </c>
      <c r="F3497" s="41">
        <v>6152.9520000000002</v>
      </c>
      <c r="G3497" s="41">
        <v>6165.7370000000001</v>
      </c>
      <c r="H3497" s="41">
        <v>3178110307.7600002</v>
      </c>
      <c r="I3497" s="42">
        <v>10320</v>
      </c>
    </row>
    <row r="3498" spans="1:9" x14ac:dyDescent="0.25">
      <c r="A3498" t="s">
        <v>9</v>
      </c>
      <c r="B3498" s="39">
        <v>45701</v>
      </c>
      <c r="C3498" s="40">
        <v>0.58333333333333337</v>
      </c>
      <c r="D3498" s="41">
        <v>6155.616</v>
      </c>
      <c r="E3498" s="41">
        <v>6162.0079999999998</v>
      </c>
      <c r="F3498" s="41">
        <v>6154.55</v>
      </c>
      <c r="G3498" s="41">
        <v>6159.3450000000003</v>
      </c>
      <c r="H3498" s="41">
        <v>2409264313.9099998</v>
      </c>
      <c r="I3498" s="42">
        <v>7825</v>
      </c>
    </row>
    <row r="3499" spans="1:9" x14ac:dyDescent="0.25">
      <c r="A3499" t="s">
        <v>9</v>
      </c>
      <c r="B3499" s="39">
        <v>45701</v>
      </c>
      <c r="C3499" s="40">
        <v>0.5625</v>
      </c>
      <c r="D3499" s="41">
        <v>6155.0829999999996</v>
      </c>
      <c r="E3499" s="41">
        <v>6158.2790000000005</v>
      </c>
      <c r="F3499" s="41">
        <v>6152.9520000000002</v>
      </c>
      <c r="G3499" s="41">
        <v>6155.616</v>
      </c>
      <c r="H3499" s="41">
        <v>2594580976.71</v>
      </c>
      <c r="I3499" s="42">
        <v>8430</v>
      </c>
    </row>
    <row r="3500" spans="1:9" x14ac:dyDescent="0.25">
      <c r="A3500" t="s">
        <v>9</v>
      </c>
      <c r="B3500" s="39">
        <v>45701</v>
      </c>
      <c r="C3500" s="40">
        <v>0.54166666666666663</v>
      </c>
      <c r="D3500" s="41">
        <v>6152.4189999999999</v>
      </c>
      <c r="E3500" s="41">
        <v>6159.3450000000003</v>
      </c>
      <c r="F3500" s="41">
        <v>6152.4189999999999</v>
      </c>
      <c r="G3500" s="41">
        <v>6155.0829999999996</v>
      </c>
      <c r="H3500" s="41">
        <v>1731269588.03</v>
      </c>
      <c r="I3500" s="42">
        <v>5625</v>
      </c>
    </row>
    <row r="3501" spans="1:9" x14ac:dyDescent="0.25">
      <c r="A3501" t="s">
        <v>9</v>
      </c>
      <c r="B3501" s="39">
        <v>45701</v>
      </c>
      <c r="C3501" s="40">
        <v>0.52083333333333337</v>
      </c>
      <c r="D3501" s="41">
        <v>6160.41</v>
      </c>
      <c r="E3501" s="41">
        <v>6162.0079999999998</v>
      </c>
      <c r="F3501" s="41">
        <v>6151.8869999999997</v>
      </c>
      <c r="G3501" s="41">
        <v>6152.4189999999999</v>
      </c>
      <c r="H3501" s="41">
        <v>2390667349.0999999</v>
      </c>
      <c r="I3501" s="42">
        <v>7765</v>
      </c>
    </row>
    <row r="3502" spans="1:9" x14ac:dyDescent="0.25">
      <c r="A3502" t="s">
        <v>9</v>
      </c>
      <c r="B3502" s="39">
        <v>45701</v>
      </c>
      <c r="C3502" s="40">
        <v>0.5</v>
      </c>
      <c r="D3502" s="41">
        <v>6180.6540000000005</v>
      </c>
      <c r="E3502" s="41">
        <v>6181.1859999999997</v>
      </c>
      <c r="F3502" s="41">
        <v>6157.7470000000003</v>
      </c>
      <c r="G3502" s="41">
        <v>6160.9430000000002</v>
      </c>
      <c r="H3502" s="41">
        <v>6683743055.7200003</v>
      </c>
      <c r="I3502" s="42">
        <v>21660</v>
      </c>
    </row>
    <row r="3503" spans="1:9" x14ac:dyDescent="0.25">
      <c r="A3503" t="s">
        <v>9</v>
      </c>
      <c r="B3503" s="39">
        <v>45701</v>
      </c>
      <c r="C3503" s="40">
        <v>0.47916666666666669</v>
      </c>
      <c r="D3503" s="41">
        <v>6189.1769999999997</v>
      </c>
      <c r="E3503" s="41">
        <v>6189.71</v>
      </c>
      <c r="F3503" s="41">
        <v>6177.4570000000003</v>
      </c>
      <c r="G3503" s="41">
        <v>6180.6540000000005</v>
      </c>
      <c r="H3503" s="41">
        <v>3972460288.1300001</v>
      </c>
      <c r="I3503" s="42">
        <v>12850</v>
      </c>
    </row>
    <row r="3504" spans="1:9" x14ac:dyDescent="0.25">
      <c r="A3504" t="s">
        <v>9</v>
      </c>
      <c r="B3504" s="39">
        <v>45701</v>
      </c>
      <c r="C3504" s="40">
        <v>0.45833333333333331</v>
      </c>
      <c r="D3504" s="41">
        <v>6184.9160000000002</v>
      </c>
      <c r="E3504" s="41">
        <v>6194.5050000000001</v>
      </c>
      <c r="F3504" s="41">
        <v>6184.3829999999998</v>
      </c>
      <c r="G3504" s="41">
        <v>6189.71</v>
      </c>
      <c r="H3504" s="41">
        <v>3240095706.73</v>
      </c>
      <c r="I3504" s="42">
        <v>10470</v>
      </c>
    </row>
    <row r="3505" spans="1:9" x14ac:dyDescent="0.25">
      <c r="A3505" t="s">
        <v>9</v>
      </c>
      <c r="B3505" s="39">
        <v>45701</v>
      </c>
      <c r="C3505" s="40">
        <v>0.4375</v>
      </c>
      <c r="D3505" s="41">
        <v>6182.7849999999999</v>
      </c>
      <c r="E3505" s="41">
        <v>6188.6450000000004</v>
      </c>
      <c r="F3505" s="41">
        <v>6166.8029999999999</v>
      </c>
      <c r="G3505" s="41">
        <v>6185.4480000000003</v>
      </c>
      <c r="H3505" s="41">
        <v>5392079788.3400002</v>
      </c>
      <c r="I3505" s="42">
        <v>17455</v>
      </c>
    </row>
    <row r="3506" spans="1:9" x14ac:dyDescent="0.25">
      <c r="A3506" t="s">
        <v>9</v>
      </c>
      <c r="B3506" s="39">
        <v>45701</v>
      </c>
      <c r="C3506" s="40">
        <v>0.41666666666666669</v>
      </c>
      <c r="D3506" s="41">
        <v>6164.1390000000001</v>
      </c>
      <c r="E3506" s="41">
        <v>6187.5789999999997</v>
      </c>
      <c r="F3506" s="41">
        <v>6159.8779999999997</v>
      </c>
      <c r="G3506" s="41">
        <v>6182.2520000000004</v>
      </c>
      <c r="H3506" s="41">
        <v>6306385166.0900002</v>
      </c>
      <c r="I3506" s="42">
        <v>20415</v>
      </c>
    </row>
    <row r="3507" spans="1:9" x14ac:dyDescent="0.25">
      <c r="A3507" t="s">
        <v>9</v>
      </c>
      <c r="B3507" s="39">
        <v>45701</v>
      </c>
      <c r="C3507" s="40">
        <v>0.39583333333333331</v>
      </c>
      <c r="D3507" s="41">
        <v>6172.6629999999996</v>
      </c>
      <c r="E3507" s="41">
        <v>6177.4570000000003</v>
      </c>
      <c r="F3507" s="41">
        <v>6162.0079999999998</v>
      </c>
      <c r="G3507" s="41">
        <v>6164.6719999999996</v>
      </c>
      <c r="H3507" s="41">
        <v>4157357564.6500001</v>
      </c>
      <c r="I3507" s="42">
        <v>13480</v>
      </c>
    </row>
    <row r="3508" spans="1:9" x14ac:dyDescent="0.25">
      <c r="A3508" t="s">
        <v>9</v>
      </c>
      <c r="B3508" s="39">
        <v>45701</v>
      </c>
      <c r="C3508" s="40">
        <v>0.375</v>
      </c>
      <c r="D3508" s="41">
        <v>6159.3450000000003</v>
      </c>
      <c r="E3508" s="41">
        <v>6175.326</v>
      </c>
      <c r="F3508" s="41">
        <v>6148.69</v>
      </c>
      <c r="G3508" s="41">
        <v>6172.13</v>
      </c>
      <c r="H3508" s="41">
        <v>4286350210.3299999</v>
      </c>
      <c r="I3508" s="42">
        <v>13910</v>
      </c>
    </row>
    <row r="3509" spans="1:9" x14ac:dyDescent="0.25">
      <c r="A3509" t="s">
        <v>9</v>
      </c>
      <c r="B3509" s="39">
        <v>45700</v>
      </c>
      <c r="C3509" s="40">
        <v>0.75</v>
      </c>
      <c r="D3509" s="41">
        <v>6156.1480000000001</v>
      </c>
      <c r="E3509" s="41">
        <v>6163.607</v>
      </c>
      <c r="F3509" s="41">
        <v>6154.018</v>
      </c>
      <c r="G3509" s="41">
        <v>6163.607</v>
      </c>
      <c r="H3509" s="41">
        <v>2383737553.48</v>
      </c>
      <c r="I3509" s="42">
        <v>7740</v>
      </c>
    </row>
    <row r="3510" spans="1:9" x14ac:dyDescent="0.25">
      <c r="A3510" t="s">
        <v>9</v>
      </c>
      <c r="B3510" s="39">
        <v>45700</v>
      </c>
      <c r="C3510" s="40">
        <v>0.72916666666666663</v>
      </c>
      <c r="D3510" s="41">
        <v>6154.55</v>
      </c>
      <c r="E3510" s="41">
        <v>6156.1480000000001</v>
      </c>
      <c r="F3510" s="41">
        <v>6150.8209999999999</v>
      </c>
      <c r="G3510" s="41">
        <v>6155.0829999999996</v>
      </c>
      <c r="H3510" s="41">
        <v>1127627561.6900001</v>
      </c>
      <c r="I3510" s="42">
        <v>3665</v>
      </c>
    </row>
    <row r="3511" spans="1:9" x14ac:dyDescent="0.25">
      <c r="A3511" t="s">
        <v>9</v>
      </c>
      <c r="B3511" s="39">
        <v>45700</v>
      </c>
      <c r="C3511" s="40">
        <v>0.70833333333333337</v>
      </c>
      <c r="D3511" s="41">
        <v>6158.2790000000005</v>
      </c>
      <c r="E3511" s="41">
        <v>6158.8119999999999</v>
      </c>
      <c r="F3511" s="41">
        <v>6151.8869999999997</v>
      </c>
      <c r="G3511" s="41">
        <v>6155.0829999999996</v>
      </c>
      <c r="H3511" s="41">
        <v>3369490691.5599999</v>
      </c>
      <c r="I3511" s="42">
        <v>10945</v>
      </c>
    </row>
    <row r="3512" spans="1:9" x14ac:dyDescent="0.25">
      <c r="A3512" t="s">
        <v>9</v>
      </c>
      <c r="B3512" s="39">
        <v>45700</v>
      </c>
      <c r="C3512" s="40">
        <v>0.6875</v>
      </c>
      <c r="D3512" s="41">
        <v>6154.55</v>
      </c>
      <c r="E3512" s="41">
        <v>6157.7470000000003</v>
      </c>
      <c r="F3512" s="41">
        <v>6152.9520000000002</v>
      </c>
      <c r="G3512" s="41">
        <v>6157.7470000000003</v>
      </c>
      <c r="H3512" s="41">
        <v>12736065370.83</v>
      </c>
      <c r="I3512" s="42">
        <v>41380</v>
      </c>
    </row>
    <row r="3513" spans="1:9" x14ac:dyDescent="0.25">
      <c r="A3513" t="s">
        <v>9</v>
      </c>
      <c r="B3513" s="39">
        <v>45700</v>
      </c>
      <c r="C3513" s="40">
        <v>0.66666666666666663</v>
      </c>
      <c r="D3513" s="41">
        <v>6154.018</v>
      </c>
      <c r="E3513" s="41">
        <v>6158.2790000000005</v>
      </c>
      <c r="F3513" s="41">
        <v>6151.3540000000003</v>
      </c>
      <c r="G3513" s="41">
        <v>6153.4849999999997</v>
      </c>
      <c r="H3513" s="41">
        <v>4100825252.79</v>
      </c>
      <c r="I3513" s="42">
        <v>13325</v>
      </c>
    </row>
    <row r="3514" spans="1:9" x14ac:dyDescent="0.25">
      <c r="A3514" t="s">
        <v>9</v>
      </c>
      <c r="B3514" s="39">
        <v>45700</v>
      </c>
      <c r="C3514" s="40">
        <v>0.64583333333333337</v>
      </c>
      <c r="D3514" s="41">
        <v>6148.1580000000004</v>
      </c>
      <c r="E3514" s="41">
        <v>6163.607</v>
      </c>
      <c r="F3514" s="41">
        <v>6148.1580000000004</v>
      </c>
      <c r="G3514" s="41">
        <v>6154.55</v>
      </c>
      <c r="H3514" s="41">
        <v>4871830906.1899996</v>
      </c>
      <c r="I3514" s="42">
        <v>15825</v>
      </c>
    </row>
    <row r="3515" spans="1:9" x14ac:dyDescent="0.25">
      <c r="A3515" t="s">
        <v>9</v>
      </c>
      <c r="B3515" s="39">
        <v>45700</v>
      </c>
      <c r="C3515" s="40">
        <v>0.625</v>
      </c>
      <c r="D3515" s="41">
        <v>6151.3540000000003</v>
      </c>
      <c r="E3515" s="41">
        <v>6156.6809999999996</v>
      </c>
      <c r="F3515" s="41">
        <v>6136.97</v>
      </c>
      <c r="G3515" s="41">
        <v>6148.1580000000004</v>
      </c>
      <c r="H3515" s="41">
        <v>4873330921.3400002</v>
      </c>
      <c r="I3515" s="42">
        <v>15860</v>
      </c>
    </row>
    <row r="3516" spans="1:9" x14ac:dyDescent="0.25">
      <c r="A3516" t="s">
        <v>9</v>
      </c>
      <c r="B3516" s="39">
        <v>45700</v>
      </c>
      <c r="C3516" s="40">
        <v>0.60416666666666663</v>
      </c>
      <c r="D3516" s="41">
        <v>6154.018</v>
      </c>
      <c r="E3516" s="41">
        <v>6160.9430000000002</v>
      </c>
      <c r="F3516" s="41">
        <v>6150.8209999999999</v>
      </c>
      <c r="G3516" s="41">
        <v>6152.4189999999999</v>
      </c>
      <c r="H3516" s="41">
        <v>2131445207.8099999</v>
      </c>
      <c r="I3516" s="42">
        <v>6925</v>
      </c>
    </row>
    <row r="3517" spans="1:9" x14ac:dyDescent="0.25">
      <c r="A3517" t="s">
        <v>9</v>
      </c>
      <c r="B3517" s="39">
        <v>45700</v>
      </c>
      <c r="C3517" s="40">
        <v>0.58333333333333337</v>
      </c>
      <c r="D3517" s="41">
        <v>6155.616</v>
      </c>
      <c r="E3517" s="41">
        <v>6158.8119999999999</v>
      </c>
      <c r="F3517" s="41">
        <v>6149.7560000000003</v>
      </c>
      <c r="G3517" s="41">
        <v>6154.55</v>
      </c>
      <c r="H3517" s="41">
        <v>2787785404.5</v>
      </c>
      <c r="I3517" s="42">
        <v>9060</v>
      </c>
    </row>
    <row r="3518" spans="1:9" x14ac:dyDescent="0.25">
      <c r="A3518" t="s">
        <v>9</v>
      </c>
      <c r="B3518" s="39">
        <v>45700</v>
      </c>
      <c r="C3518" s="40">
        <v>0.5625</v>
      </c>
      <c r="D3518" s="41">
        <v>6162.5410000000002</v>
      </c>
      <c r="E3518" s="41">
        <v>6164.6719999999996</v>
      </c>
      <c r="F3518" s="41">
        <v>6153.4849999999997</v>
      </c>
      <c r="G3518" s="41">
        <v>6155.616</v>
      </c>
      <c r="H3518" s="41">
        <v>5187563118.1400003</v>
      </c>
      <c r="I3518" s="42">
        <v>16845</v>
      </c>
    </row>
    <row r="3519" spans="1:9" x14ac:dyDescent="0.25">
      <c r="A3519" t="s">
        <v>9</v>
      </c>
      <c r="B3519" s="39">
        <v>45700</v>
      </c>
      <c r="C3519" s="40">
        <v>0.54166666666666663</v>
      </c>
      <c r="D3519" s="41">
        <v>6163.0739999999996</v>
      </c>
      <c r="E3519" s="41">
        <v>6167.3360000000002</v>
      </c>
      <c r="F3519" s="41">
        <v>6160.9430000000002</v>
      </c>
      <c r="G3519" s="41">
        <v>6163.607</v>
      </c>
      <c r="H3519" s="41">
        <v>1957428002.0799999</v>
      </c>
      <c r="I3519" s="42">
        <v>6350</v>
      </c>
    </row>
    <row r="3520" spans="1:9" x14ac:dyDescent="0.25">
      <c r="A3520" t="s">
        <v>9</v>
      </c>
      <c r="B3520" s="39">
        <v>45700</v>
      </c>
      <c r="C3520" s="40">
        <v>0.52083333333333337</v>
      </c>
      <c r="D3520" s="41">
        <v>6168.4009999999998</v>
      </c>
      <c r="E3520" s="41">
        <v>6169.9989999999998</v>
      </c>
      <c r="F3520" s="41">
        <v>6151.8869999999997</v>
      </c>
      <c r="G3520" s="41">
        <v>6163.607</v>
      </c>
      <c r="H3520" s="41">
        <v>3574616663.8299999</v>
      </c>
      <c r="I3520" s="42">
        <v>11605</v>
      </c>
    </row>
    <row r="3521" spans="1:9" x14ac:dyDescent="0.25">
      <c r="A3521" t="s">
        <v>9</v>
      </c>
      <c r="B3521" s="39">
        <v>45700</v>
      </c>
      <c r="C3521" s="40">
        <v>0.5</v>
      </c>
      <c r="D3521" s="41">
        <v>6163.0739999999996</v>
      </c>
      <c r="E3521" s="41">
        <v>6179.5879999999997</v>
      </c>
      <c r="F3521" s="41">
        <v>6160.9430000000002</v>
      </c>
      <c r="G3521" s="41">
        <v>6167.8680000000004</v>
      </c>
      <c r="H3521" s="41">
        <v>7062329804.4300003</v>
      </c>
      <c r="I3521" s="42">
        <v>22890</v>
      </c>
    </row>
    <row r="3522" spans="1:9" x14ac:dyDescent="0.25">
      <c r="A3522" t="s">
        <v>9</v>
      </c>
      <c r="B3522" s="39">
        <v>45700</v>
      </c>
      <c r="C3522" s="40">
        <v>0.47916666666666669</v>
      </c>
      <c r="D3522" s="41">
        <v>6150.8209999999999</v>
      </c>
      <c r="E3522" s="41">
        <v>6163.0739999999996</v>
      </c>
      <c r="F3522" s="41">
        <v>6143.8959999999997</v>
      </c>
      <c r="G3522" s="41">
        <v>6163.0739999999996</v>
      </c>
      <c r="H3522" s="41">
        <v>5646198974.79</v>
      </c>
      <c r="I3522" s="42">
        <v>18350</v>
      </c>
    </row>
    <row r="3523" spans="1:9" x14ac:dyDescent="0.25">
      <c r="A3523" t="s">
        <v>9</v>
      </c>
      <c r="B3523" s="39">
        <v>45700</v>
      </c>
      <c r="C3523" s="40">
        <v>0.45833333333333331</v>
      </c>
      <c r="D3523" s="41">
        <v>6163.0739999999996</v>
      </c>
      <c r="E3523" s="41">
        <v>6169.9989999999998</v>
      </c>
      <c r="F3523" s="41">
        <v>6151.3540000000003</v>
      </c>
      <c r="G3523" s="41">
        <v>6151.3540000000003</v>
      </c>
      <c r="H3523" s="41">
        <v>4928483213.9399996</v>
      </c>
      <c r="I3523" s="42">
        <v>16005</v>
      </c>
    </row>
    <row r="3524" spans="1:9" x14ac:dyDescent="0.25">
      <c r="A3524" t="s">
        <v>9</v>
      </c>
      <c r="B3524" s="39">
        <v>45700</v>
      </c>
      <c r="C3524" s="40">
        <v>0.4375</v>
      </c>
      <c r="D3524" s="41">
        <v>6149.7560000000003</v>
      </c>
      <c r="E3524" s="41">
        <v>6184.3829999999998</v>
      </c>
      <c r="F3524" s="41">
        <v>6146.027</v>
      </c>
      <c r="G3524" s="41">
        <v>6162.0079999999998</v>
      </c>
      <c r="H3524" s="41">
        <v>9734065870.7000008</v>
      </c>
      <c r="I3524" s="42">
        <v>31550</v>
      </c>
    </row>
    <row r="3525" spans="1:9" x14ac:dyDescent="0.25">
      <c r="A3525" t="s">
        <v>9</v>
      </c>
      <c r="B3525" s="39">
        <v>45700</v>
      </c>
      <c r="C3525" s="40">
        <v>0.41666666666666669</v>
      </c>
      <c r="D3525" s="41">
        <v>6165.7370000000001</v>
      </c>
      <c r="E3525" s="41">
        <v>6175.326</v>
      </c>
      <c r="F3525" s="41">
        <v>6139.1009999999997</v>
      </c>
      <c r="G3525" s="41">
        <v>6150.8209999999999</v>
      </c>
      <c r="H3525" s="41">
        <v>6036176409.3999996</v>
      </c>
      <c r="I3525" s="42">
        <v>19595</v>
      </c>
    </row>
    <row r="3526" spans="1:9" x14ac:dyDescent="0.25">
      <c r="A3526" t="s">
        <v>9</v>
      </c>
      <c r="B3526" s="39">
        <v>45700</v>
      </c>
      <c r="C3526" s="40">
        <v>0.39583333333333331</v>
      </c>
      <c r="D3526" s="41">
        <v>6161.4759999999997</v>
      </c>
      <c r="E3526" s="41">
        <v>6166.27</v>
      </c>
      <c r="F3526" s="41">
        <v>6151.3540000000003</v>
      </c>
      <c r="G3526" s="41">
        <v>6165.2049999999999</v>
      </c>
      <c r="H3526" s="41">
        <v>3414095998.5100002</v>
      </c>
      <c r="I3526" s="42">
        <v>11085</v>
      </c>
    </row>
    <row r="3527" spans="1:9" x14ac:dyDescent="0.25">
      <c r="A3527" t="s">
        <v>9</v>
      </c>
      <c r="B3527" s="39">
        <v>45700</v>
      </c>
      <c r="C3527" s="40">
        <v>0.375</v>
      </c>
      <c r="D3527" s="41">
        <v>6166.27</v>
      </c>
      <c r="E3527" s="41">
        <v>6168.4009999999998</v>
      </c>
      <c r="F3527" s="41">
        <v>6151.8869999999997</v>
      </c>
      <c r="G3527" s="41">
        <v>6160.9430000000002</v>
      </c>
      <c r="H3527" s="41">
        <v>4005270439.1500001</v>
      </c>
      <c r="I3527" s="42">
        <v>13005</v>
      </c>
    </row>
    <row r="3528" spans="1:9" x14ac:dyDescent="0.25">
      <c r="A3528" t="s">
        <v>9</v>
      </c>
      <c r="B3528" s="39">
        <v>45699</v>
      </c>
      <c r="C3528" s="40">
        <v>0.75</v>
      </c>
      <c r="D3528" s="41">
        <v>6162.0079999999998</v>
      </c>
      <c r="E3528" s="41">
        <v>6165.7370000000001</v>
      </c>
      <c r="F3528" s="41">
        <v>6159.3450000000003</v>
      </c>
      <c r="G3528" s="41">
        <v>6165.7370000000001</v>
      </c>
      <c r="H3528" s="41">
        <v>990565359.25999999</v>
      </c>
      <c r="I3528" s="42">
        <v>3215</v>
      </c>
    </row>
    <row r="3529" spans="1:9" x14ac:dyDescent="0.25">
      <c r="A3529" t="s">
        <v>9</v>
      </c>
      <c r="B3529" s="39">
        <v>45699</v>
      </c>
      <c r="C3529" s="40">
        <v>0.72916666666666663</v>
      </c>
      <c r="D3529" s="41">
        <v>6161.4759999999997</v>
      </c>
      <c r="E3529" s="41">
        <v>6168.4009999999998</v>
      </c>
      <c r="F3529" s="41">
        <v>6160.41</v>
      </c>
      <c r="G3529" s="41">
        <v>6162.5410000000002</v>
      </c>
      <c r="H3529" s="41">
        <v>1645758203.51</v>
      </c>
      <c r="I3529" s="42">
        <v>5340</v>
      </c>
    </row>
    <row r="3530" spans="1:9" x14ac:dyDescent="0.25">
      <c r="A3530" t="s">
        <v>9</v>
      </c>
      <c r="B3530" s="39">
        <v>45699</v>
      </c>
      <c r="C3530" s="40">
        <v>0.70833333333333337</v>
      </c>
      <c r="D3530" s="41">
        <v>6164.6719999999996</v>
      </c>
      <c r="E3530" s="41">
        <v>6166.27</v>
      </c>
      <c r="F3530" s="41">
        <v>6159.3450000000003</v>
      </c>
      <c r="G3530" s="41">
        <v>6161.4759999999997</v>
      </c>
      <c r="H3530" s="41">
        <v>1007609036.62</v>
      </c>
      <c r="I3530" s="42">
        <v>3270</v>
      </c>
    </row>
    <row r="3531" spans="1:9" x14ac:dyDescent="0.25">
      <c r="A3531" t="s">
        <v>9</v>
      </c>
      <c r="B3531" s="39">
        <v>45699</v>
      </c>
      <c r="C3531" s="40">
        <v>0.6875</v>
      </c>
      <c r="D3531" s="41">
        <v>6166.27</v>
      </c>
      <c r="E3531" s="41">
        <v>6166.27</v>
      </c>
      <c r="F3531" s="41">
        <v>6155.0829999999996</v>
      </c>
      <c r="G3531" s="41">
        <v>6164.6719999999996</v>
      </c>
      <c r="H3531" s="41">
        <v>4887900765.6800003</v>
      </c>
      <c r="I3531" s="42">
        <v>15865</v>
      </c>
    </row>
    <row r="3532" spans="1:9" x14ac:dyDescent="0.25">
      <c r="A3532" t="s">
        <v>9</v>
      </c>
      <c r="B3532" s="39">
        <v>45699</v>
      </c>
      <c r="C3532" s="40">
        <v>0.66666666666666663</v>
      </c>
      <c r="D3532" s="41">
        <v>6164.6719999999996</v>
      </c>
      <c r="E3532" s="41">
        <v>6167.8680000000004</v>
      </c>
      <c r="F3532" s="41">
        <v>6163.607</v>
      </c>
      <c r="G3532" s="41">
        <v>6166.8029999999999</v>
      </c>
      <c r="H3532" s="41">
        <v>1692561659.27</v>
      </c>
      <c r="I3532" s="42">
        <v>5490</v>
      </c>
    </row>
    <row r="3533" spans="1:9" x14ac:dyDescent="0.25">
      <c r="A3533" t="s">
        <v>9</v>
      </c>
      <c r="B3533" s="39">
        <v>45699</v>
      </c>
      <c r="C3533" s="40">
        <v>0.64583333333333337</v>
      </c>
      <c r="D3533" s="41">
        <v>6164.1390000000001</v>
      </c>
      <c r="E3533" s="41">
        <v>6168.4009999999998</v>
      </c>
      <c r="F3533" s="41">
        <v>6161.4759999999997</v>
      </c>
      <c r="G3533" s="41">
        <v>6165.7370000000001</v>
      </c>
      <c r="H3533" s="41">
        <v>1649194933.5799999</v>
      </c>
      <c r="I3533" s="42">
        <v>5350</v>
      </c>
    </row>
    <row r="3534" spans="1:9" x14ac:dyDescent="0.25">
      <c r="A3534" t="s">
        <v>9</v>
      </c>
      <c r="B3534" s="39">
        <v>45699</v>
      </c>
      <c r="C3534" s="40">
        <v>0.625</v>
      </c>
      <c r="D3534" s="41">
        <v>6165.7370000000001</v>
      </c>
      <c r="E3534" s="41">
        <v>6165.7370000000001</v>
      </c>
      <c r="F3534" s="41">
        <v>6157.7470000000003</v>
      </c>
      <c r="G3534" s="41">
        <v>6164.1390000000001</v>
      </c>
      <c r="H3534" s="41">
        <v>4384385249.6599998</v>
      </c>
      <c r="I3534" s="42">
        <v>14230</v>
      </c>
    </row>
    <row r="3535" spans="1:9" x14ac:dyDescent="0.25">
      <c r="A3535" t="s">
        <v>9</v>
      </c>
      <c r="B3535" s="39">
        <v>45699</v>
      </c>
      <c r="C3535" s="40">
        <v>0.60416666666666663</v>
      </c>
      <c r="D3535" s="41">
        <v>6159.8779999999997</v>
      </c>
      <c r="E3535" s="41">
        <v>6167.3360000000002</v>
      </c>
      <c r="F3535" s="41">
        <v>6158.8119999999999</v>
      </c>
      <c r="G3535" s="41">
        <v>6165.7370000000001</v>
      </c>
      <c r="H3535" s="41">
        <v>1927571667.6099999</v>
      </c>
      <c r="I3535" s="42">
        <v>6255</v>
      </c>
    </row>
    <row r="3536" spans="1:9" x14ac:dyDescent="0.25">
      <c r="A3536" t="s">
        <v>9</v>
      </c>
      <c r="B3536" s="39">
        <v>45699</v>
      </c>
      <c r="C3536" s="40">
        <v>0.58333333333333337</v>
      </c>
      <c r="D3536" s="41">
        <v>6159.8779999999997</v>
      </c>
      <c r="E3536" s="41">
        <v>6162.5410000000002</v>
      </c>
      <c r="F3536" s="41">
        <v>6154.55</v>
      </c>
      <c r="G3536" s="41">
        <v>6159.8779999999997</v>
      </c>
      <c r="H3536" s="41">
        <v>2363526703.9499998</v>
      </c>
      <c r="I3536" s="42">
        <v>7675</v>
      </c>
    </row>
    <row r="3537" spans="1:9" x14ac:dyDescent="0.25">
      <c r="A3537" t="s">
        <v>9</v>
      </c>
      <c r="B3537" s="39">
        <v>45699</v>
      </c>
      <c r="C3537" s="40">
        <v>0.5625</v>
      </c>
      <c r="D3537" s="41">
        <v>6159.3450000000003</v>
      </c>
      <c r="E3537" s="41">
        <v>6165.2049999999999</v>
      </c>
      <c r="F3537" s="41">
        <v>6156.1480000000001</v>
      </c>
      <c r="G3537" s="41">
        <v>6160.41</v>
      </c>
      <c r="H3537" s="41">
        <v>2633674463.8400002</v>
      </c>
      <c r="I3537" s="42">
        <v>8550</v>
      </c>
    </row>
    <row r="3538" spans="1:9" x14ac:dyDescent="0.25">
      <c r="A3538" t="s">
        <v>9</v>
      </c>
      <c r="B3538" s="39">
        <v>45699</v>
      </c>
      <c r="C3538" s="40">
        <v>0.54166666666666663</v>
      </c>
      <c r="D3538" s="41">
        <v>6161.4759999999997</v>
      </c>
      <c r="E3538" s="41">
        <v>6164.6719999999996</v>
      </c>
      <c r="F3538" s="41">
        <v>6156.6809999999996</v>
      </c>
      <c r="G3538" s="41">
        <v>6160.9430000000002</v>
      </c>
      <c r="H3538" s="41">
        <v>2404208771.4400001</v>
      </c>
      <c r="I3538" s="42">
        <v>7805</v>
      </c>
    </row>
    <row r="3539" spans="1:9" x14ac:dyDescent="0.25">
      <c r="A3539" t="s">
        <v>9</v>
      </c>
      <c r="B3539" s="39">
        <v>45699</v>
      </c>
      <c r="C3539" s="40">
        <v>0.52083333333333337</v>
      </c>
      <c r="D3539" s="41">
        <v>6160.9430000000002</v>
      </c>
      <c r="E3539" s="41">
        <v>6163.607</v>
      </c>
      <c r="F3539" s="41">
        <v>6154.018</v>
      </c>
      <c r="G3539" s="41">
        <v>6162.0079999999998</v>
      </c>
      <c r="H3539" s="41">
        <v>2428096342.8099999</v>
      </c>
      <c r="I3539" s="42">
        <v>7885</v>
      </c>
    </row>
    <row r="3540" spans="1:9" x14ac:dyDescent="0.25">
      <c r="A3540" t="s">
        <v>9</v>
      </c>
      <c r="B3540" s="39">
        <v>45699</v>
      </c>
      <c r="C3540" s="40">
        <v>0.5</v>
      </c>
      <c r="D3540" s="41">
        <v>6173.1959999999999</v>
      </c>
      <c r="E3540" s="41">
        <v>6174.7939999999999</v>
      </c>
      <c r="F3540" s="41">
        <v>6155.616</v>
      </c>
      <c r="G3540" s="41">
        <v>6160.41</v>
      </c>
      <c r="H3540" s="41">
        <v>5536434171.29</v>
      </c>
      <c r="I3540" s="42">
        <v>17960</v>
      </c>
    </row>
    <row r="3541" spans="1:9" x14ac:dyDescent="0.25">
      <c r="A3541" t="s">
        <v>9</v>
      </c>
      <c r="B3541" s="39">
        <v>45699</v>
      </c>
      <c r="C3541" s="40">
        <v>0.47916666666666669</v>
      </c>
      <c r="D3541" s="41">
        <v>6163.0739999999996</v>
      </c>
      <c r="E3541" s="41">
        <v>6175.8590000000004</v>
      </c>
      <c r="F3541" s="41">
        <v>6162.5410000000002</v>
      </c>
      <c r="G3541" s="41">
        <v>6173.1959999999999</v>
      </c>
      <c r="H3541" s="41">
        <v>4292611038.8800001</v>
      </c>
      <c r="I3541" s="42">
        <v>13915</v>
      </c>
    </row>
    <row r="3542" spans="1:9" x14ac:dyDescent="0.25">
      <c r="A3542" t="s">
        <v>9</v>
      </c>
      <c r="B3542" s="39">
        <v>45699</v>
      </c>
      <c r="C3542" s="40">
        <v>0.45833333333333331</v>
      </c>
      <c r="D3542" s="41">
        <v>6188.1120000000001</v>
      </c>
      <c r="E3542" s="41">
        <v>6188.6450000000004</v>
      </c>
      <c r="F3542" s="41">
        <v>6160.41</v>
      </c>
      <c r="G3542" s="41">
        <v>6162.5410000000002</v>
      </c>
      <c r="H3542" s="41">
        <v>5902669201.5799999</v>
      </c>
      <c r="I3542" s="42">
        <v>19120</v>
      </c>
    </row>
    <row r="3543" spans="1:9" x14ac:dyDescent="0.25">
      <c r="A3543" t="s">
        <v>9</v>
      </c>
      <c r="B3543" s="39">
        <v>45699</v>
      </c>
      <c r="C3543" s="40">
        <v>0.4375</v>
      </c>
      <c r="D3543" s="41">
        <v>6191.308</v>
      </c>
      <c r="E3543" s="41">
        <v>6200.3639999999996</v>
      </c>
      <c r="F3543" s="41">
        <v>6185.4480000000003</v>
      </c>
      <c r="G3543" s="41">
        <v>6188.1120000000001</v>
      </c>
      <c r="H3543" s="41">
        <v>5080917009.0100002</v>
      </c>
      <c r="I3543" s="42">
        <v>16410</v>
      </c>
    </row>
    <row r="3544" spans="1:9" x14ac:dyDescent="0.25">
      <c r="A3544" t="s">
        <v>9</v>
      </c>
      <c r="B3544" s="39">
        <v>45699</v>
      </c>
      <c r="C3544" s="40">
        <v>0.41666666666666669</v>
      </c>
      <c r="D3544" s="41">
        <v>6188.6450000000004</v>
      </c>
      <c r="E3544" s="41">
        <v>6206.7569999999996</v>
      </c>
      <c r="F3544" s="41">
        <v>6187.0460000000003</v>
      </c>
      <c r="G3544" s="41">
        <v>6191.308</v>
      </c>
      <c r="H3544" s="41">
        <v>4112185307.0999999</v>
      </c>
      <c r="I3544" s="42">
        <v>13270</v>
      </c>
    </row>
    <row r="3545" spans="1:9" x14ac:dyDescent="0.25">
      <c r="A3545" t="s">
        <v>9</v>
      </c>
      <c r="B3545" s="39">
        <v>45699</v>
      </c>
      <c r="C3545" s="40">
        <v>0.39583333333333331</v>
      </c>
      <c r="D3545" s="41">
        <v>6200.3639999999996</v>
      </c>
      <c r="E3545" s="41">
        <v>6203.5609999999997</v>
      </c>
      <c r="F3545" s="41">
        <v>6183.317</v>
      </c>
      <c r="G3545" s="41">
        <v>6188.6450000000004</v>
      </c>
      <c r="H3545" s="41">
        <v>3379382294.5799999</v>
      </c>
      <c r="I3545" s="42">
        <v>10915</v>
      </c>
    </row>
    <row r="3546" spans="1:9" x14ac:dyDescent="0.25">
      <c r="A3546" t="s">
        <v>9</v>
      </c>
      <c r="B3546" s="39">
        <v>45699</v>
      </c>
      <c r="C3546" s="40">
        <v>0.375</v>
      </c>
      <c r="D3546" s="41">
        <v>6197.701</v>
      </c>
      <c r="E3546" s="41">
        <v>6206.2240000000002</v>
      </c>
      <c r="F3546" s="41">
        <v>6176.9250000000002</v>
      </c>
      <c r="G3546" s="41">
        <v>6199.299</v>
      </c>
      <c r="H3546" s="41">
        <v>4933164784.7799997</v>
      </c>
      <c r="I3546" s="42">
        <v>15945</v>
      </c>
    </row>
    <row r="3547" spans="1:9" x14ac:dyDescent="0.25">
      <c r="A3547" t="s">
        <v>9</v>
      </c>
      <c r="B3547" s="39">
        <v>45698</v>
      </c>
      <c r="C3547" s="40">
        <v>0.75</v>
      </c>
      <c r="D3547" s="41">
        <v>6190.2430000000004</v>
      </c>
      <c r="E3547" s="41">
        <v>6191.8410000000003</v>
      </c>
      <c r="F3547" s="41">
        <v>6187.0460000000003</v>
      </c>
      <c r="G3547" s="41">
        <v>6191.8410000000003</v>
      </c>
      <c r="H3547" s="41">
        <v>510621776.17000002</v>
      </c>
      <c r="I3547" s="42">
        <v>1650</v>
      </c>
    </row>
    <row r="3548" spans="1:9" x14ac:dyDescent="0.25">
      <c r="A3548" t="s">
        <v>9</v>
      </c>
      <c r="B3548" s="39">
        <v>45698</v>
      </c>
      <c r="C3548" s="40">
        <v>0.72916666666666663</v>
      </c>
      <c r="D3548" s="41">
        <v>6191.8410000000003</v>
      </c>
      <c r="E3548" s="41">
        <v>6194.5050000000001</v>
      </c>
      <c r="F3548" s="41">
        <v>6188.6450000000004</v>
      </c>
      <c r="G3548" s="41">
        <v>6189.1769999999997</v>
      </c>
      <c r="H3548" s="41">
        <v>1318666469.96</v>
      </c>
      <c r="I3548" s="42">
        <v>4260</v>
      </c>
    </row>
    <row r="3549" spans="1:9" x14ac:dyDescent="0.25">
      <c r="A3549" t="s">
        <v>9</v>
      </c>
      <c r="B3549" s="39">
        <v>45698</v>
      </c>
      <c r="C3549" s="40">
        <v>0.70833333333333337</v>
      </c>
      <c r="D3549" s="41">
        <v>6185.9809999999998</v>
      </c>
      <c r="E3549" s="41">
        <v>6192.9059999999999</v>
      </c>
      <c r="F3549" s="41">
        <v>6185.9809999999998</v>
      </c>
      <c r="G3549" s="41">
        <v>6192.9059999999999</v>
      </c>
      <c r="H3549" s="41">
        <v>1491469732.8699999</v>
      </c>
      <c r="I3549" s="42">
        <v>4820</v>
      </c>
    </row>
    <row r="3550" spans="1:9" x14ac:dyDescent="0.25">
      <c r="A3550" t="s">
        <v>9</v>
      </c>
      <c r="B3550" s="39">
        <v>45698</v>
      </c>
      <c r="C3550" s="40">
        <v>0.6875</v>
      </c>
      <c r="D3550" s="41">
        <v>6189.1769999999997</v>
      </c>
      <c r="E3550" s="41">
        <v>6193.4390000000003</v>
      </c>
      <c r="F3550" s="41">
        <v>6184.3829999999998</v>
      </c>
      <c r="G3550" s="41">
        <v>6185.9809999999998</v>
      </c>
      <c r="H3550" s="41">
        <v>3010275753.4499998</v>
      </c>
      <c r="I3550" s="42">
        <v>9730</v>
      </c>
    </row>
    <row r="3551" spans="1:9" x14ac:dyDescent="0.25">
      <c r="A3551" t="s">
        <v>9</v>
      </c>
      <c r="B3551" s="39">
        <v>45698</v>
      </c>
      <c r="C3551" s="40">
        <v>0.66666666666666663</v>
      </c>
      <c r="D3551" s="41">
        <v>6184.3829999999998</v>
      </c>
      <c r="E3551" s="41">
        <v>6189.71</v>
      </c>
      <c r="F3551" s="41">
        <v>6183.85</v>
      </c>
      <c r="G3551" s="41">
        <v>6189.1769999999997</v>
      </c>
      <c r="H3551" s="41">
        <v>1984332784.0599999</v>
      </c>
      <c r="I3551" s="42">
        <v>6415</v>
      </c>
    </row>
    <row r="3552" spans="1:9" x14ac:dyDescent="0.25">
      <c r="A3552" t="s">
        <v>9</v>
      </c>
      <c r="B3552" s="39">
        <v>45698</v>
      </c>
      <c r="C3552" s="40">
        <v>0.64583333333333337</v>
      </c>
      <c r="D3552" s="41">
        <v>6180.6540000000005</v>
      </c>
      <c r="E3552" s="41">
        <v>6184.3829999999998</v>
      </c>
      <c r="F3552" s="41">
        <v>6180.1210000000001</v>
      </c>
      <c r="G3552" s="41">
        <v>6184.3829999999998</v>
      </c>
      <c r="H3552" s="41">
        <v>1151295251.5899999</v>
      </c>
      <c r="I3552" s="42">
        <v>3725</v>
      </c>
    </row>
    <row r="3553" spans="1:9" x14ac:dyDescent="0.25">
      <c r="A3553" t="s">
        <v>9</v>
      </c>
      <c r="B3553" s="39">
        <v>45698</v>
      </c>
      <c r="C3553" s="40">
        <v>0.625</v>
      </c>
      <c r="D3553" s="41">
        <v>6179.0559999999996</v>
      </c>
      <c r="E3553" s="41">
        <v>6182.7849999999999</v>
      </c>
      <c r="F3553" s="41">
        <v>6175.326</v>
      </c>
      <c r="G3553" s="41">
        <v>6180.6540000000005</v>
      </c>
      <c r="H3553" s="41">
        <v>1453579800.47</v>
      </c>
      <c r="I3553" s="42">
        <v>4705</v>
      </c>
    </row>
    <row r="3554" spans="1:9" x14ac:dyDescent="0.25">
      <c r="A3554" t="s">
        <v>9</v>
      </c>
      <c r="B3554" s="39">
        <v>45698</v>
      </c>
      <c r="C3554" s="40">
        <v>0.60416666666666663</v>
      </c>
      <c r="D3554" s="41">
        <v>6177.4570000000003</v>
      </c>
      <c r="E3554" s="41">
        <v>6185.4480000000003</v>
      </c>
      <c r="F3554" s="41">
        <v>6177.4570000000003</v>
      </c>
      <c r="G3554" s="41">
        <v>6179.0559999999996</v>
      </c>
      <c r="H3554" s="41">
        <v>1587007233</v>
      </c>
      <c r="I3554" s="42">
        <v>5135</v>
      </c>
    </row>
    <row r="3555" spans="1:9" x14ac:dyDescent="0.25">
      <c r="A3555" t="s">
        <v>9</v>
      </c>
      <c r="B3555" s="39">
        <v>45698</v>
      </c>
      <c r="C3555" s="40">
        <v>0.58333333333333337</v>
      </c>
      <c r="D3555" s="41">
        <v>6175.8590000000004</v>
      </c>
      <c r="E3555" s="41">
        <v>6180.1210000000001</v>
      </c>
      <c r="F3555" s="41">
        <v>6171.0649999999996</v>
      </c>
      <c r="G3555" s="41">
        <v>6178.5230000000001</v>
      </c>
      <c r="H3555" s="41">
        <v>2938740759.71</v>
      </c>
      <c r="I3555" s="42">
        <v>9515</v>
      </c>
    </row>
    <row r="3556" spans="1:9" x14ac:dyDescent="0.25">
      <c r="A3556" t="s">
        <v>9</v>
      </c>
      <c r="B3556" s="39">
        <v>45698</v>
      </c>
      <c r="C3556" s="40">
        <v>0.5625</v>
      </c>
      <c r="D3556" s="41">
        <v>6185.9809999999998</v>
      </c>
      <c r="E3556" s="41">
        <v>6188.6450000000004</v>
      </c>
      <c r="F3556" s="41">
        <v>6175.326</v>
      </c>
      <c r="G3556" s="41">
        <v>6176.3919999999998</v>
      </c>
      <c r="H3556" s="41">
        <v>2860140259.1300001</v>
      </c>
      <c r="I3556" s="42">
        <v>9250</v>
      </c>
    </row>
    <row r="3557" spans="1:9" x14ac:dyDescent="0.25">
      <c r="A3557" t="s">
        <v>9</v>
      </c>
      <c r="B3557" s="39">
        <v>45698</v>
      </c>
      <c r="C3557" s="40">
        <v>0.54166666666666663</v>
      </c>
      <c r="D3557" s="41">
        <v>6177.4570000000003</v>
      </c>
      <c r="E3557" s="41">
        <v>6188.1120000000001</v>
      </c>
      <c r="F3557" s="41">
        <v>6174.7939999999999</v>
      </c>
      <c r="G3557" s="41">
        <v>6185.9809999999998</v>
      </c>
      <c r="H3557" s="41">
        <v>2801909892.3000002</v>
      </c>
      <c r="I3557" s="42">
        <v>9065</v>
      </c>
    </row>
    <row r="3558" spans="1:9" x14ac:dyDescent="0.25">
      <c r="A3558" t="s">
        <v>9</v>
      </c>
      <c r="B3558" s="39">
        <v>45698</v>
      </c>
      <c r="C3558" s="40">
        <v>0.52083333333333337</v>
      </c>
      <c r="D3558" s="41">
        <v>6184.9160000000002</v>
      </c>
      <c r="E3558" s="41">
        <v>6188.1120000000001</v>
      </c>
      <c r="F3558" s="41">
        <v>6172.6629999999996</v>
      </c>
      <c r="G3558" s="41">
        <v>6176.3919999999998</v>
      </c>
      <c r="H3558" s="41">
        <v>2317215218</v>
      </c>
      <c r="I3558" s="42">
        <v>7500</v>
      </c>
    </row>
    <row r="3559" spans="1:9" x14ac:dyDescent="0.25">
      <c r="A3559" t="s">
        <v>9</v>
      </c>
      <c r="B3559" s="39">
        <v>45698</v>
      </c>
      <c r="C3559" s="40">
        <v>0.5</v>
      </c>
      <c r="D3559" s="41">
        <v>6193.4390000000003</v>
      </c>
      <c r="E3559" s="41">
        <v>6193.4390000000003</v>
      </c>
      <c r="F3559" s="41">
        <v>6181.1859999999997</v>
      </c>
      <c r="G3559" s="41">
        <v>6185.4480000000003</v>
      </c>
      <c r="H3559" s="41">
        <v>2524210515.73</v>
      </c>
      <c r="I3559" s="42">
        <v>8160</v>
      </c>
    </row>
    <row r="3560" spans="1:9" x14ac:dyDescent="0.25">
      <c r="A3560" t="s">
        <v>9</v>
      </c>
      <c r="B3560" s="39">
        <v>45698</v>
      </c>
      <c r="C3560" s="40">
        <v>0.47916666666666669</v>
      </c>
      <c r="D3560" s="41">
        <v>6195.0370000000003</v>
      </c>
      <c r="E3560" s="41">
        <v>6207.29</v>
      </c>
      <c r="F3560" s="41">
        <v>6189.1769999999997</v>
      </c>
      <c r="G3560" s="41">
        <v>6192.9059999999999</v>
      </c>
      <c r="H3560" s="41">
        <v>3686629292.5599999</v>
      </c>
      <c r="I3560" s="42">
        <v>11900</v>
      </c>
    </row>
    <row r="3561" spans="1:9" x14ac:dyDescent="0.25">
      <c r="A3561" t="s">
        <v>9</v>
      </c>
      <c r="B3561" s="39">
        <v>45698</v>
      </c>
      <c r="C3561" s="40">
        <v>0.45833333333333331</v>
      </c>
      <c r="D3561" s="41">
        <v>6181.7190000000001</v>
      </c>
      <c r="E3561" s="41">
        <v>6197.1679999999997</v>
      </c>
      <c r="F3561" s="41">
        <v>6181.7190000000001</v>
      </c>
      <c r="G3561" s="41">
        <v>6195.0370000000003</v>
      </c>
      <c r="H3561" s="41">
        <v>3297696394.8299999</v>
      </c>
      <c r="I3561" s="42">
        <v>10655</v>
      </c>
    </row>
    <row r="3562" spans="1:9" x14ac:dyDescent="0.25">
      <c r="A3562" t="s">
        <v>9</v>
      </c>
      <c r="B3562" s="39">
        <v>45698</v>
      </c>
      <c r="C3562" s="40">
        <v>0.4375</v>
      </c>
      <c r="D3562" s="41">
        <v>6174.7939999999999</v>
      </c>
      <c r="E3562" s="41">
        <v>6189.71</v>
      </c>
      <c r="F3562" s="41">
        <v>6172.6629999999996</v>
      </c>
      <c r="G3562" s="41">
        <v>6180.6540000000005</v>
      </c>
      <c r="H3562" s="41">
        <v>3424403391.9299998</v>
      </c>
      <c r="I3562" s="42">
        <v>11080</v>
      </c>
    </row>
    <row r="3563" spans="1:9" x14ac:dyDescent="0.25">
      <c r="A3563" t="s">
        <v>9</v>
      </c>
      <c r="B3563" s="39">
        <v>45698</v>
      </c>
      <c r="C3563" s="40">
        <v>0.41666666666666669</v>
      </c>
      <c r="D3563" s="41">
        <v>6191.8410000000003</v>
      </c>
      <c r="E3563" s="41">
        <v>6192.9059999999999</v>
      </c>
      <c r="F3563" s="41">
        <v>6163.0739999999996</v>
      </c>
      <c r="G3563" s="41">
        <v>6173.1959999999999</v>
      </c>
      <c r="H3563" s="41">
        <v>6271792390.3000002</v>
      </c>
      <c r="I3563" s="42">
        <v>20310</v>
      </c>
    </row>
    <row r="3564" spans="1:9" x14ac:dyDescent="0.25">
      <c r="A3564" t="s">
        <v>9</v>
      </c>
      <c r="B3564" s="39">
        <v>45698</v>
      </c>
      <c r="C3564" s="40">
        <v>0.39583333333333331</v>
      </c>
      <c r="D3564" s="41">
        <v>6214.7479999999996</v>
      </c>
      <c r="E3564" s="41">
        <v>6214.7479999999996</v>
      </c>
      <c r="F3564" s="41">
        <v>6189.71</v>
      </c>
      <c r="G3564" s="41">
        <v>6191.8410000000003</v>
      </c>
      <c r="H3564" s="41">
        <v>5847896474.1999998</v>
      </c>
      <c r="I3564" s="42">
        <v>18855</v>
      </c>
    </row>
    <row r="3565" spans="1:9" x14ac:dyDescent="0.25">
      <c r="A3565" t="s">
        <v>9</v>
      </c>
      <c r="B3565" s="39">
        <v>45698</v>
      </c>
      <c r="C3565" s="40">
        <v>0.375</v>
      </c>
      <c r="D3565" s="41">
        <v>6206.7569999999996</v>
      </c>
      <c r="E3565" s="41">
        <v>6228.0659999999998</v>
      </c>
      <c r="F3565" s="41">
        <v>6205.692</v>
      </c>
      <c r="G3565" s="41">
        <v>6215.2809999999999</v>
      </c>
      <c r="H3565" s="41">
        <v>3803239588.25</v>
      </c>
      <c r="I3565" s="42">
        <v>12230</v>
      </c>
    </row>
    <row r="3566" spans="1:9" x14ac:dyDescent="0.25">
      <c r="A3566" t="s">
        <v>9</v>
      </c>
      <c r="B3566" s="39">
        <v>45695</v>
      </c>
      <c r="C3566" s="40">
        <v>0.75</v>
      </c>
      <c r="D3566" s="41">
        <v>6214.2150000000001</v>
      </c>
      <c r="E3566" s="41">
        <v>6219.01</v>
      </c>
      <c r="F3566" s="41">
        <v>6205.692</v>
      </c>
      <c r="G3566" s="41">
        <v>6212.0839999999998</v>
      </c>
      <c r="H3566" s="41">
        <v>1357336708.5599999</v>
      </c>
      <c r="I3566" s="42">
        <v>4370</v>
      </c>
    </row>
    <row r="3567" spans="1:9" x14ac:dyDescent="0.25">
      <c r="A3567" t="s">
        <v>9</v>
      </c>
      <c r="B3567" s="39">
        <v>45695</v>
      </c>
      <c r="C3567" s="40">
        <v>0.72916666666666663</v>
      </c>
      <c r="D3567" s="41">
        <v>6208.8879999999999</v>
      </c>
      <c r="E3567" s="41">
        <v>6217.4120000000003</v>
      </c>
      <c r="F3567" s="41">
        <v>6208.3549999999996</v>
      </c>
      <c r="G3567" s="41">
        <v>6213.683</v>
      </c>
      <c r="H3567" s="41">
        <v>1806361307.73</v>
      </c>
      <c r="I3567" s="42">
        <v>5815</v>
      </c>
    </row>
    <row r="3568" spans="1:9" x14ac:dyDescent="0.25">
      <c r="A3568" t="s">
        <v>9</v>
      </c>
      <c r="B3568" s="39">
        <v>45695</v>
      </c>
      <c r="C3568" s="40">
        <v>0.70833333333333337</v>
      </c>
      <c r="D3568" s="41">
        <v>6195.57</v>
      </c>
      <c r="E3568" s="41">
        <v>6209.9530000000004</v>
      </c>
      <c r="F3568" s="41">
        <v>6195.57</v>
      </c>
      <c r="G3568" s="41">
        <v>6209.9530000000004</v>
      </c>
      <c r="H3568" s="41">
        <v>1920657454.1500001</v>
      </c>
      <c r="I3568" s="42">
        <v>6190</v>
      </c>
    </row>
    <row r="3569" spans="1:9" x14ac:dyDescent="0.25">
      <c r="A3569" t="s">
        <v>9</v>
      </c>
      <c r="B3569" s="39">
        <v>45695</v>
      </c>
      <c r="C3569" s="40">
        <v>0.6875</v>
      </c>
      <c r="D3569" s="41">
        <v>6193.4390000000003</v>
      </c>
      <c r="E3569" s="41">
        <v>6201.9629999999997</v>
      </c>
      <c r="F3569" s="41">
        <v>6186.5140000000001</v>
      </c>
      <c r="G3569" s="41">
        <v>6195.57</v>
      </c>
      <c r="H3569" s="41">
        <v>1850815854.04</v>
      </c>
      <c r="I3569" s="42">
        <v>5975</v>
      </c>
    </row>
    <row r="3570" spans="1:9" x14ac:dyDescent="0.25">
      <c r="A3570" t="s">
        <v>9</v>
      </c>
      <c r="B3570" s="39">
        <v>45695</v>
      </c>
      <c r="C3570" s="40">
        <v>0.66666666666666663</v>
      </c>
      <c r="D3570" s="41">
        <v>6207.8230000000003</v>
      </c>
      <c r="E3570" s="41">
        <v>6207.8230000000003</v>
      </c>
      <c r="F3570" s="41">
        <v>6188.6450000000004</v>
      </c>
      <c r="G3570" s="41">
        <v>6192.3739999999998</v>
      </c>
      <c r="H3570" s="41">
        <v>6112791317.6999998</v>
      </c>
      <c r="I3570" s="42">
        <v>19725</v>
      </c>
    </row>
    <row r="3571" spans="1:9" x14ac:dyDescent="0.25">
      <c r="A3571" t="s">
        <v>9</v>
      </c>
      <c r="B3571" s="39">
        <v>45695</v>
      </c>
      <c r="C3571" s="40">
        <v>0.64583333333333337</v>
      </c>
      <c r="D3571" s="41">
        <v>6175.8590000000004</v>
      </c>
      <c r="E3571" s="41">
        <v>6213.683</v>
      </c>
      <c r="F3571" s="41">
        <v>6174.7939999999999</v>
      </c>
      <c r="G3571" s="41">
        <v>6207.8230000000003</v>
      </c>
      <c r="H3571" s="41">
        <v>5195534254.29</v>
      </c>
      <c r="I3571" s="42">
        <v>16770</v>
      </c>
    </row>
    <row r="3572" spans="1:9" x14ac:dyDescent="0.25">
      <c r="A3572" t="s">
        <v>9</v>
      </c>
      <c r="B3572" s="39">
        <v>45695</v>
      </c>
      <c r="C3572" s="40">
        <v>0.625</v>
      </c>
      <c r="D3572" s="41">
        <v>6180.1210000000001</v>
      </c>
      <c r="E3572" s="41">
        <v>6185.4480000000003</v>
      </c>
      <c r="F3572" s="41">
        <v>6174.7939999999999</v>
      </c>
      <c r="G3572" s="41">
        <v>6176.9250000000002</v>
      </c>
      <c r="H3572" s="41">
        <v>3319356783.9899998</v>
      </c>
      <c r="I3572" s="42">
        <v>10745</v>
      </c>
    </row>
    <row r="3573" spans="1:9" x14ac:dyDescent="0.25">
      <c r="A3573" t="s">
        <v>9</v>
      </c>
      <c r="B3573" s="39">
        <v>45695</v>
      </c>
      <c r="C3573" s="40">
        <v>0.60416666666666663</v>
      </c>
      <c r="D3573" s="41">
        <v>6185.9809999999998</v>
      </c>
      <c r="E3573" s="41">
        <v>6190.7749999999996</v>
      </c>
      <c r="F3573" s="41">
        <v>6180.1210000000001</v>
      </c>
      <c r="G3573" s="41">
        <v>6180.1210000000001</v>
      </c>
      <c r="H3573" s="41">
        <v>13087570606.66</v>
      </c>
      <c r="I3573" s="42">
        <v>42300</v>
      </c>
    </row>
    <row r="3574" spans="1:9" x14ac:dyDescent="0.25">
      <c r="A3574" t="s">
        <v>9</v>
      </c>
      <c r="B3574" s="39">
        <v>45695</v>
      </c>
      <c r="C3574" s="40">
        <v>0.58333333333333337</v>
      </c>
      <c r="D3574" s="41">
        <v>6188.6450000000004</v>
      </c>
      <c r="E3574" s="41">
        <v>6192.9059999999999</v>
      </c>
      <c r="F3574" s="41">
        <v>6169.4669999999996</v>
      </c>
      <c r="G3574" s="41">
        <v>6185.9809999999998</v>
      </c>
      <c r="H3574" s="41">
        <v>5083819417.79</v>
      </c>
      <c r="I3574" s="42">
        <v>16445</v>
      </c>
    </row>
    <row r="3575" spans="1:9" x14ac:dyDescent="0.25">
      <c r="A3575" t="s">
        <v>9</v>
      </c>
      <c r="B3575" s="39">
        <v>45695</v>
      </c>
      <c r="C3575" s="40">
        <v>0.5625</v>
      </c>
      <c r="D3575" s="41">
        <v>6181.1859999999997</v>
      </c>
      <c r="E3575" s="41">
        <v>6194.5050000000001</v>
      </c>
      <c r="F3575" s="41">
        <v>6177.4570000000003</v>
      </c>
      <c r="G3575" s="41">
        <v>6189.1769999999997</v>
      </c>
      <c r="H3575" s="41">
        <v>3301138452.1300001</v>
      </c>
      <c r="I3575" s="42">
        <v>10670</v>
      </c>
    </row>
    <row r="3576" spans="1:9" x14ac:dyDescent="0.25">
      <c r="A3576" t="s">
        <v>9</v>
      </c>
      <c r="B3576" s="39">
        <v>45695</v>
      </c>
      <c r="C3576" s="40">
        <v>0.54166666666666663</v>
      </c>
      <c r="D3576" s="41">
        <v>6158.2790000000005</v>
      </c>
      <c r="E3576" s="41">
        <v>6188.6450000000004</v>
      </c>
      <c r="F3576" s="41">
        <v>6158.2790000000005</v>
      </c>
      <c r="G3576" s="41">
        <v>6181.7190000000001</v>
      </c>
      <c r="H3576" s="41">
        <v>8032385323.3100004</v>
      </c>
      <c r="I3576" s="42">
        <v>26020</v>
      </c>
    </row>
    <row r="3577" spans="1:9" x14ac:dyDescent="0.25">
      <c r="A3577" t="s">
        <v>9</v>
      </c>
      <c r="B3577" s="39">
        <v>45695</v>
      </c>
      <c r="C3577" s="40">
        <v>0.52083333333333337</v>
      </c>
      <c r="D3577" s="41">
        <v>6149.223</v>
      </c>
      <c r="E3577" s="41">
        <v>6171.5969999999998</v>
      </c>
      <c r="F3577" s="41">
        <v>6136.97</v>
      </c>
      <c r="G3577" s="41">
        <v>6158.2790000000005</v>
      </c>
      <c r="H3577" s="41">
        <v>6935017500.6700001</v>
      </c>
      <c r="I3577" s="42">
        <v>22540</v>
      </c>
    </row>
    <row r="3578" spans="1:9" x14ac:dyDescent="0.25">
      <c r="A3578" t="s">
        <v>9</v>
      </c>
      <c r="B3578" s="39">
        <v>45695</v>
      </c>
      <c r="C3578" s="40">
        <v>0.5</v>
      </c>
      <c r="D3578" s="41">
        <v>6148.1580000000004</v>
      </c>
      <c r="E3578" s="41">
        <v>6157.2139999999999</v>
      </c>
      <c r="F3578" s="41">
        <v>6134.84</v>
      </c>
      <c r="G3578" s="41">
        <v>6149.223</v>
      </c>
      <c r="H3578" s="41">
        <v>4768191486.3800001</v>
      </c>
      <c r="I3578" s="42">
        <v>15520</v>
      </c>
    </row>
    <row r="3579" spans="1:9" x14ac:dyDescent="0.25">
      <c r="A3579" t="s">
        <v>9</v>
      </c>
      <c r="B3579" s="39">
        <v>45695</v>
      </c>
      <c r="C3579" s="40">
        <v>0.47916666666666669</v>
      </c>
      <c r="D3579" s="41">
        <v>6157.7470000000003</v>
      </c>
      <c r="E3579" s="41">
        <v>6162.0079999999998</v>
      </c>
      <c r="F3579" s="41">
        <v>6146.5590000000002</v>
      </c>
      <c r="G3579" s="41">
        <v>6147.625</v>
      </c>
      <c r="H3579" s="41">
        <v>3962418989.9099998</v>
      </c>
      <c r="I3579" s="42">
        <v>12875</v>
      </c>
    </row>
    <row r="3580" spans="1:9" x14ac:dyDescent="0.25">
      <c r="A3580" t="s">
        <v>9</v>
      </c>
      <c r="B3580" s="39">
        <v>45695</v>
      </c>
      <c r="C3580" s="40">
        <v>0.45833333333333331</v>
      </c>
      <c r="D3580" s="41">
        <v>6147.625</v>
      </c>
      <c r="E3580" s="41">
        <v>6166.8029999999999</v>
      </c>
      <c r="F3580" s="41">
        <v>6139.1009999999997</v>
      </c>
      <c r="G3580" s="41">
        <v>6157.7470000000003</v>
      </c>
      <c r="H3580" s="41">
        <v>5662950320.3400002</v>
      </c>
      <c r="I3580" s="42">
        <v>18410</v>
      </c>
    </row>
    <row r="3581" spans="1:9" x14ac:dyDescent="0.25">
      <c r="A3581" t="s">
        <v>9</v>
      </c>
      <c r="B3581" s="39">
        <v>45695</v>
      </c>
      <c r="C3581" s="40">
        <v>0.4375</v>
      </c>
      <c r="D3581" s="41">
        <v>6166.27</v>
      </c>
      <c r="E3581" s="41">
        <v>6176.3919999999998</v>
      </c>
      <c r="F3581" s="41">
        <v>6136.97</v>
      </c>
      <c r="G3581" s="41">
        <v>6146.5590000000002</v>
      </c>
      <c r="H3581" s="41">
        <v>10031134261.08</v>
      </c>
      <c r="I3581" s="42">
        <v>32595</v>
      </c>
    </row>
    <row r="3582" spans="1:9" x14ac:dyDescent="0.25">
      <c r="A3582" t="s">
        <v>9</v>
      </c>
      <c r="B3582" s="39">
        <v>45695</v>
      </c>
      <c r="C3582" s="40">
        <v>0.41666666666666669</v>
      </c>
      <c r="D3582" s="41">
        <v>6171.5969999999998</v>
      </c>
      <c r="E3582" s="41">
        <v>6176.3919999999998</v>
      </c>
      <c r="F3582" s="41">
        <v>6158.8119999999999</v>
      </c>
      <c r="G3582" s="41">
        <v>6166.8029999999999</v>
      </c>
      <c r="H3582" s="41">
        <v>3082379562.3200002</v>
      </c>
      <c r="I3582" s="42">
        <v>9995</v>
      </c>
    </row>
    <row r="3583" spans="1:9" x14ac:dyDescent="0.25">
      <c r="A3583" t="s">
        <v>9</v>
      </c>
      <c r="B3583" s="39">
        <v>45695</v>
      </c>
      <c r="C3583" s="40">
        <v>0.39583333333333331</v>
      </c>
      <c r="D3583" s="41">
        <v>6174.2610000000004</v>
      </c>
      <c r="E3583" s="41">
        <v>6175.8590000000004</v>
      </c>
      <c r="F3583" s="41">
        <v>6164.1390000000001</v>
      </c>
      <c r="G3583" s="41">
        <v>6172.13</v>
      </c>
      <c r="H3583" s="41">
        <v>2391270658.04</v>
      </c>
      <c r="I3583" s="42">
        <v>7750</v>
      </c>
    </row>
    <row r="3584" spans="1:9" x14ac:dyDescent="0.25">
      <c r="A3584" t="s">
        <v>9</v>
      </c>
      <c r="B3584" s="39">
        <v>45695</v>
      </c>
      <c r="C3584" s="40">
        <v>0.375</v>
      </c>
      <c r="D3584" s="41">
        <v>6176.3919999999998</v>
      </c>
      <c r="E3584" s="41">
        <v>6180.1210000000001</v>
      </c>
      <c r="F3584" s="41">
        <v>6163.607</v>
      </c>
      <c r="G3584" s="41">
        <v>6173.7280000000001</v>
      </c>
      <c r="H3584" s="41">
        <v>2261976357.8899999</v>
      </c>
      <c r="I3584" s="42">
        <v>7330</v>
      </c>
    </row>
    <row r="3585" spans="1:9" x14ac:dyDescent="0.25">
      <c r="A3585" t="s">
        <v>9</v>
      </c>
      <c r="B3585" s="39">
        <v>45694</v>
      </c>
      <c r="C3585" s="40">
        <v>0.75</v>
      </c>
      <c r="D3585" s="41">
        <v>6167.8680000000004</v>
      </c>
      <c r="E3585" s="41">
        <v>6172.13</v>
      </c>
      <c r="F3585" s="41">
        <v>6164.6719999999996</v>
      </c>
      <c r="G3585" s="41">
        <v>6165.2049999999999</v>
      </c>
      <c r="H3585" s="41">
        <v>2390201882.2600002</v>
      </c>
      <c r="I3585" s="42">
        <v>7750</v>
      </c>
    </row>
    <row r="3586" spans="1:9" x14ac:dyDescent="0.25">
      <c r="A3586" t="s">
        <v>9</v>
      </c>
      <c r="B3586" s="39">
        <v>45694</v>
      </c>
      <c r="C3586" s="40">
        <v>0.72916666666666663</v>
      </c>
      <c r="D3586" s="41">
        <v>6169.9989999999998</v>
      </c>
      <c r="E3586" s="41">
        <v>6170.5320000000002</v>
      </c>
      <c r="F3586" s="41">
        <v>6163.607</v>
      </c>
      <c r="G3586" s="41">
        <v>6167.3360000000002</v>
      </c>
      <c r="H3586" s="41">
        <v>2517070960.3800001</v>
      </c>
      <c r="I3586" s="42">
        <v>8165</v>
      </c>
    </row>
    <row r="3587" spans="1:9" x14ac:dyDescent="0.25">
      <c r="A3587" t="s">
        <v>9</v>
      </c>
      <c r="B3587" s="39">
        <v>45694</v>
      </c>
      <c r="C3587" s="40">
        <v>0.70833333333333337</v>
      </c>
      <c r="D3587" s="41">
        <v>6168.9340000000002</v>
      </c>
      <c r="E3587" s="41">
        <v>6173.7280000000001</v>
      </c>
      <c r="F3587" s="41">
        <v>6167.3360000000002</v>
      </c>
      <c r="G3587" s="41">
        <v>6168.9340000000002</v>
      </c>
      <c r="H3587" s="41">
        <v>1274171569.8699999</v>
      </c>
      <c r="I3587" s="42">
        <v>4130</v>
      </c>
    </row>
    <row r="3588" spans="1:9" x14ac:dyDescent="0.25">
      <c r="A3588" t="s">
        <v>9</v>
      </c>
      <c r="B3588" s="39">
        <v>45694</v>
      </c>
      <c r="C3588" s="40">
        <v>0.6875</v>
      </c>
      <c r="D3588" s="41">
        <v>6173.7280000000001</v>
      </c>
      <c r="E3588" s="41">
        <v>6180.1210000000001</v>
      </c>
      <c r="F3588" s="41">
        <v>6168.9340000000002</v>
      </c>
      <c r="G3588" s="41">
        <v>6168.9340000000002</v>
      </c>
      <c r="H3588" s="41">
        <v>1776940474.4200001</v>
      </c>
      <c r="I3588" s="42">
        <v>5755</v>
      </c>
    </row>
    <row r="3589" spans="1:9" x14ac:dyDescent="0.25">
      <c r="A3589" t="s">
        <v>9</v>
      </c>
      <c r="B3589" s="39">
        <v>45694</v>
      </c>
      <c r="C3589" s="40">
        <v>0.66666666666666663</v>
      </c>
      <c r="D3589" s="41">
        <v>6160.41</v>
      </c>
      <c r="E3589" s="41">
        <v>6178.5230000000001</v>
      </c>
      <c r="F3589" s="41">
        <v>6159.3450000000003</v>
      </c>
      <c r="G3589" s="41">
        <v>6174.2610000000004</v>
      </c>
      <c r="H3589" s="41">
        <v>3555655849.1199999</v>
      </c>
      <c r="I3589" s="42">
        <v>11525</v>
      </c>
    </row>
    <row r="3590" spans="1:9" x14ac:dyDescent="0.25">
      <c r="A3590" t="s">
        <v>9</v>
      </c>
      <c r="B3590" s="39">
        <v>45694</v>
      </c>
      <c r="C3590" s="40">
        <v>0.64583333333333337</v>
      </c>
      <c r="D3590" s="41">
        <v>6155.0829999999996</v>
      </c>
      <c r="E3590" s="41">
        <v>6162.5410000000002</v>
      </c>
      <c r="F3590" s="41">
        <v>6152.9520000000002</v>
      </c>
      <c r="G3590" s="41">
        <v>6159.3450000000003</v>
      </c>
      <c r="H3590" s="41">
        <v>2356416847.9200001</v>
      </c>
      <c r="I3590" s="42">
        <v>7655</v>
      </c>
    </row>
    <row r="3591" spans="1:9" x14ac:dyDescent="0.25">
      <c r="A3591" t="s">
        <v>9</v>
      </c>
      <c r="B3591" s="39">
        <v>45694</v>
      </c>
      <c r="C3591" s="40">
        <v>0.625</v>
      </c>
      <c r="D3591" s="41">
        <v>6162.5410000000002</v>
      </c>
      <c r="E3591" s="41">
        <v>6164.1390000000001</v>
      </c>
      <c r="F3591" s="41">
        <v>6152.4189999999999</v>
      </c>
      <c r="G3591" s="41">
        <v>6154.55</v>
      </c>
      <c r="H3591" s="41">
        <v>3041392777.1999998</v>
      </c>
      <c r="I3591" s="42">
        <v>9875</v>
      </c>
    </row>
    <row r="3592" spans="1:9" x14ac:dyDescent="0.25">
      <c r="A3592" t="s">
        <v>9</v>
      </c>
      <c r="B3592" s="39">
        <v>45694</v>
      </c>
      <c r="C3592" s="40">
        <v>0.60416666666666663</v>
      </c>
      <c r="D3592" s="41">
        <v>6168.4009999999998</v>
      </c>
      <c r="E3592" s="41">
        <v>6169.4669999999996</v>
      </c>
      <c r="F3592" s="41">
        <v>6151.3540000000003</v>
      </c>
      <c r="G3592" s="41">
        <v>6162.0079999999998</v>
      </c>
      <c r="H3592" s="41">
        <v>3860905401.7399998</v>
      </c>
      <c r="I3592" s="42">
        <v>12535</v>
      </c>
    </row>
    <row r="3593" spans="1:9" x14ac:dyDescent="0.25">
      <c r="A3593" t="s">
        <v>9</v>
      </c>
      <c r="B3593" s="39">
        <v>45694</v>
      </c>
      <c r="C3593" s="40">
        <v>0.58333333333333337</v>
      </c>
      <c r="D3593" s="41">
        <v>6179.5879999999997</v>
      </c>
      <c r="E3593" s="41">
        <v>6180.1210000000001</v>
      </c>
      <c r="F3593" s="41">
        <v>6168.4009999999998</v>
      </c>
      <c r="G3593" s="41">
        <v>6168.9340000000002</v>
      </c>
      <c r="H3593" s="41">
        <v>1689719315.02</v>
      </c>
      <c r="I3593" s="42">
        <v>5475</v>
      </c>
    </row>
    <row r="3594" spans="1:9" x14ac:dyDescent="0.25">
      <c r="A3594" t="s">
        <v>9</v>
      </c>
      <c r="B3594" s="39">
        <v>45694</v>
      </c>
      <c r="C3594" s="40">
        <v>0.5625</v>
      </c>
      <c r="D3594" s="41">
        <v>6178.5230000000001</v>
      </c>
      <c r="E3594" s="41">
        <v>6184.3829999999998</v>
      </c>
      <c r="F3594" s="41">
        <v>6177.4570000000003</v>
      </c>
      <c r="G3594" s="41">
        <v>6179.0559999999996</v>
      </c>
      <c r="H3594" s="41">
        <v>1483423749.1199999</v>
      </c>
      <c r="I3594" s="42">
        <v>4800</v>
      </c>
    </row>
    <row r="3595" spans="1:9" x14ac:dyDescent="0.25">
      <c r="A3595" t="s">
        <v>9</v>
      </c>
      <c r="B3595" s="39">
        <v>45694</v>
      </c>
      <c r="C3595" s="40">
        <v>0.54166666666666663</v>
      </c>
      <c r="D3595" s="41">
        <v>6179.0559999999996</v>
      </c>
      <c r="E3595" s="41">
        <v>6182.7849999999999</v>
      </c>
      <c r="F3595" s="41">
        <v>6170.5320000000002</v>
      </c>
      <c r="G3595" s="41">
        <v>6178.5230000000001</v>
      </c>
      <c r="H3595" s="41">
        <v>3176973876.1500001</v>
      </c>
      <c r="I3595" s="42">
        <v>10285</v>
      </c>
    </row>
    <row r="3596" spans="1:9" x14ac:dyDescent="0.25">
      <c r="A3596" t="s">
        <v>9</v>
      </c>
      <c r="B3596" s="39">
        <v>45694</v>
      </c>
      <c r="C3596" s="40">
        <v>0.52083333333333337</v>
      </c>
      <c r="D3596" s="41">
        <v>6191.308</v>
      </c>
      <c r="E3596" s="41">
        <v>6195.57</v>
      </c>
      <c r="F3596" s="41">
        <v>6177.4570000000003</v>
      </c>
      <c r="G3596" s="41">
        <v>6179.0559999999996</v>
      </c>
      <c r="H3596" s="41">
        <v>2786818512.02</v>
      </c>
      <c r="I3596" s="42">
        <v>9010</v>
      </c>
    </row>
    <row r="3597" spans="1:9" x14ac:dyDescent="0.25">
      <c r="A3597" t="s">
        <v>9</v>
      </c>
      <c r="B3597" s="39">
        <v>45694</v>
      </c>
      <c r="C3597" s="40">
        <v>0.5</v>
      </c>
      <c r="D3597" s="41">
        <v>6184.9160000000002</v>
      </c>
      <c r="E3597" s="41">
        <v>6194.5050000000001</v>
      </c>
      <c r="F3597" s="41">
        <v>6179.5879999999997</v>
      </c>
      <c r="G3597" s="41">
        <v>6191.308</v>
      </c>
      <c r="H3597" s="41">
        <v>6965335839.2700005</v>
      </c>
      <c r="I3597" s="42">
        <v>22515</v>
      </c>
    </row>
    <row r="3598" spans="1:9" x14ac:dyDescent="0.25">
      <c r="A3598" t="s">
        <v>9</v>
      </c>
      <c r="B3598" s="39">
        <v>45694</v>
      </c>
      <c r="C3598" s="40">
        <v>0.47916666666666669</v>
      </c>
      <c r="D3598" s="41">
        <v>6187.5789999999997</v>
      </c>
      <c r="E3598" s="41">
        <v>6187.5789999999997</v>
      </c>
      <c r="F3598" s="41">
        <v>6166.8029999999999</v>
      </c>
      <c r="G3598" s="41">
        <v>6184.3829999999998</v>
      </c>
      <c r="H3598" s="41">
        <v>7620313996.1000004</v>
      </c>
      <c r="I3598" s="42">
        <v>24680</v>
      </c>
    </row>
    <row r="3599" spans="1:9" x14ac:dyDescent="0.25">
      <c r="A3599" t="s">
        <v>9</v>
      </c>
      <c r="B3599" s="39">
        <v>45694</v>
      </c>
      <c r="C3599" s="40">
        <v>0.45833333333333331</v>
      </c>
      <c r="D3599" s="41">
        <v>6190.7749999999996</v>
      </c>
      <c r="E3599" s="41">
        <v>6202.4949999999999</v>
      </c>
      <c r="F3599" s="41">
        <v>6178.5230000000001</v>
      </c>
      <c r="G3599" s="41">
        <v>6188.1120000000001</v>
      </c>
      <c r="H3599" s="41">
        <v>12111788447.35</v>
      </c>
      <c r="I3599" s="42">
        <v>39105</v>
      </c>
    </row>
    <row r="3600" spans="1:9" x14ac:dyDescent="0.25">
      <c r="A3600" t="s">
        <v>9</v>
      </c>
      <c r="B3600" s="39">
        <v>45694</v>
      </c>
      <c r="C3600" s="40">
        <v>0.4375</v>
      </c>
      <c r="D3600" s="41">
        <v>6215.8130000000001</v>
      </c>
      <c r="E3600" s="41">
        <v>6216.8789999999999</v>
      </c>
      <c r="F3600" s="41">
        <v>6190.2430000000004</v>
      </c>
      <c r="G3600" s="41">
        <v>6191.308</v>
      </c>
      <c r="H3600" s="41">
        <v>4176503101.1100001</v>
      </c>
      <c r="I3600" s="42">
        <v>13465</v>
      </c>
    </row>
    <row r="3601" spans="1:9" x14ac:dyDescent="0.25">
      <c r="A3601" t="s">
        <v>9</v>
      </c>
      <c r="B3601" s="39">
        <v>45694</v>
      </c>
      <c r="C3601" s="40">
        <v>0.41666666666666669</v>
      </c>
      <c r="D3601" s="41">
        <v>6207.29</v>
      </c>
      <c r="E3601" s="41">
        <v>6227.0010000000002</v>
      </c>
      <c r="F3601" s="41">
        <v>6202.4949999999999</v>
      </c>
      <c r="G3601" s="41">
        <v>6216.8789999999999</v>
      </c>
      <c r="H3601" s="41">
        <v>4853657056.7200003</v>
      </c>
      <c r="I3601" s="42">
        <v>15625</v>
      </c>
    </row>
    <row r="3602" spans="1:9" x14ac:dyDescent="0.25">
      <c r="A3602" t="s">
        <v>9</v>
      </c>
      <c r="B3602" s="39">
        <v>45694</v>
      </c>
      <c r="C3602" s="40">
        <v>0.39583333333333331</v>
      </c>
      <c r="D3602" s="41">
        <v>6223.2719999999999</v>
      </c>
      <c r="E3602" s="41">
        <v>6224.3370000000004</v>
      </c>
      <c r="F3602" s="41">
        <v>6206.2240000000002</v>
      </c>
      <c r="G3602" s="41">
        <v>6207.8230000000003</v>
      </c>
      <c r="H3602" s="41">
        <v>5960808872.3000002</v>
      </c>
      <c r="I3602" s="42">
        <v>19180</v>
      </c>
    </row>
    <row r="3603" spans="1:9" x14ac:dyDescent="0.25">
      <c r="A3603" t="s">
        <v>9</v>
      </c>
      <c r="B3603" s="39">
        <v>45694</v>
      </c>
      <c r="C3603" s="40">
        <v>0.375</v>
      </c>
      <c r="D3603" s="41">
        <v>6209.4210000000003</v>
      </c>
      <c r="E3603" s="41">
        <v>6232.8609999999999</v>
      </c>
      <c r="F3603" s="41">
        <v>6205.1589999999997</v>
      </c>
      <c r="G3603" s="41">
        <v>6223.8040000000001</v>
      </c>
      <c r="H3603" s="41">
        <v>4739066314.4099998</v>
      </c>
      <c r="I3603" s="42">
        <v>15230</v>
      </c>
    </row>
    <row r="3604" spans="1:9" x14ac:dyDescent="0.25">
      <c r="A3604" t="s">
        <v>9</v>
      </c>
      <c r="B3604" s="39">
        <v>45693</v>
      </c>
      <c r="C3604" s="40">
        <v>0.75</v>
      </c>
      <c r="D3604" s="41">
        <v>6215.2809999999999</v>
      </c>
      <c r="E3604" s="41">
        <v>6216.8789999999999</v>
      </c>
      <c r="F3604" s="41">
        <v>6198.7659999999996</v>
      </c>
      <c r="G3604" s="41">
        <v>6201.9629999999997</v>
      </c>
      <c r="H3604" s="41">
        <v>1118667558.24</v>
      </c>
      <c r="I3604" s="42">
        <v>3605</v>
      </c>
    </row>
    <row r="3605" spans="1:9" x14ac:dyDescent="0.25">
      <c r="A3605" t="s">
        <v>9</v>
      </c>
      <c r="B3605" s="39">
        <v>45693</v>
      </c>
      <c r="C3605" s="40">
        <v>0.72916666666666663</v>
      </c>
      <c r="D3605" s="41">
        <v>6215.8130000000001</v>
      </c>
      <c r="E3605" s="41">
        <v>6219.01</v>
      </c>
      <c r="F3605" s="41">
        <v>6209.4210000000003</v>
      </c>
      <c r="G3605" s="41">
        <v>6214.7479999999996</v>
      </c>
      <c r="H3605" s="41">
        <v>2126794534.9200001</v>
      </c>
      <c r="I3605" s="42">
        <v>6845</v>
      </c>
    </row>
    <row r="3606" spans="1:9" x14ac:dyDescent="0.25">
      <c r="A3606" t="s">
        <v>9</v>
      </c>
      <c r="B3606" s="39">
        <v>45693</v>
      </c>
      <c r="C3606" s="40">
        <v>0.70833333333333337</v>
      </c>
      <c r="D3606" s="41">
        <v>6200.3639999999996</v>
      </c>
      <c r="E3606" s="41">
        <v>6216.3459999999995</v>
      </c>
      <c r="F3606" s="41">
        <v>6199.8320000000003</v>
      </c>
      <c r="G3606" s="41">
        <v>6215.8130000000001</v>
      </c>
      <c r="H3606" s="41">
        <v>2267076782.2800002</v>
      </c>
      <c r="I3606" s="42">
        <v>7305</v>
      </c>
    </row>
    <row r="3607" spans="1:9" x14ac:dyDescent="0.25">
      <c r="A3607" t="s">
        <v>9</v>
      </c>
      <c r="B3607" s="39">
        <v>45693</v>
      </c>
      <c r="C3607" s="40">
        <v>0.6875</v>
      </c>
      <c r="D3607" s="41">
        <v>6196.1030000000001</v>
      </c>
      <c r="E3607" s="41">
        <v>6202.4949999999999</v>
      </c>
      <c r="F3607" s="41">
        <v>6193.9719999999998</v>
      </c>
      <c r="G3607" s="41">
        <v>6200.3639999999996</v>
      </c>
      <c r="H3607" s="41">
        <v>2877779920.4899998</v>
      </c>
      <c r="I3607" s="42">
        <v>9285</v>
      </c>
    </row>
    <row r="3608" spans="1:9" x14ac:dyDescent="0.25">
      <c r="A3608" t="s">
        <v>9</v>
      </c>
      <c r="B3608" s="39">
        <v>45693</v>
      </c>
      <c r="C3608" s="40">
        <v>0.66666666666666663</v>
      </c>
      <c r="D3608" s="41">
        <v>6196.1030000000001</v>
      </c>
      <c r="E3608" s="41">
        <v>6198.2340000000004</v>
      </c>
      <c r="F3608" s="41">
        <v>6191.8410000000003</v>
      </c>
      <c r="G3608" s="41">
        <v>6195.57</v>
      </c>
      <c r="H3608" s="41">
        <v>2306303317.0100002</v>
      </c>
      <c r="I3608" s="42">
        <v>7445</v>
      </c>
    </row>
    <row r="3609" spans="1:9" x14ac:dyDescent="0.25">
      <c r="A3609" t="s">
        <v>9</v>
      </c>
      <c r="B3609" s="39">
        <v>45693</v>
      </c>
      <c r="C3609" s="40">
        <v>0.64583333333333337</v>
      </c>
      <c r="D3609" s="41">
        <v>6184.9160000000002</v>
      </c>
      <c r="E3609" s="41">
        <v>6196.6350000000002</v>
      </c>
      <c r="F3609" s="41">
        <v>6182.7849999999999</v>
      </c>
      <c r="G3609" s="41">
        <v>6196.1030000000001</v>
      </c>
      <c r="H3609" s="41">
        <v>2001214646.77</v>
      </c>
      <c r="I3609" s="42">
        <v>6465</v>
      </c>
    </row>
    <row r="3610" spans="1:9" x14ac:dyDescent="0.25">
      <c r="A3610" t="s">
        <v>9</v>
      </c>
      <c r="B3610" s="39">
        <v>45693</v>
      </c>
      <c r="C3610" s="40">
        <v>0.625</v>
      </c>
      <c r="D3610" s="41">
        <v>6177.4570000000003</v>
      </c>
      <c r="E3610" s="41">
        <v>6186.5140000000001</v>
      </c>
      <c r="F3610" s="41">
        <v>6175.326</v>
      </c>
      <c r="G3610" s="41">
        <v>6185.4480000000003</v>
      </c>
      <c r="H3610" s="41">
        <v>4147925701.6900001</v>
      </c>
      <c r="I3610" s="42">
        <v>13420</v>
      </c>
    </row>
    <row r="3611" spans="1:9" x14ac:dyDescent="0.25">
      <c r="A3611" t="s">
        <v>9</v>
      </c>
      <c r="B3611" s="39">
        <v>45693</v>
      </c>
      <c r="C3611" s="40">
        <v>0.60416666666666663</v>
      </c>
      <c r="D3611" s="41">
        <v>6192.3739999999998</v>
      </c>
      <c r="E3611" s="41">
        <v>6196.1030000000001</v>
      </c>
      <c r="F3611" s="41">
        <v>6173.1959999999999</v>
      </c>
      <c r="G3611" s="41">
        <v>6176.9250000000002</v>
      </c>
      <c r="H3611" s="41">
        <v>3849988839.4299998</v>
      </c>
      <c r="I3611" s="42">
        <v>12450</v>
      </c>
    </row>
    <row r="3612" spans="1:9" x14ac:dyDescent="0.25">
      <c r="A3612" t="s">
        <v>9</v>
      </c>
      <c r="B3612" s="39">
        <v>45693</v>
      </c>
      <c r="C3612" s="40">
        <v>0.58333333333333337</v>
      </c>
      <c r="D3612" s="41">
        <v>6206.2240000000002</v>
      </c>
      <c r="E3612" s="41">
        <v>6206.2240000000002</v>
      </c>
      <c r="F3612" s="41">
        <v>6188.1120000000001</v>
      </c>
      <c r="G3612" s="41">
        <v>6192.9059999999999</v>
      </c>
      <c r="H3612" s="41">
        <v>2720718892.3400002</v>
      </c>
      <c r="I3612" s="42">
        <v>8780</v>
      </c>
    </row>
    <row r="3613" spans="1:9" x14ac:dyDescent="0.25">
      <c r="A3613" t="s">
        <v>9</v>
      </c>
      <c r="B3613" s="39">
        <v>45693</v>
      </c>
      <c r="C3613" s="40">
        <v>0.5625</v>
      </c>
      <c r="D3613" s="41">
        <v>6207.8230000000003</v>
      </c>
      <c r="E3613" s="41">
        <v>6208.3549999999996</v>
      </c>
      <c r="F3613" s="41">
        <v>6200.8969999999999</v>
      </c>
      <c r="G3613" s="41">
        <v>6206.2240000000002</v>
      </c>
      <c r="H3613" s="41">
        <v>1932952970.28</v>
      </c>
      <c r="I3613" s="42">
        <v>6230</v>
      </c>
    </row>
    <row r="3614" spans="1:9" x14ac:dyDescent="0.25">
      <c r="A3614" t="s">
        <v>9</v>
      </c>
      <c r="B3614" s="39">
        <v>45693</v>
      </c>
      <c r="C3614" s="40">
        <v>0.54166666666666663</v>
      </c>
      <c r="D3614" s="41">
        <v>6211.0190000000002</v>
      </c>
      <c r="E3614" s="41">
        <v>6215.2809999999999</v>
      </c>
      <c r="F3614" s="41">
        <v>6197.701</v>
      </c>
      <c r="G3614" s="41">
        <v>6208.3549999999996</v>
      </c>
      <c r="H3614" s="41">
        <v>3395232405.77</v>
      </c>
      <c r="I3614" s="42">
        <v>10940</v>
      </c>
    </row>
    <row r="3615" spans="1:9" x14ac:dyDescent="0.25">
      <c r="A3615" t="s">
        <v>9</v>
      </c>
      <c r="B3615" s="39">
        <v>45693</v>
      </c>
      <c r="C3615" s="40">
        <v>0.52083333333333337</v>
      </c>
      <c r="D3615" s="41">
        <v>6192.3739999999998</v>
      </c>
      <c r="E3615" s="41">
        <v>6214.2150000000001</v>
      </c>
      <c r="F3615" s="41">
        <v>6188.1120000000001</v>
      </c>
      <c r="G3615" s="41">
        <v>6209.9530000000004</v>
      </c>
      <c r="H3615" s="41">
        <v>5326000944.8699999</v>
      </c>
      <c r="I3615" s="42">
        <v>17170</v>
      </c>
    </row>
    <row r="3616" spans="1:9" x14ac:dyDescent="0.25">
      <c r="A3616" t="s">
        <v>9</v>
      </c>
      <c r="B3616" s="39">
        <v>45693</v>
      </c>
      <c r="C3616" s="40">
        <v>0.5</v>
      </c>
      <c r="D3616" s="41">
        <v>6202.4949999999999</v>
      </c>
      <c r="E3616" s="41">
        <v>6203.5609999999997</v>
      </c>
      <c r="F3616" s="41">
        <v>6185.9809999999998</v>
      </c>
      <c r="G3616" s="41">
        <v>6192.3739999999998</v>
      </c>
      <c r="H3616" s="41">
        <v>5719676942.96</v>
      </c>
      <c r="I3616" s="42">
        <v>18465</v>
      </c>
    </row>
    <row r="3617" spans="1:9" x14ac:dyDescent="0.25">
      <c r="A3617" t="s">
        <v>9</v>
      </c>
      <c r="B3617" s="39">
        <v>45693</v>
      </c>
      <c r="C3617" s="40">
        <v>0.47916666666666669</v>
      </c>
      <c r="D3617" s="41">
        <v>6216.8789999999999</v>
      </c>
      <c r="E3617" s="41">
        <v>6216.8789999999999</v>
      </c>
      <c r="F3617" s="41">
        <v>6200.8969999999999</v>
      </c>
      <c r="G3617" s="41">
        <v>6204.0940000000001</v>
      </c>
      <c r="H3617" s="41">
        <v>3929645330.4200001</v>
      </c>
      <c r="I3617" s="42">
        <v>12660</v>
      </c>
    </row>
    <row r="3618" spans="1:9" x14ac:dyDescent="0.25">
      <c r="A3618" t="s">
        <v>9</v>
      </c>
      <c r="B3618" s="39">
        <v>45693</v>
      </c>
      <c r="C3618" s="40">
        <v>0.45833333333333331</v>
      </c>
      <c r="D3618" s="41">
        <v>6211.5519999999997</v>
      </c>
      <c r="E3618" s="41">
        <v>6225.9350000000004</v>
      </c>
      <c r="F3618" s="41">
        <v>6211.0190000000002</v>
      </c>
      <c r="G3618" s="41">
        <v>6216.3459999999995</v>
      </c>
      <c r="H3618" s="41">
        <v>5501933689.79</v>
      </c>
      <c r="I3618" s="42">
        <v>17690</v>
      </c>
    </row>
    <row r="3619" spans="1:9" x14ac:dyDescent="0.25">
      <c r="A3619" t="s">
        <v>9</v>
      </c>
      <c r="B3619" s="39">
        <v>45693</v>
      </c>
      <c r="C3619" s="40">
        <v>0.4375</v>
      </c>
      <c r="D3619" s="41">
        <v>6205.1589999999997</v>
      </c>
      <c r="E3619" s="41">
        <v>6213.683</v>
      </c>
      <c r="F3619" s="41">
        <v>6204.6260000000002</v>
      </c>
      <c r="G3619" s="41">
        <v>6211.0190000000002</v>
      </c>
      <c r="H3619" s="41">
        <v>2727237292.52</v>
      </c>
      <c r="I3619" s="42">
        <v>8785</v>
      </c>
    </row>
    <row r="3620" spans="1:9" x14ac:dyDescent="0.25">
      <c r="A3620" t="s">
        <v>9</v>
      </c>
      <c r="B3620" s="39">
        <v>45693</v>
      </c>
      <c r="C3620" s="40">
        <v>0.41666666666666669</v>
      </c>
      <c r="D3620" s="41">
        <v>6193.9719999999998</v>
      </c>
      <c r="E3620" s="41">
        <v>6208.3549999999996</v>
      </c>
      <c r="F3620" s="41">
        <v>6192.3739999999998</v>
      </c>
      <c r="G3620" s="41">
        <v>6206.2240000000002</v>
      </c>
      <c r="H3620" s="41">
        <v>3926039727.1199999</v>
      </c>
      <c r="I3620" s="42">
        <v>12665</v>
      </c>
    </row>
    <row r="3621" spans="1:9" x14ac:dyDescent="0.25">
      <c r="A3621" t="s">
        <v>9</v>
      </c>
      <c r="B3621" s="39">
        <v>45693</v>
      </c>
      <c r="C3621" s="40">
        <v>0.39583333333333331</v>
      </c>
      <c r="D3621" s="41">
        <v>6181.1859999999997</v>
      </c>
      <c r="E3621" s="41">
        <v>6194.5050000000001</v>
      </c>
      <c r="F3621" s="41">
        <v>6176.9250000000002</v>
      </c>
      <c r="G3621" s="41">
        <v>6192.9059999999999</v>
      </c>
      <c r="H3621" s="41">
        <v>4291810888.7399998</v>
      </c>
      <c r="I3621" s="42">
        <v>13875</v>
      </c>
    </row>
    <row r="3622" spans="1:9" x14ac:dyDescent="0.25">
      <c r="A3622" t="s">
        <v>9</v>
      </c>
      <c r="B3622" s="39">
        <v>45693</v>
      </c>
      <c r="C3622" s="40">
        <v>0.375</v>
      </c>
      <c r="D3622" s="41">
        <v>6165.7370000000001</v>
      </c>
      <c r="E3622" s="41">
        <v>6184.9160000000002</v>
      </c>
      <c r="F3622" s="41">
        <v>6152.9520000000002</v>
      </c>
      <c r="G3622" s="41">
        <v>6180.6540000000005</v>
      </c>
      <c r="H3622" s="41">
        <v>5013403675.3299999</v>
      </c>
      <c r="I3622" s="42">
        <v>16250</v>
      </c>
    </row>
    <row r="3623" spans="1:9" x14ac:dyDescent="0.25">
      <c r="A3623" t="s">
        <v>9</v>
      </c>
      <c r="B3623" s="39">
        <v>45692</v>
      </c>
      <c r="C3623" s="40">
        <v>0.75</v>
      </c>
      <c r="D3623" s="41">
        <v>6165.2049999999999</v>
      </c>
      <c r="E3623" s="41">
        <v>6168.4009999999998</v>
      </c>
      <c r="F3623" s="41">
        <v>6155.0829999999996</v>
      </c>
      <c r="G3623" s="41">
        <v>6159.3450000000003</v>
      </c>
      <c r="H3623" s="41">
        <v>2166010947.9000001</v>
      </c>
      <c r="I3623" s="42">
        <v>7030</v>
      </c>
    </row>
    <row r="3624" spans="1:9" x14ac:dyDescent="0.25">
      <c r="A3624" t="s">
        <v>9</v>
      </c>
      <c r="B3624" s="39">
        <v>45692</v>
      </c>
      <c r="C3624" s="40">
        <v>0.72916666666666663</v>
      </c>
      <c r="D3624" s="41">
        <v>6175.326</v>
      </c>
      <c r="E3624" s="41">
        <v>6177.99</v>
      </c>
      <c r="F3624" s="41">
        <v>6162.5410000000002</v>
      </c>
      <c r="G3624" s="41">
        <v>6164.6719999999996</v>
      </c>
      <c r="H3624" s="41">
        <v>1528632365.02</v>
      </c>
      <c r="I3624" s="42">
        <v>4955</v>
      </c>
    </row>
    <row r="3625" spans="1:9" x14ac:dyDescent="0.25">
      <c r="A3625" t="s">
        <v>9</v>
      </c>
      <c r="B3625" s="39">
        <v>45692</v>
      </c>
      <c r="C3625" s="40">
        <v>0.70833333333333337</v>
      </c>
      <c r="D3625" s="41">
        <v>6178.5230000000001</v>
      </c>
      <c r="E3625" s="41">
        <v>6180.6540000000005</v>
      </c>
      <c r="F3625" s="41">
        <v>6171.5969999999998</v>
      </c>
      <c r="G3625" s="41">
        <v>6175.326</v>
      </c>
      <c r="H3625" s="41">
        <v>994506311.76999998</v>
      </c>
      <c r="I3625" s="42">
        <v>3220</v>
      </c>
    </row>
    <row r="3626" spans="1:9" x14ac:dyDescent="0.25">
      <c r="A3626" t="s">
        <v>9</v>
      </c>
      <c r="B3626" s="39">
        <v>45692</v>
      </c>
      <c r="C3626" s="40">
        <v>0.6875</v>
      </c>
      <c r="D3626" s="41">
        <v>6174.7939999999999</v>
      </c>
      <c r="E3626" s="41">
        <v>6181.1859999999997</v>
      </c>
      <c r="F3626" s="41">
        <v>6173.7280000000001</v>
      </c>
      <c r="G3626" s="41">
        <v>6177.99</v>
      </c>
      <c r="H3626" s="41">
        <v>2740968897.02</v>
      </c>
      <c r="I3626" s="42">
        <v>8875</v>
      </c>
    </row>
    <row r="3627" spans="1:9" x14ac:dyDescent="0.25">
      <c r="A3627" t="s">
        <v>9</v>
      </c>
      <c r="B3627" s="39">
        <v>45692</v>
      </c>
      <c r="C3627" s="40">
        <v>0.66666666666666663</v>
      </c>
      <c r="D3627" s="41">
        <v>6181.7190000000001</v>
      </c>
      <c r="E3627" s="41">
        <v>6182.2520000000004</v>
      </c>
      <c r="F3627" s="41">
        <v>6173.7280000000001</v>
      </c>
      <c r="G3627" s="41">
        <v>6174.2610000000004</v>
      </c>
      <c r="H3627" s="41">
        <v>2593648178.52</v>
      </c>
      <c r="I3627" s="42">
        <v>8395</v>
      </c>
    </row>
    <row r="3628" spans="1:9" x14ac:dyDescent="0.25">
      <c r="A3628" t="s">
        <v>9</v>
      </c>
      <c r="B3628" s="39">
        <v>45692</v>
      </c>
      <c r="C3628" s="40">
        <v>0.64583333333333337</v>
      </c>
      <c r="D3628" s="41">
        <v>6174.2610000000004</v>
      </c>
      <c r="E3628" s="41">
        <v>6184.3829999999998</v>
      </c>
      <c r="F3628" s="41">
        <v>6171.5969999999998</v>
      </c>
      <c r="G3628" s="41">
        <v>6182.7849999999999</v>
      </c>
      <c r="H3628" s="41">
        <v>2066851729.5899999</v>
      </c>
      <c r="I3628" s="42">
        <v>6690</v>
      </c>
    </row>
    <row r="3629" spans="1:9" x14ac:dyDescent="0.25">
      <c r="A3629" t="s">
        <v>9</v>
      </c>
      <c r="B3629" s="39">
        <v>45692</v>
      </c>
      <c r="C3629" s="40">
        <v>0.625</v>
      </c>
      <c r="D3629" s="41">
        <v>6179.0559999999996</v>
      </c>
      <c r="E3629" s="41">
        <v>6184.3829999999998</v>
      </c>
      <c r="F3629" s="41">
        <v>6173.1959999999999</v>
      </c>
      <c r="G3629" s="41">
        <v>6174.2610000000004</v>
      </c>
      <c r="H3629" s="41">
        <v>2435998757.6700001</v>
      </c>
      <c r="I3629" s="42">
        <v>7885</v>
      </c>
    </row>
    <row r="3630" spans="1:9" x14ac:dyDescent="0.25">
      <c r="A3630" t="s">
        <v>9</v>
      </c>
      <c r="B3630" s="39">
        <v>45692</v>
      </c>
      <c r="C3630" s="40">
        <v>0.60416666666666663</v>
      </c>
      <c r="D3630" s="41">
        <v>6174.2610000000004</v>
      </c>
      <c r="E3630" s="41">
        <v>6188.1120000000001</v>
      </c>
      <c r="F3630" s="41">
        <v>6171.0649999999996</v>
      </c>
      <c r="G3630" s="41">
        <v>6178.5230000000001</v>
      </c>
      <c r="H3630" s="41">
        <v>4220230213.9899998</v>
      </c>
      <c r="I3630" s="42">
        <v>13660</v>
      </c>
    </row>
    <row r="3631" spans="1:9" x14ac:dyDescent="0.25">
      <c r="A3631" t="s">
        <v>9</v>
      </c>
      <c r="B3631" s="39">
        <v>45692</v>
      </c>
      <c r="C3631" s="40">
        <v>0.58333333333333337</v>
      </c>
      <c r="D3631" s="41">
        <v>6166.8029999999999</v>
      </c>
      <c r="E3631" s="41">
        <v>6184.3829999999998</v>
      </c>
      <c r="F3631" s="41">
        <v>6166.8029999999999</v>
      </c>
      <c r="G3631" s="41">
        <v>6174.7939999999999</v>
      </c>
      <c r="H3631" s="41">
        <v>3644825576.5300002</v>
      </c>
      <c r="I3631" s="42">
        <v>11805</v>
      </c>
    </row>
    <row r="3632" spans="1:9" x14ac:dyDescent="0.25">
      <c r="A3632" t="s">
        <v>9</v>
      </c>
      <c r="B3632" s="39">
        <v>45692</v>
      </c>
      <c r="C3632" s="40">
        <v>0.5625</v>
      </c>
      <c r="D3632" s="41">
        <v>6168.9340000000002</v>
      </c>
      <c r="E3632" s="41">
        <v>6171.5969999999998</v>
      </c>
      <c r="F3632" s="41">
        <v>6162.5410000000002</v>
      </c>
      <c r="G3632" s="41">
        <v>6166.27</v>
      </c>
      <c r="H3632" s="41">
        <v>2966187587.4699998</v>
      </c>
      <c r="I3632" s="42">
        <v>9620</v>
      </c>
    </row>
    <row r="3633" spans="1:9" x14ac:dyDescent="0.25">
      <c r="A3633" t="s">
        <v>9</v>
      </c>
      <c r="B3633" s="39">
        <v>45692</v>
      </c>
      <c r="C3633" s="40">
        <v>0.54166666666666663</v>
      </c>
      <c r="D3633" s="41">
        <v>6169.9989999999998</v>
      </c>
      <c r="E3633" s="41">
        <v>6173.7280000000001</v>
      </c>
      <c r="F3633" s="41">
        <v>6164.1390000000001</v>
      </c>
      <c r="G3633" s="41">
        <v>6168.4009999999998</v>
      </c>
      <c r="H3633" s="41">
        <v>2703768974.25</v>
      </c>
      <c r="I3633" s="42">
        <v>8765</v>
      </c>
    </row>
    <row r="3634" spans="1:9" x14ac:dyDescent="0.25">
      <c r="A3634" t="s">
        <v>9</v>
      </c>
      <c r="B3634" s="39">
        <v>45692</v>
      </c>
      <c r="C3634" s="40">
        <v>0.52083333333333337</v>
      </c>
      <c r="D3634" s="41">
        <v>6179.0559999999996</v>
      </c>
      <c r="E3634" s="41">
        <v>6180.1210000000001</v>
      </c>
      <c r="F3634" s="41">
        <v>6159.8779999999997</v>
      </c>
      <c r="G3634" s="41">
        <v>6170.5320000000002</v>
      </c>
      <c r="H3634" s="41">
        <v>5351297169.3599997</v>
      </c>
      <c r="I3634" s="42">
        <v>17345</v>
      </c>
    </row>
    <row r="3635" spans="1:9" x14ac:dyDescent="0.25">
      <c r="A3635" t="s">
        <v>9</v>
      </c>
      <c r="B3635" s="39">
        <v>45692</v>
      </c>
      <c r="C3635" s="40">
        <v>0.5</v>
      </c>
      <c r="D3635" s="41">
        <v>6199.299</v>
      </c>
      <c r="E3635" s="41">
        <v>6199.299</v>
      </c>
      <c r="F3635" s="41">
        <v>6165.2049999999999</v>
      </c>
      <c r="G3635" s="41">
        <v>6178.5230000000001</v>
      </c>
      <c r="H3635" s="41">
        <v>8227385028.0200005</v>
      </c>
      <c r="I3635" s="42">
        <v>26620</v>
      </c>
    </row>
    <row r="3636" spans="1:9" x14ac:dyDescent="0.25">
      <c r="A3636" t="s">
        <v>9</v>
      </c>
      <c r="B3636" s="39">
        <v>45692</v>
      </c>
      <c r="C3636" s="40">
        <v>0.47916666666666669</v>
      </c>
      <c r="D3636" s="41">
        <v>6214.7479999999996</v>
      </c>
      <c r="E3636" s="41">
        <v>6222.7389999999996</v>
      </c>
      <c r="F3636" s="41">
        <v>6197.1679999999997</v>
      </c>
      <c r="G3636" s="41">
        <v>6200.3639999999996</v>
      </c>
      <c r="H3636" s="41">
        <v>5003438956.0600004</v>
      </c>
      <c r="I3636" s="42">
        <v>16115</v>
      </c>
    </row>
    <row r="3637" spans="1:9" x14ac:dyDescent="0.25">
      <c r="A3637" t="s">
        <v>9</v>
      </c>
      <c r="B3637" s="39">
        <v>45692</v>
      </c>
      <c r="C3637" s="40">
        <v>0.45833333333333331</v>
      </c>
      <c r="D3637" s="41">
        <v>6220.6080000000002</v>
      </c>
      <c r="E3637" s="41">
        <v>6223.2719999999999</v>
      </c>
      <c r="F3637" s="41">
        <v>6206.7569999999996</v>
      </c>
      <c r="G3637" s="41">
        <v>6215.8130000000001</v>
      </c>
      <c r="H3637" s="41">
        <v>6497135338.4200001</v>
      </c>
      <c r="I3637" s="42">
        <v>20910</v>
      </c>
    </row>
    <row r="3638" spans="1:9" x14ac:dyDescent="0.25">
      <c r="A3638" t="s">
        <v>9</v>
      </c>
      <c r="B3638" s="39">
        <v>45692</v>
      </c>
      <c r="C3638" s="40">
        <v>0.4375</v>
      </c>
      <c r="D3638" s="41">
        <v>6226.4679999999998</v>
      </c>
      <c r="E3638" s="41">
        <v>6232.8609999999999</v>
      </c>
      <c r="F3638" s="41">
        <v>6219.5429999999997</v>
      </c>
      <c r="G3638" s="41">
        <v>6220.6080000000002</v>
      </c>
      <c r="H3638" s="41">
        <v>3937146604.77</v>
      </c>
      <c r="I3638" s="42">
        <v>12650</v>
      </c>
    </row>
    <row r="3639" spans="1:9" x14ac:dyDescent="0.25">
      <c r="A3639" t="s">
        <v>9</v>
      </c>
      <c r="B3639" s="39">
        <v>45692</v>
      </c>
      <c r="C3639" s="40">
        <v>0.41666666666666669</v>
      </c>
      <c r="D3639" s="41">
        <v>6219.01</v>
      </c>
      <c r="E3639" s="41">
        <v>6233.9260000000004</v>
      </c>
      <c r="F3639" s="41">
        <v>6218.4769999999999</v>
      </c>
      <c r="G3639" s="41">
        <v>6226.4679999999998</v>
      </c>
      <c r="H3639" s="41">
        <v>3906450299.1100001</v>
      </c>
      <c r="I3639" s="42">
        <v>12545</v>
      </c>
    </row>
    <row r="3640" spans="1:9" x14ac:dyDescent="0.25">
      <c r="A3640" t="s">
        <v>9</v>
      </c>
      <c r="B3640" s="39">
        <v>45692</v>
      </c>
      <c r="C3640" s="40">
        <v>0.39583333333333331</v>
      </c>
      <c r="D3640" s="41">
        <v>6220.0749999999998</v>
      </c>
      <c r="E3640" s="41">
        <v>6224.87</v>
      </c>
      <c r="F3640" s="41">
        <v>6208.8879999999999</v>
      </c>
      <c r="G3640" s="41">
        <v>6219.01</v>
      </c>
      <c r="H3640" s="41">
        <v>5500460177.6199999</v>
      </c>
      <c r="I3640" s="42">
        <v>17685</v>
      </c>
    </row>
    <row r="3641" spans="1:9" x14ac:dyDescent="0.25">
      <c r="A3641" t="s">
        <v>9</v>
      </c>
      <c r="B3641" s="39">
        <v>45692</v>
      </c>
      <c r="C3641" s="40">
        <v>0.375</v>
      </c>
      <c r="D3641" s="41">
        <v>6206.2240000000002</v>
      </c>
      <c r="E3641" s="41">
        <v>6237.6549999999997</v>
      </c>
      <c r="F3641" s="41">
        <v>6206.2240000000002</v>
      </c>
      <c r="G3641" s="41">
        <v>6219.5429999999997</v>
      </c>
      <c r="H3641" s="41">
        <v>4870903967.9499998</v>
      </c>
      <c r="I3641" s="42">
        <v>15655</v>
      </c>
    </row>
    <row r="3642" spans="1:9" x14ac:dyDescent="0.25">
      <c r="A3642" t="s">
        <v>9</v>
      </c>
      <c r="B3642" s="39">
        <v>45691</v>
      </c>
      <c r="C3642" s="40">
        <v>0.75</v>
      </c>
      <c r="D3642" s="41">
        <v>6223.8040000000001</v>
      </c>
      <c r="E3642" s="41">
        <v>6223.8040000000001</v>
      </c>
      <c r="F3642" s="41">
        <v>6213.683</v>
      </c>
      <c r="G3642" s="41">
        <v>6219.01</v>
      </c>
      <c r="H3642" s="41">
        <v>1329233033.1800001</v>
      </c>
      <c r="I3642" s="42">
        <v>4275</v>
      </c>
    </row>
    <row r="3643" spans="1:9" x14ac:dyDescent="0.25">
      <c r="A3643" t="s">
        <v>9</v>
      </c>
      <c r="B3643" s="39">
        <v>45691</v>
      </c>
      <c r="C3643" s="40">
        <v>0.72916666666666663</v>
      </c>
      <c r="D3643" s="41">
        <v>6221.6729999999998</v>
      </c>
      <c r="E3643" s="41">
        <v>6224.87</v>
      </c>
      <c r="F3643" s="41">
        <v>6217.9440000000004</v>
      </c>
      <c r="G3643" s="41">
        <v>6223.8040000000001</v>
      </c>
      <c r="H3643" s="41">
        <v>1304927806.8800001</v>
      </c>
      <c r="I3643" s="42">
        <v>4195</v>
      </c>
    </row>
    <row r="3644" spans="1:9" x14ac:dyDescent="0.25">
      <c r="A3644" t="s">
        <v>9</v>
      </c>
      <c r="B3644" s="39">
        <v>45691</v>
      </c>
      <c r="C3644" s="40">
        <v>0.70833333333333337</v>
      </c>
      <c r="D3644" s="41">
        <v>6228.5990000000002</v>
      </c>
      <c r="E3644" s="41">
        <v>6228.5990000000002</v>
      </c>
      <c r="F3644" s="41">
        <v>6204.0940000000001</v>
      </c>
      <c r="G3644" s="41">
        <v>6221.1409999999996</v>
      </c>
      <c r="H3644" s="41">
        <v>4845156393.7799997</v>
      </c>
      <c r="I3644" s="42">
        <v>15585</v>
      </c>
    </row>
    <row r="3645" spans="1:9" x14ac:dyDescent="0.25">
      <c r="A3645" t="s">
        <v>9</v>
      </c>
      <c r="B3645" s="39">
        <v>45691</v>
      </c>
      <c r="C3645" s="40">
        <v>0.6875</v>
      </c>
      <c r="D3645" s="41">
        <v>6227.0010000000002</v>
      </c>
      <c r="E3645" s="41">
        <v>6229.6639999999998</v>
      </c>
      <c r="F3645" s="41">
        <v>6223.2719999999999</v>
      </c>
      <c r="G3645" s="41">
        <v>6228.0659999999998</v>
      </c>
      <c r="H3645" s="41">
        <v>1914596796.3099999</v>
      </c>
      <c r="I3645" s="42">
        <v>6150</v>
      </c>
    </row>
    <row r="3646" spans="1:9" x14ac:dyDescent="0.25">
      <c r="A3646" t="s">
        <v>9</v>
      </c>
      <c r="B3646" s="39">
        <v>45691</v>
      </c>
      <c r="C3646" s="40">
        <v>0.66666666666666663</v>
      </c>
      <c r="D3646" s="41">
        <v>6230.73</v>
      </c>
      <c r="E3646" s="41">
        <v>6231.2619999999997</v>
      </c>
      <c r="F3646" s="41">
        <v>6225.402</v>
      </c>
      <c r="G3646" s="41">
        <v>6227.5330000000004</v>
      </c>
      <c r="H3646" s="41">
        <v>2692410784.46</v>
      </c>
      <c r="I3646" s="42">
        <v>8645</v>
      </c>
    </row>
    <row r="3647" spans="1:9" x14ac:dyDescent="0.25">
      <c r="A3647" t="s">
        <v>9</v>
      </c>
      <c r="B3647" s="39">
        <v>45691</v>
      </c>
      <c r="C3647" s="40">
        <v>0.64583333333333337</v>
      </c>
      <c r="D3647" s="41">
        <v>6237.6549999999997</v>
      </c>
      <c r="E3647" s="41">
        <v>6238.1880000000001</v>
      </c>
      <c r="F3647" s="41">
        <v>6228.0659999999998</v>
      </c>
      <c r="G3647" s="41">
        <v>6231.2619999999997</v>
      </c>
      <c r="H3647" s="41">
        <v>6043952302.5200005</v>
      </c>
      <c r="I3647" s="42">
        <v>19400</v>
      </c>
    </row>
    <row r="3648" spans="1:9" x14ac:dyDescent="0.25">
      <c r="A3648" t="s">
        <v>9</v>
      </c>
      <c r="B3648" s="39">
        <v>45691</v>
      </c>
      <c r="C3648" s="40">
        <v>0.625</v>
      </c>
      <c r="D3648" s="41">
        <v>6246.1790000000001</v>
      </c>
      <c r="E3648" s="41">
        <v>6250.44</v>
      </c>
      <c r="F3648" s="41">
        <v>6232.3280000000004</v>
      </c>
      <c r="G3648" s="41">
        <v>6237.6549999999997</v>
      </c>
      <c r="H3648" s="41">
        <v>3313261099.6100001</v>
      </c>
      <c r="I3648" s="42">
        <v>10620</v>
      </c>
    </row>
    <row r="3649" spans="1:9" x14ac:dyDescent="0.25">
      <c r="A3649" t="s">
        <v>9</v>
      </c>
      <c r="B3649" s="39">
        <v>45691</v>
      </c>
      <c r="C3649" s="40">
        <v>0.60416666666666663</v>
      </c>
      <c r="D3649" s="41">
        <v>6232.8609999999999</v>
      </c>
      <c r="E3649" s="41">
        <v>6252.5709999999999</v>
      </c>
      <c r="F3649" s="41">
        <v>6232.8609999999999</v>
      </c>
      <c r="G3649" s="41">
        <v>6246.7110000000002</v>
      </c>
      <c r="H3649" s="41">
        <v>4577653737.3999996</v>
      </c>
      <c r="I3649" s="42">
        <v>14665</v>
      </c>
    </row>
    <row r="3650" spans="1:9" x14ac:dyDescent="0.25">
      <c r="A3650" t="s">
        <v>9</v>
      </c>
      <c r="B3650" s="39">
        <v>45691</v>
      </c>
      <c r="C3650" s="40">
        <v>0.58333333333333337</v>
      </c>
      <c r="D3650" s="41">
        <v>6246.1790000000001</v>
      </c>
      <c r="E3650" s="41">
        <v>6247.777</v>
      </c>
      <c r="F3650" s="41">
        <v>6230.73</v>
      </c>
      <c r="G3650" s="41">
        <v>6232.3280000000004</v>
      </c>
      <c r="H3650" s="41">
        <v>2336419886.7199998</v>
      </c>
      <c r="I3650" s="42">
        <v>7490</v>
      </c>
    </row>
    <row r="3651" spans="1:9" x14ac:dyDescent="0.25">
      <c r="A3651" t="s">
        <v>9</v>
      </c>
      <c r="B3651" s="39">
        <v>45691</v>
      </c>
      <c r="C3651" s="40">
        <v>0.5625</v>
      </c>
      <c r="D3651" s="41">
        <v>6238.1880000000001</v>
      </c>
      <c r="E3651" s="41">
        <v>6248.8419999999996</v>
      </c>
      <c r="F3651" s="41">
        <v>6235.5240000000003</v>
      </c>
      <c r="G3651" s="41">
        <v>6246.7110000000002</v>
      </c>
      <c r="H3651" s="41">
        <v>1864719394.9300001</v>
      </c>
      <c r="I3651" s="42">
        <v>5975</v>
      </c>
    </row>
    <row r="3652" spans="1:9" x14ac:dyDescent="0.25">
      <c r="A3652" t="s">
        <v>9</v>
      </c>
      <c r="B3652" s="39">
        <v>45691</v>
      </c>
      <c r="C3652" s="40">
        <v>0.54166666666666663</v>
      </c>
      <c r="D3652" s="41">
        <v>6238.7209999999995</v>
      </c>
      <c r="E3652" s="41">
        <v>6251.5060000000003</v>
      </c>
      <c r="F3652" s="41">
        <v>6227.5330000000004</v>
      </c>
      <c r="G3652" s="41">
        <v>6239.7860000000001</v>
      </c>
      <c r="H3652" s="41">
        <v>7064025328.96</v>
      </c>
      <c r="I3652" s="42">
        <v>22650</v>
      </c>
    </row>
    <row r="3653" spans="1:9" x14ac:dyDescent="0.25">
      <c r="A3653" t="s">
        <v>9</v>
      </c>
      <c r="B3653" s="39">
        <v>45691</v>
      </c>
      <c r="C3653" s="40">
        <v>0.52083333333333337</v>
      </c>
      <c r="D3653" s="41">
        <v>6254.17</v>
      </c>
      <c r="E3653" s="41">
        <v>6262.6930000000002</v>
      </c>
      <c r="F3653" s="41">
        <v>6236.0569999999998</v>
      </c>
      <c r="G3653" s="41">
        <v>6239.2529999999997</v>
      </c>
      <c r="H3653" s="41">
        <v>9501823225.8199997</v>
      </c>
      <c r="I3653" s="42">
        <v>30405</v>
      </c>
    </row>
    <row r="3654" spans="1:9" x14ac:dyDescent="0.25">
      <c r="A3654" t="s">
        <v>9</v>
      </c>
      <c r="B3654" s="39">
        <v>45691</v>
      </c>
      <c r="C3654" s="40">
        <v>0.5</v>
      </c>
      <c r="D3654" s="41">
        <v>6317.5640000000003</v>
      </c>
      <c r="E3654" s="41">
        <v>6322.8909999999996</v>
      </c>
      <c r="F3654" s="41">
        <v>6249.375</v>
      </c>
      <c r="G3654" s="41">
        <v>6254.17</v>
      </c>
      <c r="H3654" s="41">
        <v>9925528560.2099991</v>
      </c>
      <c r="I3654" s="42">
        <v>31535</v>
      </c>
    </row>
    <row r="3655" spans="1:9" x14ac:dyDescent="0.25">
      <c r="A3655" t="s">
        <v>9</v>
      </c>
      <c r="B3655" s="39">
        <v>45691</v>
      </c>
      <c r="C3655" s="40">
        <v>0.47916666666666669</v>
      </c>
      <c r="D3655" s="41">
        <v>6309.04</v>
      </c>
      <c r="E3655" s="41">
        <v>6322.8909999999996</v>
      </c>
      <c r="F3655" s="41">
        <v>6306.3760000000002</v>
      </c>
      <c r="G3655" s="41">
        <v>6317.0309999999999</v>
      </c>
      <c r="H3655" s="41">
        <v>4793008126.8900003</v>
      </c>
      <c r="I3655" s="42">
        <v>15180</v>
      </c>
    </row>
    <row r="3656" spans="1:9" x14ac:dyDescent="0.25">
      <c r="A3656" t="s">
        <v>9</v>
      </c>
      <c r="B3656" s="39">
        <v>45691</v>
      </c>
      <c r="C3656" s="40">
        <v>0.45833333333333331</v>
      </c>
      <c r="D3656" s="41">
        <v>6297.8530000000001</v>
      </c>
      <c r="E3656" s="41">
        <v>6313.8339999999998</v>
      </c>
      <c r="F3656" s="41">
        <v>6294.6559999999999</v>
      </c>
      <c r="G3656" s="41">
        <v>6308.5069999999996</v>
      </c>
      <c r="H3656" s="41">
        <v>8057748537.7399998</v>
      </c>
      <c r="I3656" s="42">
        <v>25555</v>
      </c>
    </row>
    <row r="3657" spans="1:9" x14ac:dyDescent="0.25">
      <c r="A3657" t="s">
        <v>9</v>
      </c>
      <c r="B3657" s="39">
        <v>45691</v>
      </c>
      <c r="C3657" s="40">
        <v>0.4375</v>
      </c>
      <c r="D3657" s="41">
        <v>6297.32</v>
      </c>
      <c r="E3657" s="41">
        <v>6311.7039999999997</v>
      </c>
      <c r="F3657" s="41">
        <v>6289.8620000000001</v>
      </c>
      <c r="G3657" s="41">
        <v>6298.3860000000004</v>
      </c>
      <c r="H3657" s="41">
        <v>4165065136.0300002</v>
      </c>
      <c r="I3657" s="42">
        <v>13220</v>
      </c>
    </row>
    <row r="3658" spans="1:9" x14ac:dyDescent="0.25">
      <c r="A3658" t="s">
        <v>9</v>
      </c>
      <c r="B3658" s="39">
        <v>45691</v>
      </c>
      <c r="C3658" s="40">
        <v>0.41666666666666669</v>
      </c>
      <c r="D3658" s="41">
        <v>6274.4129999999996</v>
      </c>
      <c r="E3658" s="41">
        <v>6300.5159999999996</v>
      </c>
      <c r="F3658" s="41">
        <v>6257.366</v>
      </c>
      <c r="G3658" s="41">
        <v>6297.32</v>
      </c>
      <c r="H3658" s="41">
        <v>5750582076.0799999</v>
      </c>
      <c r="I3658" s="42">
        <v>18315</v>
      </c>
    </row>
    <row r="3659" spans="1:9" x14ac:dyDescent="0.25">
      <c r="A3659" t="s">
        <v>9</v>
      </c>
      <c r="B3659" s="39">
        <v>45691</v>
      </c>
      <c r="C3659" s="40">
        <v>0.39583333333333331</v>
      </c>
      <c r="D3659" s="41">
        <v>6276.0110000000004</v>
      </c>
      <c r="E3659" s="41">
        <v>6280.2730000000001</v>
      </c>
      <c r="F3659" s="41">
        <v>6264.2910000000002</v>
      </c>
      <c r="G3659" s="41">
        <v>6274.4129999999996</v>
      </c>
      <c r="H3659" s="41">
        <v>4462604586.8400002</v>
      </c>
      <c r="I3659" s="42">
        <v>14230</v>
      </c>
    </row>
    <row r="3660" spans="1:9" x14ac:dyDescent="0.25">
      <c r="A3660" t="s">
        <v>9</v>
      </c>
      <c r="B3660" s="39">
        <v>45691</v>
      </c>
      <c r="C3660" s="40">
        <v>0.375</v>
      </c>
      <c r="D3660" s="41">
        <v>6296.7870000000003</v>
      </c>
      <c r="E3660" s="41">
        <v>6305.3109999999997</v>
      </c>
      <c r="F3660" s="41">
        <v>6266.9549999999999</v>
      </c>
      <c r="G3660" s="41">
        <v>6276.5439999999999</v>
      </c>
      <c r="H3660" s="41">
        <v>5255602782.2700005</v>
      </c>
      <c r="I3660" s="42">
        <v>16720</v>
      </c>
    </row>
    <row r="3661" spans="1:9" x14ac:dyDescent="0.25">
      <c r="A3661" t="s">
        <v>9</v>
      </c>
      <c r="B3661" s="39">
        <v>45688</v>
      </c>
      <c r="C3661" s="40">
        <v>0.75</v>
      </c>
      <c r="D3661" s="41">
        <v>6258.4309999999996</v>
      </c>
      <c r="E3661" s="41">
        <v>6260.5619999999999</v>
      </c>
      <c r="F3661" s="41">
        <v>6252.0389999999998</v>
      </c>
      <c r="G3661" s="41">
        <v>6260.5619999999999</v>
      </c>
      <c r="H3661" s="41">
        <v>2762087373.5799999</v>
      </c>
      <c r="I3661" s="42">
        <v>8830</v>
      </c>
    </row>
    <row r="3662" spans="1:9" x14ac:dyDescent="0.25">
      <c r="A3662" t="s">
        <v>9</v>
      </c>
      <c r="B3662" s="39">
        <v>45688</v>
      </c>
      <c r="C3662" s="40">
        <v>0.72916666666666663</v>
      </c>
      <c r="D3662" s="41">
        <v>6260.0290000000005</v>
      </c>
      <c r="E3662" s="41">
        <v>6263.759</v>
      </c>
      <c r="F3662" s="41">
        <v>6250.973</v>
      </c>
      <c r="G3662" s="41">
        <v>6261.6279999999997</v>
      </c>
      <c r="H3662" s="41">
        <v>1677000417.1900001</v>
      </c>
      <c r="I3662" s="42">
        <v>5360</v>
      </c>
    </row>
    <row r="3663" spans="1:9" x14ac:dyDescent="0.25">
      <c r="A3663" t="s">
        <v>9</v>
      </c>
      <c r="B3663" s="39">
        <v>45688</v>
      </c>
      <c r="C3663" s="40">
        <v>0.70833333333333337</v>
      </c>
      <c r="D3663" s="41">
        <v>6251.5060000000003</v>
      </c>
      <c r="E3663" s="41">
        <v>6262.6930000000002</v>
      </c>
      <c r="F3663" s="41">
        <v>6251.5060000000003</v>
      </c>
      <c r="G3663" s="41">
        <v>6261.0950000000003</v>
      </c>
      <c r="H3663" s="41">
        <v>1440240679.73</v>
      </c>
      <c r="I3663" s="42">
        <v>4605</v>
      </c>
    </row>
    <row r="3664" spans="1:9" x14ac:dyDescent="0.25">
      <c r="A3664" t="s">
        <v>9</v>
      </c>
      <c r="B3664" s="39">
        <v>45688</v>
      </c>
      <c r="C3664" s="40">
        <v>0.6875</v>
      </c>
      <c r="D3664" s="41">
        <v>6255.2349999999997</v>
      </c>
      <c r="E3664" s="41">
        <v>6255.768</v>
      </c>
      <c r="F3664" s="41">
        <v>6247.777</v>
      </c>
      <c r="G3664" s="41">
        <v>6251.5060000000003</v>
      </c>
      <c r="H3664" s="41">
        <v>2092923865.3299999</v>
      </c>
      <c r="I3664" s="42">
        <v>6695</v>
      </c>
    </row>
    <row r="3665" spans="1:9" x14ac:dyDescent="0.25">
      <c r="A3665" t="s">
        <v>9</v>
      </c>
      <c r="B3665" s="39">
        <v>45688</v>
      </c>
      <c r="C3665" s="40">
        <v>0.66666666666666663</v>
      </c>
      <c r="D3665" s="41">
        <v>6255.2349999999997</v>
      </c>
      <c r="E3665" s="41">
        <v>6258.4309999999996</v>
      </c>
      <c r="F3665" s="41">
        <v>6251.5060000000003</v>
      </c>
      <c r="G3665" s="41">
        <v>6255.768</v>
      </c>
      <c r="H3665" s="41">
        <v>4583539262.5</v>
      </c>
      <c r="I3665" s="42">
        <v>14655</v>
      </c>
    </row>
    <row r="3666" spans="1:9" x14ac:dyDescent="0.25">
      <c r="A3666" t="s">
        <v>9</v>
      </c>
      <c r="B3666" s="39">
        <v>45688</v>
      </c>
      <c r="C3666" s="40">
        <v>0.64583333333333337</v>
      </c>
      <c r="D3666" s="41">
        <v>6263.759</v>
      </c>
      <c r="E3666" s="41">
        <v>6274.4129999999996</v>
      </c>
      <c r="F3666" s="41">
        <v>6253.6369999999997</v>
      </c>
      <c r="G3666" s="41">
        <v>6255.2349999999997</v>
      </c>
      <c r="H3666" s="41">
        <v>5260947992.9499998</v>
      </c>
      <c r="I3666" s="42">
        <v>16805</v>
      </c>
    </row>
    <row r="3667" spans="1:9" x14ac:dyDescent="0.25">
      <c r="A3667" t="s">
        <v>9</v>
      </c>
      <c r="B3667" s="39">
        <v>45688</v>
      </c>
      <c r="C3667" s="40">
        <v>0.625</v>
      </c>
      <c r="D3667" s="41">
        <v>6253.6369999999997</v>
      </c>
      <c r="E3667" s="41">
        <v>6271.2169999999996</v>
      </c>
      <c r="F3667" s="41">
        <v>6246.1790000000001</v>
      </c>
      <c r="G3667" s="41">
        <v>6263.759</v>
      </c>
      <c r="H3667" s="41">
        <v>5751861810.21</v>
      </c>
      <c r="I3667" s="42">
        <v>18385</v>
      </c>
    </row>
    <row r="3668" spans="1:9" x14ac:dyDescent="0.25">
      <c r="A3668" t="s">
        <v>9</v>
      </c>
      <c r="B3668" s="39">
        <v>45688</v>
      </c>
      <c r="C3668" s="40">
        <v>0.60416666666666663</v>
      </c>
      <c r="D3668" s="41">
        <v>6241.384</v>
      </c>
      <c r="E3668" s="41">
        <v>6260.0290000000005</v>
      </c>
      <c r="F3668" s="41">
        <v>6240.8509999999997</v>
      </c>
      <c r="G3668" s="41">
        <v>6252.5709999999999</v>
      </c>
      <c r="H3668" s="41">
        <v>7276382618.1400003</v>
      </c>
      <c r="I3668" s="42">
        <v>23280</v>
      </c>
    </row>
    <row r="3669" spans="1:9" x14ac:dyDescent="0.25">
      <c r="A3669" t="s">
        <v>9</v>
      </c>
      <c r="B3669" s="39">
        <v>45688</v>
      </c>
      <c r="C3669" s="40">
        <v>0.58333333333333337</v>
      </c>
      <c r="D3669" s="41">
        <v>6252.5709999999999</v>
      </c>
      <c r="E3669" s="41">
        <v>6261.0950000000003</v>
      </c>
      <c r="F3669" s="41">
        <v>6231.2619999999997</v>
      </c>
      <c r="G3669" s="41">
        <v>6242.45</v>
      </c>
      <c r="H3669" s="41">
        <v>5017376058.5100002</v>
      </c>
      <c r="I3669" s="42">
        <v>16070</v>
      </c>
    </row>
    <row r="3670" spans="1:9" x14ac:dyDescent="0.25">
      <c r="A3670" t="s">
        <v>9</v>
      </c>
      <c r="B3670" s="39">
        <v>45688</v>
      </c>
      <c r="C3670" s="40">
        <v>0.5625</v>
      </c>
      <c r="D3670" s="41">
        <v>6257.366</v>
      </c>
      <c r="E3670" s="41">
        <v>6257.366</v>
      </c>
      <c r="F3670" s="41">
        <v>6245.1130000000003</v>
      </c>
      <c r="G3670" s="41">
        <v>6252.5709999999999</v>
      </c>
      <c r="H3670" s="41">
        <v>2670201557.3000002</v>
      </c>
      <c r="I3670" s="42">
        <v>8545</v>
      </c>
    </row>
    <row r="3671" spans="1:9" x14ac:dyDescent="0.25">
      <c r="A3671" t="s">
        <v>9</v>
      </c>
      <c r="B3671" s="39">
        <v>45688</v>
      </c>
      <c r="C3671" s="40">
        <v>0.54166666666666663</v>
      </c>
      <c r="D3671" s="41">
        <v>6256.8329999999996</v>
      </c>
      <c r="E3671" s="41">
        <v>6270.1509999999998</v>
      </c>
      <c r="F3671" s="41">
        <v>6253.1040000000003</v>
      </c>
      <c r="G3671" s="41">
        <v>6257.8990000000003</v>
      </c>
      <c r="H3671" s="41">
        <v>3181802744.9299998</v>
      </c>
      <c r="I3671" s="42">
        <v>10165</v>
      </c>
    </row>
    <row r="3672" spans="1:9" x14ac:dyDescent="0.25">
      <c r="A3672" t="s">
        <v>9</v>
      </c>
      <c r="B3672" s="39">
        <v>45688</v>
      </c>
      <c r="C3672" s="40">
        <v>0.52083333333333337</v>
      </c>
      <c r="D3672" s="41">
        <v>6234.991</v>
      </c>
      <c r="E3672" s="41">
        <v>6267.4880000000003</v>
      </c>
      <c r="F3672" s="41">
        <v>6231.7950000000001</v>
      </c>
      <c r="G3672" s="41">
        <v>6256.8329999999996</v>
      </c>
      <c r="H3672" s="41">
        <v>4031399842.6199999</v>
      </c>
      <c r="I3672" s="42">
        <v>12900</v>
      </c>
    </row>
    <row r="3673" spans="1:9" x14ac:dyDescent="0.25">
      <c r="A3673" t="s">
        <v>9</v>
      </c>
      <c r="B3673" s="39">
        <v>45688</v>
      </c>
      <c r="C3673" s="40">
        <v>0.5</v>
      </c>
      <c r="D3673" s="41">
        <v>6230.73</v>
      </c>
      <c r="E3673" s="41">
        <v>6248.31</v>
      </c>
      <c r="F3673" s="41">
        <v>6230.73</v>
      </c>
      <c r="G3673" s="41">
        <v>6234.4589999999998</v>
      </c>
      <c r="H3673" s="41">
        <v>4520851601.2700005</v>
      </c>
      <c r="I3673" s="42">
        <v>14490</v>
      </c>
    </row>
    <row r="3674" spans="1:9" x14ac:dyDescent="0.25">
      <c r="A3674" t="s">
        <v>9</v>
      </c>
      <c r="B3674" s="39">
        <v>45688</v>
      </c>
      <c r="C3674" s="40">
        <v>0.47916666666666669</v>
      </c>
      <c r="D3674" s="41">
        <v>6246.1790000000001</v>
      </c>
      <c r="E3674" s="41">
        <v>6252.5709999999999</v>
      </c>
      <c r="F3674" s="41">
        <v>6228.0659999999998</v>
      </c>
      <c r="G3674" s="41">
        <v>6231.2619999999997</v>
      </c>
      <c r="H3674" s="41">
        <v>10690812234.51</v>
      </c>
      <c r="I3674" s="42">
        <v>34265</v>
      </c>
    </row>
    <row r="3675" spans="1:9" x14ac:dyDescent="0.25">
      <c r="A3675" t="s">
        <v>9</v>
      </c>
      <c r="B3675" s="39">
        <v>45688</v>
      </c>
      <c r="C3675" s="40">
        <v>0.45833333333333331</v>
      </c>
      <c r="D3675" s="41">
        <v>6228.0659999999998</v>
      </c>
      <c r="E3675" s="41">
        <v>6252.0389999999998</v>
      </c>
      <c r="F3675" s="41">
        <v>6225.402</v>
      </c>
      <c r="G3675" s="41">
        <v>6246.1790000000001</v>
      </c>
      <c r="H3675" s="41">
        <v>8566267922.0799999</v>
      </c>
      <c r="I3675" s="42">
        <v>27470</v>
      </c>
    </row>
    <row r="3676" spans="1:9" x14ac:dyDescent="0.25">
      <c r="A3676" t="s">
        <v>9</v>
      </c>
      <c r="B3676" s="39">
        <v>45688</v>
      </c>
      <c r="C3676" s="40">
        <v>0.4375</v>
      </c>
      <c r="D3676" s="41">
        <v>6249.375</v>
      </c>
      <c r="E3676" s="41">
        <v>6257.8990000000003</v>
      </c>
      <c r="F3676" s="41">
        <v>6224.87</v>
      </c>
      <c r="G3676" s="41">
        <v>6227.5330000000004</v>
      </c>
      <c r="H3676" s="41">
        <v>6672491676.9200001</v>
      </c>
      <c r="I3676" s="42">
        <v>21385</v>
      </c>
    </row>
    <row r="3677" spans="1:9" x14ac:dyDescent="0.25">
      <c r="A3677" t="s">
        <v>9</v>
      </c>
      <c r="B3677" s="39">
        <v>45688</v>
      </c>
      <c r="C3677" s="40">
        <v>0.41666666666666669</v>
      </c>
      <c r="D3677" s="41">
        <v>6273.348</v>
      </c>
      <c r="E3677" s="41">
        <v>6273.88</v>
      </c>
      <c r="F3677" s="41">
        <v>6242.982</v>
      </c>
      <c r="G3677" s="41">
        <v>6249.375</v>
      </c>
      <c r="H3677" s="41">
        <v>8834425561.5499992</v>
      </c>
      <c r="I3677" s="42">
        <v>28250</v>
      </c>
    </row>
    <row r="3678" spans="1:9" x14ac:dyDescent="0.25">
      <c r="A3678" t="s">
        <v>9</v>
      </c>
      <c r="B3678" s="39">
        <v>45688</v>
      </c>
      <c r="C3678" s="40">
        <v>0.39583333333333331</v>
      </c>
      <c r="D3678" s="41">
        <v>6271.2169999999996</v>
      </c>
      <c r="E3678" s="41">
        <v>6290.3950000000004</v>
      </c>
      <c r="F3678" s="41">
        <v>6271.2169999999996</v>
      </c>
      <c r="G3678" s="41">
        <v>6273.348</v>
      </c>
      <c r="H3678" s="41">
        <v>2774919475.0799999</v>
      </c>
      <c r="I3678" s="42">
        <v>8835</v>
      </c>
    </row>
    <row r="3679" spans="1:9" x14ac:dyDescent="0.25">
      <c r="A3679" t="s">
        <v>9</v>
      </c>
      <c r="B3679" s="39">
        <v>45688</v>
      </c>
      <c r="C3679" s="40">
        <v>0.375</v>
      </c>
      <c r="D3679" s="41">
        <v>6285.6</v>
      </c>
      <c r="E3679" s="41">
        <v>6291.9930000000004</v>
      </c>
      <c r="F3679" s="41">
        <v>6266.4219999999996</v>
      </c>
      <c r="G3679" s="41">
        <v>6271.2169999999996</v>
      </c>
      <c r="H3679" s="41">
        <v>5837124812.5799999</v>
      </c>
      <c r="I3679" s="42">
        <v>18605</v>
      </c>
    </row>
    <row r="3680" spans="1:9" x14ac:dyDescent="0.25">
      <c r="A3680" t="s">
        <v>9</v>
      </c>
      <c r="B3680" s="39">
        <v>45687</v>
      </c>
      <c r="C3680" s="40">
        <v>0.75</v>
      </c>
      <c r="D3680" s="41">
        <v>6296.8159999999998</v>
      </c>
      <c r="E3680" s="41">
        <v>6302.7020000000002</v>
      </c>
      <c r="F3680" s="41">
        <v>6281.8329999999996</v>
      </c>
      <c r="G3680" s="41">
        <v>6290.3950000000004</v>
      </c>
      <c r="H3680" s="41">
        <v>1827648063.0799999</v>
      </c>
      <c r="I3680" s="42">
        <v>5810</v>
      </c>
    </row>
    <row r="3681" spans="1:9" x14ac:dyDescent="0.25">
      <c r="A3681" t="s">
        <v>9</v>
      </c>
      <c r="B3681" s="39">
        <v>45687</v>
      </c>
      <c r="C3681" s="40">
        <v>0.72916666666666663</v>
      </c>
      <c r="D3681" s="41">
        <v>6267.9210000000003</v>
      </c>
      <c r="E3681" s="41">
        <v>6310.7280000000001</v>
      </c>
      <c r="F3681" s="41">
        <v>6263.1059999999998</v>
      </c>
      <c r="G3681" s="41">
        <v>6295.7449999999999</v>
      </c>
      <c r="H3681" s="41">
        <v>5240415523.4300003</v>
      </c>
      <c r="I3681" s="42">
        <v>16670</v>
      </c>
    </row>
    <row r="3682" spans="1:9" x14ac:dyDescent="0.25">
      <c r="A3682" t="s">
        <v>9</v>
      </c>
      <c r="B3682" s="39">
        <v>45687</v>
      </c>
      <c r="C3682" s="40">
        <v>0.70833333333333337</v>
      </c>
      <c r="D3682" s="41">
        <v>6265.7809999999999</v>
      </c>
      <c r="E3682" s="41">
        <v>6270.5969999999998</v>
      </c>
      <c r="F3682" s="41">
        <v>6259.8950000000004</v>
      </c>
      <c r="G3682" s="41">
        <v>6268.4560000000001</v>
      </c>
      <c r="H3682" s="41">
        <v>2964362138.5799999</v>
      </c>
      <c r="I3682" s="42">
        <v>9460</v>
      </c>
    </row>
    <row r="3683" spans="1:9" x14ac:dyDescent="0.25">
      <c r="A3683" t="s">
        <v>9</v>
      </c>
      <c r="B3683" s="39">
        <v>45687</v>
      </c>
      <c r="C3683" s="40">
        <v>0.6875</v>
      </c>
      <c r="D3683" s="41">
        <v>6281.2979999999998</v>
      </c>
      <c r="E3683" s="41">
        <v>6282.3680000000004</v>
      </c>
      <c r="F3683" s="41">
        <v>6264.1760000000004</v>
      </c>
      <c r="G3683" s="41">
        <v>6266.3159999999998</v>
      </c>
      <c r="H3683" s="41">
        <v>3625267865.54</v>
      </c>
      <c r="I3683" s="42">
        <v>11555</v>
      </c>
    </row>
    <row r="3684" spans="1:9" x14ac:dyDescent="0.25">
      <c r="A3684" t="s">
        <v>9</v>
      </c>
      <c r="B3684" s="39">
        <v>45687</v>
      </c>
      <c r="C3684" s="40">
        <v>0.66666666666666663</v>
      </c>
      <c r="D3684" s="41">
        <v>6276.4830000000002</v>
      </c>
      <c r="E3684" s="41">
        <v>6286.1139999999996</v>
      </c>
      <c r="F3684" s="41">
        <v>6273.2719999999999</v>
      </c>
      <c r="G3684" s="41">
        <v>6281.8329999999996</v>
      </c>
      <c r="H3684" s="41">
        <v>5616325464.4499998</v>
      </c>
      <c r="I3684" s="42">
        <v>17885</v>
      </c>
    </row>
    <row r="3685" spans="1:9" x14ac:dyDescent="0.25">
      <c r="A3685" t="s">
        <v>9</v>
      </c>
      <c r="B3685" s="39">
        <v>45687</v>
      </c>
      <c r="C3685" s="40">
        <v>0.64583333333333337</v>
      </c>
      <c r="D3685" s="41">
        <v>6282.9040000000005</v>
      </c>
      <c r="E3685" s="41">
        <v>6287.1840000000002</v>
      </c>
      <c r="F3685" s="41">
        <v>6273.2719999999999</v>
      </c>
      <c r="G3685" s="41">
        <v>6276.4830000000002</v>
      </c>
      <c r="H3685" s="41">
        <v>3761346877.8600001</v>
      </c>
      <c r="I3685" s="42">
        <v>11980</v>
      </c>
    </row>
    <row r="3686" spans="1:9" x14ac:dyDescent="0.25">
      <c r="A3686" t="s">
        <v>9</v>
      </c>
      <c r="B3686" s="39">
        <v>45687</v>
      </c>
      <c r="C3686" s="40">
        <v>0.625</v>
      </c>
      <c r="D3686" s="41">
        <v>6286.6490000000003</v>
      </c>
      <c r="E3686" s="41">
        <v>6287.1840000000002</v>
      </c>
      <c r="F3686" s="41">
        <v>6276.4830000000002</v>
      </c>
      <c r="G3686" s="41">
        <v>6283.9740000000002</v>
      </c>
      <c r="H3686" s="41">
        <v>3466016967.6399999</v>
      </c>
      <c r="I3686" s="42">
        <v>11035</v>
      </c>
    </row>
    <row r="3687" spans="1:9" x14ac:dyDescent="0.25">
      <c r="A3687" t="s">
        <v>9</v>
      </c>
      <c r="B3687" s="39">
        <v>45687</v>
      </c>
      <c r="C3687" s="40">
        <v>0.60416666666666663</v>
      </c>
      <c r="D3687" s="41">
        <v>6297.3509999999997</v>
      </c>
      <c r="E3687" s="41">
        <v>6300.0259999999998</v>
      </c>
      <c r="F3687" s="41">
        <v>6279.1580000000004</v>
      </c>
      <c r="G3687" s="41">
        <v>6286.1139999999996</v>
      </c>
      <c r="H3687" s="41">
        <v>3182673507.21</v>
      </c>
      <c r="I3687" s="42">
        <v>10125</v>
      </c>
    </row>
    <row r="3688" spans="1:9" x14ac:dyDescent="0.25">
      <c r="A3688" t="s">
        <v>9</v>
      </c>
      <c r="B3688" s="39">
        <v>45687</v>
      </c>
      <c r="C3688" s="40">
        <v>0.58333333333333337</v>
      </c>
      <c r="D3688" s="41">
        <v>6312.3329999999996</v>
      </c>
      <c r="E3688" s="41">
        <v>6312.8680000000004</v>
      </c>
      <c r="F3688" s="41">
        <v>6296.8159999999998</v>
      </c>
      <c r="G3688" s="41">
        <v>6296.8159999999998</v>
      </c>
      <c r="H3688" s="41">
        <v>3418925422.8600001</v>
      </c>
      <c r="I3688" s="42">
        <v>10840</v>
      </c>
    </row>
    <row r="3689" spans="1:9" x14ac:dyDescent="0.25">
      <c r="A3689" t="s">
        <v>9</v>
      </c>
      <c r="B3689" s="39">
        <v>45687</v>
      </c>
      <c r="C3689" s="40">
        <v>0.5625</v>
      </c>
      <c r="D3689" s="41">
        <v>6295.7449999999999</v>
      </c>
      <c r="E3689" s="41">
        <v>6315.5429999999997</v>
      </c>
      <c r="F3689" s="41">
        <v>6295.7449999999999</v>
      </c>
      <c r="G3689" s="41">
        <v>6312.3329999999996</v>
      </c>
      <c r="H3689" s="41">
        <v>1725739495.5999999</v>
      </c>
      <c r="I3689" s="42">
        <v>5475</v>
      </c>
    </row>
    <row r="3690" spans="1:9" x14ac:dyDescent="0.25">
      <c r="A3690" t="s">
        <v>9</v>
      </c>
      <c r="B3690" s="39">
        <v>45687</v>
      </c>
      <c r="C3690" s="40">
        <v>0.54166666666666663</v>
      </c>
      <c r="D3690" s="41">
        <v>6299.491</v>
      </c>
      <c r="E3690" s="41">
        <v>6303.2370000000001</v>
      </c>
      <c r="F3690" s="41">
        <v>6288.7889999999998</v>
      </c>
      <c r="G3690" s="41">
        <v>6295.21</v>
      </c>
      <c r="H3690" s="41">
        <v>2286871354.7800002</v>
      </c>
      <c r="I3690" s="42">
        <v>7265</v>
      </c>
    </row>
    <row r="3691" spans="1:9" x14ac:dyDescent="0.25">
      <c r="A3691" t="s">
        <v>9</v>
      </c>
      <c r="B3691" s="39">
        <v>45687</v>
      </c>
      <c r="C3691" s="40">
        <v>0.52083333333333337</v>
      </c>
      <c r="D3691" s="41">
        <v>6302.7020000000002</v>
      </c>
      <c r="E3691" s="41">
        <v>6305.9120000000003</v>
      </c>
      <c r="F3691" s="41">
        <v>6289.3249999999998</v>
      </c>
      <c r="G3691" s="41">
        <v>6298.9560000000001</v>
      </c>
      <c r="H3691" s="41">
        <v>2980470038.29</v>
      </c>
      <c r="I3691" s="42">
        <v>9465</v>
      </c>
    </row>
    <row r="3692" spans="1:9" x14ac:dyDescent="0.25">
      <c r="A3692" t="s">
        <v>9</v>
      </c>
      <c r="B3692" s="39">
        <v>45687</v>
      </c>
      <c r="C3692" s="40">
        <v>0.5</v>
      </c>
      <c r="D3692" s="41">
        <v>6314.473</v>
      </c>
      <c r="E3692" s="41">
        <v>6318.2190000000001</v>
      </c>
      <c r="F3692" s="41">
        <v>6297.8860000000004</v>
      </c>
      <c r="G3692" s="41">
        <v>6302.1660000000002</v>
      </c>
      <c r="H3692" s="41">
        <v>3734764127.96</v>
      </c>
      <c r="I3692" s="42">
        <v>11840</v>
      </c>
    </row>
    <row r="3693" spans="1:9" x14ac:dyDescent="0.25">
      <c r="A3693" t="s">
        <v>9</v>
      </c>
      <c r="B3693" s="39">
        <v>45687</v>
      </c>
      <c r="C3693" s="40">
        <v>0.47916666666666669</v>
      </c>
      <c r="D3693" s="41">
        <v>6327.3149999999996</v>
      </c>
      <c r="E3693" s="41">
        <v>6327.3149999999996</v>
      </c>
      <c r="F3693" s="41">
        <v>6296.8159999999998</v>
      </c>
      <c r="G3693" s="41">
        <v>6315.0079999999998</v>
      </c>
      <c r="H3693" s="41">
        <v>9190230111.7299995</v>
      </c>
      <c r="I3693" s="42">
        <v>29130</v>
      </c>
    </row>
    <row r="3694" spans="1:9" x14ac:dyDescent="0.25">
      <c r="A3694" t="s">
        <v>9</v>
      </c>
      <c r="B3694" s="39">
        <v>45687</v>
      </c>
      <c r="C3694" s="40">
        <v>0.45833333333333331</v>
      </c>
      <c r="D3694" s="41">
        <v>6315.0079999999998</v>
      </c>
      <c r="E3694" s="41">
        <v>6333.201</v>
      </c>
      <c r="F3694" s="41">
        <v>6315.0079999999998</v>
      </c>
      <c r="G3694" s="41">
        <v>6329.991</v>
      </c>
      <c r="H3694" s="41">
        <v>4711694500.1499996</v>
      </c>
      <c r="I3694" s="42">
        <v>14900</v>
      </c>
    </row>
    <row r="3695" spans="1:9" x14ac:dyDescent="0.25">
      <c r="A3695" t="s">
        <v>9</v>
      </c>
      <c r="B3695" s="39">
        <v>45687</v>
      </c>
      <c r="C3695" s="40">
        <v>0.4375</v>
      </c>
      <c r="D3695" s="41">
        <v>6321.4290000000001</v>
      </c>
      <c r="E3695" s="41">
        <v>6331.5959999999995</v>
      </c>
      <c r="F3695" s="41">
        <v>6311.2629999999999</v>
      </c>
      <c r="G3695" s="41">
        <v>6315.0079999999998</v>
      </c>
      <c r="H3695" s="41">
        <v>6964843940.4700003</v>
      </c>
      <c r="I3695" s="42">
        <v>22040</v>
      </c>
    </row>
    <row r="3696" spans="1:9" x14ac:dyDescent="0.25">
      <c r="A3696" t="s">
        <v>9</v>
      </c>
      <c r="B3696" s="39">
        <v>45687</v>
      </c>
      <c r="C3696" s="40">
        <v>0.41666666666666669</v>
      </c>
      <c r="D3696" s="41">
        <v>6332.6660000000002</v>
      </c>
      <c r="E3696" s="41">
        <v>6336.4120000000003</v>
      </c>
      <c r="F3696" s="41">
        <v>6315.0079999999998</v>
      </c>
      <c r="G3696" s="41">
        <v>6321.9639999999999</v>
      </c>
      <c r="H3696" s="41">
        <v>3582179651.8600001</v>
      </c>
      <c r="I3696" s="42">
        <v>11325</v>
      </c>
    </row>
    <row r="3697" spans="1:9" x14ac:dyDescent="0.25">
      <c r="A3697" t="s">
        <v>9</v>
      </c>
      <c r="B3697" s="39">
        <v>45687</v>
      </c>
      <c r="C3697" s="40">
        <v>0.39583333333333331</v>
      </c>
      <c r="D3697" s="41">
        <v>6323.0349999999999</v>
      </c>
      <c r="E3697" s="41">
        <v>6335.8760000000002</v>
      </c>
      <c r="F3697" s="41">
        <v>6315.5429999999997</v>
      </c>
      <c r="G3697" s="41">
        <v>6332.1310000000003</v>
      </c>
      <c r="H3697" s="41">
        <v>2875810894.6100001</v>
      </c>
      <c r="I3697" s="42">
        <v>9095</v>
      </c>
    </row>
    <row r="3698" spans="1:9" x14ac:dyDescent="0.25">
      <c r="A3698" t="s">
        <v>9</v>
      </c>
      <c r="B3698" s="39">
        <v>45687</v>
      </c>
      <c r="C3698" s="40">
        <v>0.375</v>
      </c>
      <c r="D3698" s="41">
        <v>6275.9480000000003</v>
      </c>
      <c r="E3698" s="41">
        <v>6372.2619999999997</v>
      </c>
      <c r="F3698" s="41">
        <v>6275.4120000000003</v>
      </c>
      <c r="G3698" s="41">
        <v>6322.4989999999998</v>
      </c>
      <c r="H3698" s="41">
        <v>11404819850.02</v>
      </c>
      <c r="I3698" s="42">
        <v>36055</v>
      </c>
    </row>
    <row r="3699" spans="1:9" x14ac:dyDescent="0.25">
      <c r="A3699" t="s">
        <v>9</v>
      </c>
      <c r="B3699" s="39">
        <v>45686</v>
      </c>
      <c r="C3699" s="40">
        <v>0.75</v>
      </c>
      <c r="D3699" s="41">
        <v>6277.5529999999999</v>
      </c>
      <c r="E3699" s="41">
        <v>6278.0879999999997</v>
      </c>
      <c r="F3699" s="41">
        <v>6260.43</v>
      </c>
      <c r="G3699" s="41">
        <v>6266.3159999999998</v>
      </c>
      <c r="H3699" s="41">
        <v>1080333550.49</v>
      </c>
      <c r="I3699" s="42">
        <v>3445</v>
      </c>
    </row>
    <row r="3700" spans="1:9" x14ac:dyDescent="0.25">
      <c r="A3700" t="s">
        <v>9</v>
      </c>
      <c r="B3700" s="39">
        <v>45686</v>
      </c>
      <c r="C3700" s="40">
        <v>0.72916666666666663</v>
      </c>
      <c r="D3700" s="41">
        <v>6279.6930000000002</v>
      </c>
      <c r="E3700" s="41">
        <v>6285.5789999999997</v>
      </c>
      <c r="F3700" s="41">
        <v>6275.9480000000003</v>
      </c>
      <c r="G3700" s="41">
        <v>6279.1580000000004</v>
      </c>
      <c r="H3700" s="41">
        <v>3631978966.48</v>
      </c>
      <c r="I3700" s="42">
        <v>11565</v>
      </c>
    </row>
    <row r="3701" spans="1:9" x14ac:dyDescent="0.25">
      <c r="A3701" t="s">
        <v>9</v>
      </c>
      <c r="B3701" s="39">
        <v>45686</v>
      </c>
      <c r="C3701" s="40">
        <v>0.70833333333333337</v>
      </c>
      <c r="D3701" s="41">
        <v>6281.8329999999996</v>
      </c>
      <c r="E3701" s="41">
        <v>6285.0439999999999</v>
      </c>
      <c r="F3701" s="41">
        <v>6274.8770000000004</v>
      </c>
      <c r="G3701" s="41">
        <v>6279.6930000000002</v>
      </c>
      <c r="H3701" s="41">
        <v>5242285626.3100004</v>
      </c>
      <c r="I3701" s="42">
        <v>16695</v>
      </c>
    </row>
    <row r="3702" spans="1:9" x14ac:dyDescent="0.25">
      <c r="A3702" t="s">
        <v>9</v>
      </c>
      <c r="B3702" s="39">
        <v>45686</v>
      </c>
      <c r="C3702" s="40">
        <v>0.6875</v>
      </c>
      <c r="D3702" s="41">
        <v>6293.6049999999996</v>
      </c>
      <c r="E3702" s="41">
        <v>6295.7449999999999</v>
      </c>
      <c r="F3702" s="41">
        <v>6275.4120000000003</v>
      </c>
      <c r="G3702" s="41">
        <v>6281.2979999999998</v>
      </c>
      <c r="H3702" s="41">
        <v>2537795685.5799999</v>
      </c>
      <c r="I3702" s="42">
        <v>8080</v>
      </c>
    </row>
    <row r="3703" spans="1:9" x14ac:dyDescent="0.25">
      <c r="A3703" t="s">
        <v>9</v>
      </c>
      <c r="B3703" s="39">
        <v>45686</v>
      </c>
      <c r="C3703" s="40">
        <v>0.66666666666666663</v>
      </c>
      <c r="D3703" s="41">
        <v>6286.1139999999996</v>
      </c>
      <c r="E3703" s="41">
        <v>6301.0959999999995</v>
      </c>
      <c r="F3703" s="41">
        <v>6286.1139999999996</v>
      </c>
      <c r="G3703" s="41">
        <v>6293.6049999999996</v>
      </c>
      <c r="H3703" s="41">
        <v>2385402500.4000001</v>
      </c>
      <c r="I3703" s="42">
        <v>7580</v>
      </c>
    </row>
    <row r="3704" spans="1:9" x14ac:dyDescent="0.25">
      <c r="A3704" t="s">
        <v>9</v>
      </c>
      <c r="B3704" s="39">
        <v>45686</v>
      </c>
      <c r="C3704" s="40">
        <v>0.64583333333333337</v>
      </c>
      <c r="D3704" s="41">
        <v>6285.0439999999999</v>
      </c>
      <c r="E3704" s="41">
        <v>6287.1840000000002</v>
      </c>
      <c r="F3704" s="41">
        <v>6281.2979999999998</v>
      </c>
      <c r="G3704" s="41">
        <v>6285.0439999999999</v>
      </c>
      <c r="H3704" s="41">
        <v>3732894158.8499999</v>
      </c>
      <c r="I3704" s="42">
        <v>11880</v>
      </c>
    </row>
    <row r="3705" spans="1:9" x14ac:dyDescent="0.25">
      <c r="A3705" t="s">
        <v>9</v>
      </c>
      <c r="B3705" s="39">
        <v>45686</v>
      </c>
      <c r="C3705" s="40">
        <v>0.625</v>
      </c>
      <c r="D3705" s="41">
        <v>6293.07</v>
      </c>
      <c r="E3705" s="41">
        <v>6294.6750000000002</v>
      </c>
      <c r="F3705" s="41">
        <v>6280.2280000000001</v>
      </c>
      <c r="G3705" s="41">
        <v>6285.0439999999999</v>
      </c>
      <c r="H3705" s="41">
        <v>3844228820.6900001</v>
      </c>
      <c r="I3705" s="42">
        <v>12230</v>
      </c>
    </row>
    <row r="3706" spans="1:9" x14ac:dyDescent="0.25">
      <c r="A3706" t="s">
        <v>9</v>
      </c>
      <c r="B3706" s="39">
        <v>45686</v>
      </c>
      <c r="C3706" s="40">
        <v>0.60416666666666663</v>
      </c>
      <c r="D3706" s="41">
        <v>6287.7190000000001</v>
      </c>
      <c r="E3706" s="41">
        <v>6293.6049999999996</v>
      </c>
      <c r="F3706" s="41">
        <v>6287.7190000000001</v>
      </c>
      <c r="G3706" s="41">
        <v>6293.07</v>
      </c>
      <c r="H3706" s="41">
        <v>2261735459.8600001</v>
      </c>
      <c r="I3706" s="42">
        <v>7190</v>
      </c>
    </row>
    <row r="3707" spans="1:9" x14ac:dyDescent="0.25">
      <c r="A3707" t="s">
        <v>9</v>
      </c>
      <c r="B3707" s="39">
        <v>45686</v>
      </c>
      <c r="C3707" s="40">
        <v>0.58333333333333337</v>
      </c>
      <c r="D3707" s="41">
        <v>6296.8159999999998</v>
      </c>
      <c r="E3707" s="41">
        <v>6296.8159999999998</v>
      </c>
      <c r="F3707" s="41">
        <v>6280.2280000000001</v>
      </c>
      <c r="G3707" s="41">
        <v>6287.7190000000001</v>
      </c>
      <c r="H3707" s="41">
        <v>4257625495.5700002</v>
      </c>
      <c r="I3707" s="42">
        <v>13545</v>
      </c>
    </row>
    <row r="3708" spans="1:9" x14ac:dyDescent="0.25">
      <c r="A3708" t="s">
        <v>9</v>
      </c>
      <c r="B3708" s="39">
        <v>45686</v>
      </c>
      <c r="C3708" s="40">
        <v>0.5625</v>
      </c>
      <c r="D3708" s="41">
        <v>6288.2539999999999</v>
      </c>
      <c r="E3708" s="41">
        <v>6297.8860000000004</v>
      </c>
      <c r="F3708" s="41">
        <v>6287.1840000000002</v>
      </c>
      <c r="G3708" s="41">
        <v>6297.8860000000004</v>
      </c>
      <c r="H3708" s="41">
        <v>4632458990.3800001</v>
      </c>
      <c r="I3708" s="42">
        <v>14720</v>
      </c>
    </row>
    <row r="3709" spans="1:9" x14ac:dyDescent="0.25">
      <c r="A3709" t="s">
        <v>9</v>
      </c>
      <c r="B3709" s="39">
        <v>45686</v>
      </c>
      <c r="C3709" s="40">
        <v>0.54166666666666663</v>
      </c>
      <c r="D3709" s="41">
        <v>6283.4390000000003</v>
      </c>
      <c r="E3709" s="41">
        <v>6289.86</v>
      </c>
      <c r="F3709" s="41">
        <v>6273.2719999999999</v>
      </c>
      <c r="G3709" s="41">
        <v>6286.6490000000003</v>
      </c>
      <c r="H3709" s="41">
        <v>3117811303.1700001</v>
      </c>
      <c r="I3709" s="42">
        <v>9925</v>
      </c>
    </row>
    <row r="3710" spans="1:9" x14ac:dyDescent="0.25">
      <c r="A3710" t="s">
        <v>9</v>
      </c>
      <c r="B3710" s="39">
        <v>45686</v>
      </c>
      <c r="C3710" s="40">
        <v>0.52083333333333337</v>
      </c>
      <c r="D3710" s="41">
        <v>6264.7110000000002</v>
      </c>
      <c r="E3710" s="41">
        <v>6289.3249999999998</v>
      </c>
      <c r="F3710" s="41">
        <v>6255.0789999999997</v>
      </c>
      <c r="G3710" s="41">
        <v>6282.9040000000005</v>
      </c>
      <c r="H3710" s="41">
        <v>5762942065.0299997</v>
      </c>
      <c r="I3710" s="42">
        <v>18385</v>
      </c>
    </row>
    <row r="3711" spans="1:9" x14ac:dyDescent="0.25">
      <c r="A3711" t="s">
        <v>9</v>
      </c>
      <c r="B3711" s="39">
        <v>45686</v>
      </c>
      <c r="C3711" s="40">
        <v>0.5</v>
      </c>
      <c r="D3711" s="41">
        <v>6268.9920000000002</v>
      </c>
      <c r="E3711" s="41">
        <v>6276.4830000000002</v>
      </c>
      <c r="F3711" s="41">
        <v>6264.7110000000002</v>
      </c>
      <c r="G3711" s="41">
        <v>6265.7809999999999</v>
      </c>
      <c r="H3711" s="41">
        <v>3212074654.6500001</v>
      </c>
      <c r="I3711" s="42">
        <v>10245</v>
      </c>
    </row>
    <row r="3712" spans="1:9" x14ac:dyDescent="0.25">
      <c r="A3712" t="s">
        <v>9</v>
      </c>
      <c r="B3712" s="39">
        <v>45686</v>
      </c>
      <c r="C3712" s="40">
        <v>0.47916666666666669</v>
      </c>
      <c r="D3712" s="41">
        <v>6283.4390000000003</v>
      </c>
      <c r="E3712" s="41">
        <v>6289.86</v>
      </c>
      <c r="F3712" s="41">
        <v>6267.3860000000004</v>
      </c>
      <c r="G3712" s="41">
        <v>6268.9920000000002</v>
      </c>
      <c r="H3712" s="41">
        <v>3497000345.1700001</v>
      </c>
      <c r="I3712" s="42">
        <v>11140</v>
      </c>
    </row>
    <row r="3713" spans="1:9" x14ac:dyDescent="0.25">
      <c r="A3713" t="s">
        <v>9</v>
      </c>
      <c r="B3713" s="39">
        <v>45686</v>
      </c>
      <c r="C3713" s="40">
        <v>0.45833333333333331</v>
      </c>
      <c r="D3713" s="41">
        <v>6294.14</v>
      </c>
      <c r="E3713" s="41">
        <v>6298.9560000000001</v>
      </c>
      <c r="F3713" s="41">
        <v>6282.9040000000005</v>
      </c>
      <c r="G3713" s="41">
        <v>6283.9740000000002</v>
      </c>
      <c r="H3713" s="41">
        <v>4689512779.1899996</v>
      </c>
      <c r="I3713" s="42">
        <v>14910</v>
      </c>
    </row>
    <row r="3714" spans="1:9" x14ac:dyDescent="0.25">
      <c r="A3714" t="s">
        <v>9</v>
      </c>
      <c r="B3714" s="39">
        <v>45686</v>
      </c>
      <c r="C3714" s="40">
        <v>0.4375</v>
      </c>
      <c r="D3714" s="41">
        <v>6268.4560000000001</v>
      </c>
      <c r="E3714" s="41">
        <v>6304.3069999999998</v>
      </c>
      <c r="F3714" s="41">
        <v>6264.1760000000004</v>
      </c>
      <c r="G3714" s="41">
        <v>6295.21</v>
      </c>
      <c r="H3714" s="41">
        <v>7792283800.04</v>
      </c>
      <c r="I3714" s="42">
        <v>24790</v>
      </c>
    </row>
    <row r="3715" spans="1:9" x14ac:dyDescent="0.25">
      <c r="A3715" t="s">
        <v>9</v>
      </c>
      <c r="B3715" s="39">
        <v>45686</v>
      </c>
      <c r="C3715" s="40">
        <v>0.41666666666666669</v>
      </c>
      <c r="D3715" s="41">
        <v>6257.7550000000001</v>
      </c>
      <c r="E3715" s="41">
        <v>6274.3419999999996</v>
      </c>
      <c r="F3715" s="41">
        <v>6255.6149999999998</v>
      </c>
      <c r="G3715" s="41">
        <v>6268.4560000000001</v>
      </c>
      <c r="H3715" s="41">
        <v>5412382719.5799999</v>
      </c>
      <c r="I3715" s="42">
        <v>17280</v>
      </c>
    </row>
    <row r="3716" spans="1:9" x14ac:dyDescent="0.25">
      <c r="A3716" t="s">
        <v>9</v>
      </c>
      <c r="B3716" s="39">
        <v>45686</v>
      </c>
      <c r="C3716" s="40">
        <v>0.39583333333333331</v>
      </c>
      <c r="D3716" s="41">
        <v>6273.8069999999998</v>
      </c>
      <c r="E3716" s="41">
        <v>6279.1580000000004</v>
      </c>
      <c r="F3716" s="41">
        <v>6256.6850000000004</v>
      </c>
      <c r="G3716" s="41">
        <v>6256.6850000000004</v>
      </c>
      <c r="H3716" s="41">
        <v>7125546375.3100004</v>
      </c>
      <c r="I3716" s="42">
        <v>22740</v>
      </c>
    </row>
    <row r="3717" spans="1:9" x14ac:dyDescent="0.25">
      <c r="A3717" t="s">
        <v>9</v>
      </c>
      <c r="B3717" s="39">
        <v>45686</v>
      </c>
      <c r="C3717" s="40">
        <v>0.375</v>
      </c>
      <c r="D3717" s="41">
        <v>6277.5529999999999</v>
      </c>
      <c r="E3717" s="41">
        <v>6289.86</v>
      </c>
      <c r="F3717" s="41">
        <v>6265.7809999999999</v>
      </c>
      <c r="G3717" s="41">
        <v>6274.3419999999996</v>
      </c>
      <c r="H3717" s="41">
        <v>4489551159.6300001</v>
      </c>
      <c r="I3717" s="42">
        <v>14305</v>
      </c>
    </row>
    <row r="3718" spans="1:9" x14ac:dyDescent="0.25">
      <c r="A3718" t="s">
        <v>9</v>
      </c>
      <c r="B3718" s="39">
        <v>45685</v>
      </c>
      <c r="C3718" s="40">
        <v>0.75</v>
      </c>
      <c r="D3718" s="41">
        <v>6283.4390000000003</v>
      </c>
      <c r="E3718" s="41">
        <v>6285.0439999999999</v>
      </c>
      <c r="F3718" s="41">
        <v>6270.0619999999999</v>
      </c>
      <c r="G3718" s="41">
        <v>6270.0619999999999</v>
      </c>
      <c r="H3718" s="41">
        <v>2104687082.98</v>
      </c>
      <c r="I3718" s="42">
        <v>6705</v>
      </c>
    </row>
    <row r="3719" spans="1:9" x14ac:dyDescent="0.25">
      <c r="A3719" t="s">
        <v>9</v>
      </c>
      <c r="B3719" s="39">
        <v>45685</v>
      </c>
      <c r="C3719" s="40">
        <v>0.72916666666666663</v>
      </c>
      <c r="D3719" s="41">
        <v>6283.4390000000003</v>
      </c>
      <c r="E3719" s="41">
        <v>6283.9740000000002</v>
      </c>
      <c r="F3719" s="41">
        <v>6277.5529999999999</v>
      </c>
      <c r="G3719" s="41">
        <v>6283.4390000000003</v>
      </c>
      <c r="H3719" s="41">
        <v>737988745.63</v>
      </c>
      <c r="I3719" s="42">
        <v>2350</v>
      </c>
    </row>
    <row r="3720" spans="1:9" x14ac:dyDescent="0.25">
      <c r="A3720" t="s">
        <v>9</v>
      </c>
      <c r="B3720" s="39">
        <v>45685</v>
      </c>
      <c r="C3720" s="40">
        <v>0.70833333333333337</v>
      </c>
      <c r="D3720" s="41">
        <v>6285.5789999999997</v>
      </c>
      <c r="E3720" s="41">
        <v>6289.3249999999998</v>
      </c>
      <c r="F3720" s="41">
        <v>6280.7629999999999</v>
      </c>
      <c r="G3720" s="41">
        <v>6284.509</v>
      </c>
      <c r="H3720" s="41">
        <v>1201929833.3399999</v>
      </c>
      <c r="I3720" s="42">
        <v>3825</v>
      </c>
    </row>
    <row r="3721" spans="1:9" x14ac:dyDescent="0.25">
      <c r="A3721" t="s">
        <v>9</v>
      </c>
      <c r="B3721" s="39">
        <v>45685</v>
      </c>
      <c r="C3721" s="40">
        <v>0.6875</v>
      </c>
      <c r="D3721" s="41">
        <v>6287.1840000000002</v>
      </c>
      <c r="E3721" s="41">
        <v>6288.7889999999998</v>
      </c>
      <c r="F3721" s="41">
        <v>6283.9740000000002</v>
      </c>
      <c r="G3721" s="41">
        <v>6284.509</v>
      </c>
      <c r="H3721" s="41">
        <v>1595133410.25</v>
      </c>
      <c r="I3721" s="42">
        <v>5075</v>
      </c>
    </row>
    <row r="3722" spans="1:9" x14ac:dyDescent="0.25">
      <c r="A3722" t="s">
        <v>9</v>
      </c>
      <c r="B3722" s="39">
        <v>45685</v>
      </c>
      <c r="C3722" s="40">
        <v>0.66666666666666663</v>
      </c>
      <c r="D3722" s="41">
        <v>6281.2979999999998</v>
      </c>
      <c r="E3722" s="41">
        <v>6288.7889999999998</v>
      </c>
      <c r="F3722" s="41">
        <v>6280.2280000000001</v>
      </c>
      <c r="G3722" s="41">
        <v>6288.2539999999999</v>
      </c>
      <c r="H3722" s="41">
        <v>5072140910.9499998</v>
      </c>
      <c r="I3722" s="42">
        <v>16145</v>
      </c>
    </row>
    <row r="3723" spans="1:9" x14ac:dyDescent="0.25">
      <c r="A3723" t="s">
        <v>9</v>
      </c>
      <c r="B3723" s="39">
        <v>45685</v>
      </c>
      <c r="C3723" s="40">
        <v>0.64583333333333337</v>
      </c>
      <c r="D3723" s="41">
        <v>6275.9480000000003</v>
      </c>
      <c r="E3723" s="41">
        <v>6287.1840000000002</v>
      </c>
      <c r="F3723" s="41">
        <v>6273.2719999999999</v>
      </c>
      <c r="G3723" s="41">
        <v>6281.8329999999996</v>
      </c>
      <c r="H3723" s="41">
        <v>3783244605.3699999</v>
      </c>
      <c r="I3723" s="42">
        <v>12050</v>
      </c>
    </row>
    <row r="3724" spans="1:9" x14ac:dyDescent="0.25">
      <c r="A3724" t="s">
        <v>9</v>
      </c>
      <c r="B3724" s="39">
        <v>45685</v>
      </c>
      <c r="C3724" s="40">
        <v>0.625</v>
      </c>
      <c r="D3724" s="41">
        <v>6284.509</v>
      </c>
      <c r="E3724" s="41">
        <v>6288.2539999999999</v>
      </c>
      <c r="F3724" s="41">
        <v>6272.2020000000002</v>
      </c>
      <c r="G3724" s="41">
        <v>6275.9480000000003</v>
      </c>
      <c r="H3724" s="41">
        <v>3081714973.4000001</v>
      </c>
      <c r="I3724" s="42">
        <v>9815</v>
      </c>
    </row>
    <row r="3725" spans="1:9" x14ac:dyDescent="0.25">
      <c r="A3725" t="s">
        <v>9</v>
      </c>
      <c r="B3725" s="39">
        <v>45685</v>
      </c>
      <c r="C3725" s="40">
        <v>0.60416666666666663</v>
      </c>
      <c r="D3725" s="41">
        <v>6279.6930000000002</v>
      </c>
      <c r="E3725" s="41">
        <v>6290.3950000000004</v>
      </c>
      <c r="F3725" s="41">
        <v>6279.6930000000002</v>
      </c>
      <c r="G3725" s="41">
        <v>6284.509</v>
      </c>
      <c r="H3725" s="41">
        <v>2863464068.7600002</v>
      </c>
      <c r="I3725" s="42">
        <v>9110</v>
      </c>
    </row>
    <row r="3726" spans="1:9" x14ac:dyDescent="0.25">
      <c r="A3726" t="s">
        <v>9</v>
      </c>
      <c r="B3726" s="39">
        <v>45685</v>
      </c>
      <c r="C3726" s="40">
        <v>0.58333333333333337</v>
      </c>
      <c r="D3726" s="41">
        <v>6275.9480000000003</v>
      </c>
      <c r="E3726" s="41">
        <v>6281.2979999999998</v>
      </c>
      <c r="F3726" s="41">
        <v>6272.2020000000002</v>
      </c>
      <c r="G3726" s="41">
        <v>6279.6930000000002</v>
      </c>
      <c r="H3726" s="41">
        <v>2816625482.8200002</v>
      </c>
      <c r="I3726" s="42">
        <v>8975</v>
      </c>
    </row>
    <row r="3727" spans="1:9" x14ac:dyDescent="0.25">
      <c r="A3727" t="s">
        <v>9</v>
      </c>
      <c r="B3727" s="39">
        <v>45685</v>
      </c>
      <c r="C3727" s="40">
        <v>0.5625</v>
      </c>
      <c r="D3727" s="41">
        <v>6283.9740000000002</v>
      </c>
      <c r="E3727" s="41">
        <v>6290.3950000000004</v>
      </c>
      <c r="F3727" s="41">
        <v>6274.8770000000004</v>
      </c>
      <c r="G3727" s="41">
        <v>6275.4120000000003</v>
      </c>
      <c r="H3727" s="41">
        <v>2111163551.5599999</v>
      </c>
      <c r="I3727" s="42">
        <v>6720</v>
      </c>
    </row>
    <row r="3728" spans="1:9" x14ac:dyDescent="0.25">
      <c r="A3728" t="s">
        <v>9</v>
      </c>
      <c r="B3728" s="39">
        <v>45685</v>
      </c>
      <c r="C3728" s="40">
        <v>0.54166666666666663</v>
      </c>
      <c r="D3728" s="41">
        <v>6292</v>
      </c>
      <c r="E3728" s="41">
        <v>6292.5349999999999</v>
      </c>
      <c r="F3728" s="41">
        <v>6279.1580000000004</v>
      </c>
      <c r="G3728" s="41">
        <v>6284.509</v>
      </c>
      <c r="H3728" s="41">
        <v>2679683654.79</v>
      </c>
      <c r="I3728" s="42">
        <v>8525</v>
      </c>
    </row>
    <row r="3729" spans="1:9" x14ac:dyDescent="0.25">
      <c r="A3729" t="s">
        <v>9</v>
      </c>
      <c r="B3729" s="39">
        <v>45685</v>
      </c>
      <c r="C3729" s="40">
        <v>0.52083333333333337</v>
      </c>
      <c r="D3729" s="41">
        <v>6290.3950000000004</v>
      </c>
      <c r="E3729" s="41">
        <v>6296.2809999999999</v>
      </c>
      <c r="F3729" s="41">
        <v>6283.9740000000002</v>
      </c>
      <c r="G3729" s="41">
        <v>6292.5349999999999</v>
      </c>
      <c r="H3729" s="41">
        <v>2719129047.1900001</v>
      </c>
      <c r="I3729" s="42">
        <v>8645</v>
      </c>
    </row>
    <row r="3730" spans="1:9" x14ac:dyDescent="0.25">
      <c r="A3730" t="s">
        <v>9</v>
      </c>
      <c r="B3730" s="39">
        <v>45685</v>
      </c>
      <c r="C3730" s="40">
        <v>0.5</v>
      </c>
      <c r="D3730" s="41">
        <v>6301.0959999999995</v>
      </c>
      <c r="E3730" s="41">
        <v>6301.0959999999995</v>
      </c>
      <c r="F3730" s="41">
        <v>6283.4390000000003</v>
      </c>
      <c r="G3730" s="41">
        <v>6289.3249999999998</v>
      </c>
      <c r="H3730" s="41">
        <v>6383811805.5900002</v>
      </c>
      <c r="I3730" s="42">
        <v>20285</v>
      </c>
    </row>
    <row r="3731" spans="1:9" x14ac:dyDescent="0.25">
      <c r="A3731" t="s">
        <v>9</v>
      </c>
      <c r="B3731" s="39">
        <v>45685</v>
      </c>
      <c r="C3731" s="40">
        <v>0.47916666666666669</v>
      </c>
      <c r="D3731" s="41">
        <v>6308.5870000000004</v>
      </c>
      <c r="E3731" s="41">
        <v>6309.1220000000003</v>
      </c>
      <c r="F3731" s="41">
        <v>6298.9560000000001</v>
      </c>
      <c r="G3731" s="41">
        <v>6301.0959999999995</v>
      </c>
      <c r="H3731" s="41">
        <v>4667609032.04</v>
      </c>
      <c r="I3731" s="42">
        <v>14810</v>
      </c>
    </row>
    <row r="3732" spans="1:9" x14ac:dyDescent="0.25">
      <c r="A3732" t="s">
        <v>9</v>
      </c>
      <c r="B3732" s="39">
        <v>45685</v>
      </c>
      <c r="C3732" s="40">
        <v>0.45833333333333331</v>
      </c>
      <c r="D3732" s="41">
        <v>6329.4549999999999</v>
      </c>
      <c r="E3732" s="41">
        <v>6329.4549999999999</v>
      </c>
      <c r="F3732" s="41">
        <v>6305.9120000000003</v>
      </c>
      <c r="G3732" s="41">
        <v>6309.1220000000003</v>
      </c>
      <c r="H3732" s="41">
        <v>3389454447.5500002</v>
      </c>
      <c r="I3732" s="42">
        <v>10730</v>
      </c>
    </row>
    <row r="3733" spans="1:9" x14ac:dyDescent="0.25">
      <c r="A3733" t="s">
        <v>9</v>
      </c>
      <c r="B3733" s="39">
        <v>45685</v>
      </c>
      <c r="C3733" s="40">
        <v>0.4375</v>
      </c>
      <c r="D3733" s="41">
        <v>6325.71</v>
      </c>
      <c r="E3733" s="41">
        <v>6335.8760000000002</v>
      </c>
      <c r="F3733" s="41">
        <v>6321.9639999999999</v>
      </c>
      <c r="G3733" s="41">
        <v>6329.991</v>
      </c>
      <c r="H3733" s="41">
        <v>3959258741.5999999</v>
      </c>
      <c r="I3733" s="42">
        <v>12510</v>
      </c>
    </row>
    <row r="3734" spans="1:9" x14ac:dyDescent="0.25">
      <c r="A3734" t="s">
        <v>9</v>
      </c>
      <c r="B3734" s="39">
        <v>45685</v>
      </c>
      <c r="C3734" s="40">
        <v>0.41666666666666669</v>
      </c>
      <c r="D3734" s="41">
        <v>6326.2449999999999</v>
      </c>
      <c r="E3734" s="41">
        <v>6335.3410000000003</v>
      </c>
      <c r="F3734" s="41">
        <v>6320.3590000000004</v>
      </c>
      <c r="G3734" s="41">
        <v>6325.71</v>
      </c>
      <c r="H3734" s="41">
        <v>5196456869.1700001</v>
      </c>
      <c r="I3734" s="42">
        <v>16425</v>
      </c>
    </row>
    <row r="3735" spans="1:9" x14ac:dyDescent="0.25">
      <c r="A3735" t="s">
        <v>9</v>
      </c>
      <c r="B3735" s="39">
        <v>45685</v>
      </c>
      <c r="C3735" s="40">
        <v>0.39583333333333331</v>
      </c>
      <c r="D3735" s="41">
        <v>6333.201</v>
      </c>
      <c r="E3735" s="41">
        <v>6340.1570000000002</v>
      </c>
      <c r="F3735" s="41">
        <v>6313.9380000000001</v>
      </c>
      <c r="G3735" s="41">
        <v>6327.3149999999996</v>
      </c>
      <c r="H3735" s="41">
        <v>3237306195.02</v>
      </c>
      <c r="I3735" s="42">
        <v>10235</v>
      </c>
    </row>
    <row r="3736" spans="1:9" x14ac:dyDescent="0.25">
      <c r="A3736" t="s">
        <v>9</v>
      </c>
      <c r="B3736" s="39">
        <v>45685</v>
      </c>
      <c r="C3736" s="40">
        <v>0.375</v>
      </c>
      <c r="D3736" s="41">
        <v>6329.991</v>
      </c>
      <c r="E3736" s="41">
        <v>6339.6220000000003</v>
      </c>
      <c r="F3736" s="41">
        <v>6323.57</v>
      </c>
      <c r="G3736" s="41">
        <v>6333.201</v>
      </c>
      <c r="H3736" s="41">
        <v>2269877095.8699999</v>
      </c>
      <c r="I3736" s="42">
        <v>7170</v>
      </c>
    </row>
    <row r="3737" spans="1:9" x14ac:dyDescent="0.25">
      <c r="A3737" t="s">
        <v>9</v>
      </c>
      <c r="B3737" s="39">
        <v>45684</v>
      </c>
      <c r="C3737" s="40">
        <v>0.75</v>
      </c>
      <c r="D3737" s="41">
        <v>6327.85</v>
      </c>
      <c r="E3737" s="41">
        <v>6327.85</v>
      </c>
      <c r="F3737" s="41">
        <v>6312.3329999999996</v>
      </c>
      <c r="G3737" s="41">
        <v>6313.9380000000001</v>
      </c>
      <c r="H3737" s="41">
        <v>1102355416.45</v>
      </c>
      <c r="I3737" s="42">
        <v>3490</v>
      </c>
    </row>
    <row r="3738" spans="1:9" x14ac:dyDescent="0.25">
      <c r="A3738" t="s">
        <v>9</v>
      </c>
      <c r="B3738" s="39">
        <v>45684</v>
      </c>
      <c r="C3738" s="40">
        <v>0.72916666666666663</v>
      </c>
      <c r="D3738" s="41">
        <v>6319.8239999999996</v>
      </c>
      <c r="E3738" s="41">
        <v>6328.3850000000002</v>
      </c>
      <c r="F3738" s="41">
        <v>6317.1490000000003</v>
      </c>
      <c r="G3738" s="41">
        <v>6328.3850000000002</v>
      </c>
      <c r="H3738" s="41">
        <v>2120530519.6400001</v>
      </c>
      <c r="I3738" s="42">
        <v>6710</v>
      </c>
    </row>
    <row r="3739" spans="1:9" x14ac:dyDescent="0.25">
      <c r="A3739" t="s">
        <v>9</v>
      </c>
      <c r="B3739" s="39">
        <v>45684</v>
      </c>
      <c r="C3739" s="40">
        <v>0.70833333333333337</v>
      </c>
      <c r="D3739" s="41">
        <v>6334.2709999999997</v>
      </c>
      <c r="E3739" s="41">
        <v>6334.8059999999996</v>
      </c>
      <c r="F3739" s="41">
        <v>6312.8680000000004</v>
      </c>
      <c r="G3739" s="41">
        <v>6319.8239999999996</v>
      </c>
      <c r="H3739" s="41">
        <v>1924998957.0799999</v>
      </c>
      <c r="I3739" s="42">
        <v>6090</v>
      </c>
    </row>
    <row r="3740" spans="1:9" x14ac:dyDescent="0.25">
      <c r="A3740" t="s">
        <v>9</v>
      </c>
      <c r="B3740" s="39">
        <v>45684</v>
      </c>
      <c r="C3740" s="40">
        <v>0.6875</v>
      </c>
      <c r="D3740" s="41">
        <v>6333.201</v>
      </c>
      <c r="E3740" s="41">
        <v>6336.4120000000003</v>
      </c>
      <c r="F3740" s="41">
        <v>6331.0609999999997</v>
      </c>
      <c r="G3740" s="41">
        <v>6333.7359999999999</v>
      </c>
      <c r="H3740" s="41">
        <v>1721046045.71</v>
      </c>
      <c r="I3740" s="42">
        <v>5435</v>
      </c>
    </row>
    <row r="3741" spans="1:9" x14ac:dyDescent="0.25">
      <c r="A3741" t="s">
        <v>9</v>
      </c>
      <c r="B3741" s="39">
        <v>45684</v>
      </c>
      <c r="C3741" s="40">
        <v>0.66666666666666663</v>
      </c>
      <c r="D3741" s="41">
        <v>6334.8059999999996</v>
      </c>
      <c r="E3741" s="41">
        <v>6338.0169999999998</v>
      </c>
      <c r="F3741" s="41">
        <v>6329.991</v>
      </c>
      <c r="G3741" s="41">
        <v>6332.6660000000002</v>
      </c>
      <c r="H3741" s="41">
        <v>1783040089.8299999</v>
      </c>
      <c r="I3741" s="42">
        <v>5630</v>
      </c>
    </row>
    <row r="3742" spans="1:9" x14ac:dyDescent="0.25">
      <c r="A3742" t="s">
        <v>9</v>
      </c>
      <c r="B3742" s="39">
        <v>45684</v>
      </c>
      <c r="C3742" s="40">
        <v>0.64583333333333337</v>
      </c>
      <c r="D3742" s="41">
        <v>6329.4549999999999</v>
      </c>
      <c r="E3742" s="41">
        <v>6336.9470000000001</v>
      </c>
      <c r="F3742" s="41">
        <v>6327.85</v>
      </c>
      <c r="G3742" s="41">
        <v>6334.2709999999997</v>
      </c>
      <c r="H3742" s="41">
        <v>2111992791.03</v>
      </c>
      <c r="I3742" s="42">
        <v>6670</v>
      </c>
    </row>
    <row r="3743" spans="1:9" x14ac:dyDescent="0.25">
      <c r="A3743" t="s">
        <v>9</v>
      </c>
      <c r="B3743" s="39">
        <v>45684</v>
      </c>
      <c r="C3743" s="40">
        <v>0.625</v>
      </c>
      <c r="D3743" s="41">
        <v>6332.1310000000003</v>
      </c>
      <c r="E3743" s="41">
        <v>6332.6660000000002</v>
      </c>
      <c r="F3743" s="41">
        <v>6318.2190000000001</v>
      </c>
      <c r="G3743" s="41">
        <v>6329.991</v>
      </c>
      <c r="H3743" s="41">
        <v>3322564158.4000001</v>
      </c>
      <c r="I3743" s="42">
        <v>10505</v>
      </c>
    </row>
    <row r="3744" spans="1:9" x14ac:dyDescent="0.25">
      <c r="A3744" t="s">
        <v>9</v>
      </c>
      <c r="B3744" s="39">
        <v>45684</v>
      </c>
      <c r="C3744" s="40">
        <v>0.60416666666666663</v>
      </c>
      <c r="D3744" s="41">
        <v>6329.991</v>
      </c>
      <c r="E3744" s="41">
        <v>6338.0169999999998</v>
      </c>
      <c r="F3744" s="41">
        <v>6329.991</v>
      </c>
      <c r="G3744" s="41">
        <v>6331.5959999999995</v>
      </c>
      <c r="H3744" s="41">
        <v>2194332297.0100002</v>
      </c>
      <c r="I3744" s="42">
        <v>6930</v>
      </c>
    </row>
    <row r="3745" spans="1:9" x14ac:dyDescent="0.25">
      <c r="A3745" t="s">
        <v>9</v>
      </c>
      <c r="B3745" s="39">
        <v>45684</v>
      </c>
      <c r="C3745" s="40">
        <v>0.58333333333333337</v>
      </c>
      <c r="D3745" s="41">
        <v>6337.482</v>
      </c>
      <c r="E3745" s="41">
        <v>6347.1130000000003</v>
      </c>
      <c r="F3745" s="41">
        <v>6325.71</v>
      </c>
      <c r="G3745" s="41">
        <v>6329.991</v>
      </c>
      <c r="H3745" s="41">
        <v>4254140522.7399998</v>
      </c>
      <c r="I3745" s="42">
        <v>13430</v>
      </c>
    </row>
    <row r="3746" spans="1:9" x14ac:dyDescent="0.25">
      <c r="A3746" t="s">
        <v>9</v>
      </c>
      <c r="B3746" s="39">
        <v>45684</v>
      </c>
      <c r="C3746" s="40">
        <v>0.5625</v>
      </c>
      <c r="D3746" s="41">
        <v>6343.3680000000004</v>
      </c>
      <c r="E3746" s="41">
        <v>6346.0429999999997</v>
      </c>
      <c r="F3746" s="41">
        <v>6334.8059999999996</v>
      </c>
      <c r="G3746" s="41">
        <v>6337.482</v>
      </c>
      <c r="H3746" s="41">
        <v>1567927292.72</v>
      </c>
      <c r="I3746" s="42">
        <v>4945</v>
      </c>
    </row>
    <row r="3747" spans="1:9" x14ac:dyDescent="0.25">
      <c r="A3747" t="s">
        <v>9</v>
      </c>
      <c r="B3747" s="39">
        <v>45684</v>
      </c>
      <c r="C3747" s="40">
        <v>0.54166666666666663</v>
      </c>
      <c r="D3747" s="41">
        <v>6355.674</v>
      </c>
      <c r="E3747" s="41">
        <v>6364.7709999999997</v>
      </c>
      <c r="F3747" s="41">
        <v>6340.692</v>
      </c>
      <c r="G3747" s="41">
        <v>6343.3680000000004</v>
      </c>
      <c r="H3747" s="41">
        <v>3941182819.4699998</v>
      </c>
      <c r="I3747" s="42">
        <v>12410</v>
      </c>
    </row>
    <row r="3748" spans="1:9" x14ac:dyDescent="0.25">
      <c r="A3748" t="s">
        <v>9</v>
      </c>
      <c r="B3748" s="39">
        <v>45684</v>
      </c>
      <c r="C3748" s="40">
        <v>0.52083333333333337</v>
      </c>
      <c r="D3748" s="41">
        <v>6350.3239999999996</v>
      </c>
      <c r="E3748" s="41">
        <v>6365.3059999999996</v>
      </c>
      <c r="F3748" s="41">
        <v>6350.3239999999996</v>
      </c>
      <c r="G3748" s="41">
        <v>6355.674</v>
      </c>
      <c r="H3748" s="41">
        <v>3157643022.96</v>
      </c>
      <c r="I3748" s="42">
        <v>9930</v>
      </c>
    </row>
    <row r="3749" spans="1:9" x14ac:dyDescent="0.25">
      <c r="A3749" t="s">
        <v>9</v>
      </c>
      <c r="B3749" s="39">
        <v>45684</v>
      </c>
      <c r="C3749" s="40">
        <v>0.5</v>
      </c>
      <c r="D3749" s="41">
        <v>6343.3680000000004</v>
      </c>
      <c r="E3749" s="41">
        <v>6354.6040000000003</v>
      </c>
      <c r="F3749" s="41">
        <v>6342.8320000000003</v>
      </c>
      <c r="G3749" s="41">
        <v>6349.7889999999998</v>
      </c>
      <c r="H3749" s="41">
        <v>4007212567</v>
      </c>
      <c r="I3749" s="42">
        <v>12620</v>
      </c>
    </row>
    <row r="3750" spans="1:9" x14ac:dyDescent="0.25">
      <c r="A3750" t="s">
        <v>9</v>
      </c>
      <c r="B3750" s="39">
        <v>45684</v>
      </c>
      <c r="C3750" s="40">
        <v>0.47916666666666669</v>
      </c>
      <c r="D3750" s="41">
        <v>6342.2969999999996</v>
      </c>
      <c r="E3750" s="41">
        <v>6359.9549999999999</v>
      </c>
      <c r="F3750" s="41">
        <v>6339.0870000000004</v>
      </c>
      <c r="G3750" s="41">
        <v>6343.9030000000002</v>
      </c>
      <c r="H3750" s="41">
        <v>4227674420.1700001</v>
      </c>
      <c r="I3750" s="42">
        <v>13320</v>
      </c>
    </row>
    <row r="3751" spans="1:9" x14ac:dyDescent="0.25">
      <c r="A3751" t="s">
        <v>9</v>
      </c>
      <c r="B3751" s="39">
        <v>45684</v>
      </c>
      <c r="C3751" s="40">
        <v>0.45833333333333331</v>
      </c>
      <c r="D3751" s="41">
        <v>6334.2709999999997</v>
      </c>
      <c r="E3751" s="41">
        <v>6344.4380000000001</v>
      </c>
      <c r="F3751" s="41">
        <v>6329.991</v>
      </c>
      <c r="G3751" s="41">
        <v>6342.2969999999996</v>
      </c>
      <c r="H3751" s="41">
        <v>4103439526.5</v>
      </c>
      <c r="I3751" s="42">
        <v>12950</v>
      </c>
    </row>
    <row r="3752" spans="1:9" x14ac:dyDescent="0.25">
      <c r="A3752" t="s">
        <v>9</v>
      </c>
      <c r="B3752" s="39">
        <v>45684</v>
      </c>
      <c r="C3752" s="40">
        <v>0.4375</v>
      </c>
      <c r="D3752" s="41">
        <v>6341.7619999999997</v>
      </c>
      <c r="E3752" s="41">
        <v>6342.2969999999996</v>
      </c>
      <c r="F3752" s="41">
        <v>6323.0349999999999</v>
      </c>
      <c r="G3752" s="41">
        <v>6334.8059999999996</v>
      </c>
      <c r="H3752" s="41">
        <v>4623681813.6899996</v>
      </c>
      <c r="I3752" s="42">
        <v>14600</v>
      </c>
    </row>
    <row r="3753" spans="1:9" x14ac:dyDescent="0.25">
      <c r="A3753" t="s">
        <v>9</v>
      </c>
      <c r="B3753" s="39">
        <v>45684</v>
      </c>
      <c r="C3753" s="40">
        <v>0.41666666666666669</v>
      </c>
      <c r="D3753" s="41">
        <v>6356.7449999999999</v>
      </c>
      <c r="E3753" s="41">
        <v>6358.8850000000002</v>
      </c>
      <c r="F3753" s="41">
        <v>6331.0609999999997</v>
      </c>
      <c r="G3753" s="41">
        <v>6342.2969999999996</v>
      </c>
      <c r="H3753" s="41">
        <v>6297235272.5299997</v>
      </c>
      <c r="I3753" s="42">
        <v>19855</v>
      </c>
    </row>
    <row r="3754" spans="1:9" x14ac:dyDescent="0.25">
      <c r="A3754" t="s">
        <v>9</v>
      </c>
      <c r="B3754" s="39">
        <v>45684</v>
      </c>
      <c r="C3754" s="40">
        <v>0.39583333333333331</v>
      </c>
      <c r="D3754" s="41">
        <v>6371.192</v>
      </c>
      <c r="E3754" s="41">
        <v>6371.7269999999999</v>
      </c>
      <c r="F3754" s="41">
        <v>6352.4639999999999</v>
      </c>
      <c r="G3754" s="41">
        <v>6356.7449999999999</v>
      </c>
      <c r="H3754" s="41">
        <v>4750609896.29</v>
      </c>
      <c r="I3754" s="42">
        <v>14940</v>
      </c>
    </row>
    <row r="3755" spans="1:9" x14ac:dyDescent="0.25">
      <c r="A3755" t="s">
        <v>9</v>
      </c>
      <c r="B3755" s="39">
        <v>45684</v>
      </c>
      <c r="C3755" s="40">
        <v>0.375</v>
      </c>
      <c r="D3755" s="41">
        <v>6370.6570000000002</v>
      </c>
      <c r="E3755" s="41">
        <v>6379.7529999999997</v>
      </c>
      <c r="F3755" s="41">
        <v>6348.183</v>
      </c>
      <c r="G3755" s="41">
        <v>6370.1220000000003</v>
      </c>
      <c r="H3755" s="41">
        <v>4251038800.6100001</v>
      </c>
      <c r="I3755" s="42">
        <v>13355</v>
      </c>
    </row>
    <row r="3756" spans="1:9" x14ac:dyDescent="0.25">
      <c r="A3756" t="s">
        <v>9</v>
      </c>
      <c r="B3756" s="39">
        <v>45681</v>
      </c>
      <c r="C3756" s="40">
        <v>0.75</v>
      </c>
      <c r="D3756" s="41">
        <v>6338.0169999999998</v>
      </c>
      <c r="E3756" s="41">
        <v>6342.8320000000003</v>
      </c>
      <c r="F3756" s="41">
        <v>6329.991</v>
      </c>
      <c r="G3756" s="41">
        <v>6332.6660000000002</v>
      </c>
      <c r="H3756" s="41">
        <v>1340380719.3399999</v>
      </c>
      <c r="I3756" s="42">
        <v>4230</v>
      </c>
    </row>
    <row r="3757" spans="1:9" x14ac:dyDescent="0.25">
      <c r="A3757" t="s">
        <v>9</v>
      </c>
      <c r="B3757" s="39">
        <v>45681</v>
      </c>
      <c r="C3757" s="40">
        <v>0.72916666666666663</v>
      </c>
      <c r="D3757" s="41">
        <v>6340.692</v>
      </c>
      <c r="E3757" s="41">
        <v>6340.692</v>
      </c>
      <c r="F3757" s="41">
        <v>6333.7359999999999</v>
      </c>
      <c r="G3757" s="41">
        <v>6338.0169999999998</v>
      </c>
      <c r="H3757" s="41">
        <v>906184567.64999998</v>
      </c>
      <c r="I3757" s="42">
        <v>2860</v>
      </c>
    </row>
    <row r="3758" spans="1:9" x14ac:dyDescent="0.25">
      <c r="A3758" t="s">
        <v>9</v>
      </c>
      <c r="B3758" s="39">
        <v>45681</v>
      </c>
      <c r="C3758" s="40">
        <v>0.70833333333333337</v>
      </c>
      <c r="D3758" s="41">
        <v>6341.2269999999999</v>
      </c>
      <c r="E3758" s="41">
        <v>6344.4380000000001</v>
      </c>
      <c r="F3758" s="41">
        <v>6338.0169999999998</v>
      </c>
      <c r="G3758" s="41">
        <v>6341.2269999999999</v>
      </c>
      <c r="H3758" s="41">
        <v>2040298825.5999999</v>
      </c>
      <c r="I3758" s="42">
        <v>6435</v>
      </c>
    </row>
    <row r="3759" spans="1:9" x14ac:dyDescent="0.25">
      <c r="A3759" t="s">
        <v>9</v>
      </c>
      <c r="B3759" s="39">
        <v>45681</v>
      </c>
      <c r="C3759" s="40">
        <v>0.6875</v>
      </c>
      <c r="D3759" s="41">
        <v>6333.201</v>
      </c>
      <c r="E3759" s="41">
        <v>6348.7179999999998</v>
      </c>
      <c r="F3759" s="41">
        <v>6331.5959999999995</v>
      </c>
      <c r="G3759" s="41">
        <v>6340.692</v>
      </c>
      <c r="H3759" s="41">
        <v>3687983865.6900001</v>
      </c>
      <c r="I3759" s="42">
        <v>11630</v>
      </c>
    </row>
    <row r="3760" spans="1:9" x14ac:dyDescent="0.25">
      <c r="A3760" t="s">
        <v>9</v>
      </c>
      <c r="B3760" s="39">
        <v>45681</v>
      </c>
      <c r="C3760" s="40">
        <v>0.66666666666666663</v>
      </c>
      <c r="D3760" s="41">
        <v>6326.78</v>
      </c>
      <c r="E3760" s="41">
        <v>6336.9470000000001</v>
      </c>
      <c r="F3760" s="41">
        <v>6325.1750000000002</v>
      </c>
      <c r="G3760" s="41">
        <v>6333.7359999999999</v>
      </c>
      <c r="H3760" s="41">
        <v>1814910361.6500001</v>
      </c>
      <c r="I3760" s="42">
        <v>5735</v>
      </c>
    </row>
    <row r="3761" spans="1:9" x14ac:dyDescent="0.25">
      <c r="A3761" t="s">
        <v>9</v>
      </c>
      <c r="B3761" s="39">
        <v>45681</v>
      </c>
      <c r="C3761" s="40">
        <v>0.64583333333333337</v>
      </c>
      <c r="D3761" s="41">
        <v>6320.8940000000002</v>
      </c>
      <c r="E3761" s="41">
        <v>6328.3850000000002</v>
      </c>
      <c r="F3761" s="41">
        <v>6316.6139999999996</v>
      </c>
      <c r="G3761" s="41">
        <v>6327.85</v>
      </c>
      <c r="H3761" s="41">
        <v>2181081855.6399999</v>
      </c>
      <c r="I3761" s="42">
        <v>6900</v>
      </c>
    </row>
    <row r="3762" spans="1:9" x14ac:dyDescent="0.25">
      <c r="A3762" t="s">
        <v>9</v>
      </c>
      <c r="B3762" s="39">
        <v>45681</v>
      </c>
      <c r="C3762" s="40">
        <v>0.625</v>
      </c>
      <c r="D3762" s="41">
        <v>6318.2190000000001</v>
      </c>
      <c r="E3762" s="41">
        <v>6323.0349999999999</v>
      </c>
      <c r="F3762" s="41">
        <v>6312.3329999999996</v>
      </c>
      <c r="G3762" s="41">
        <v>6320.8940000000002</v>
      </c>
      <c r="H3762" s="41">
        <v>3239993899.3800001</v>
      </c>
      <c r="I3762" s="42">
        <v>10260</v>
      </c>
    </row>
    <row r="3763" spans="1:9" x14ac:dyDescent="0.25">
      <c r="A3763" t="s">
        <v>9</v>
      </c>
      <c r="B3763" s="39">
        <v>45681</v>
      </c>
      <c r="C3763" s="40">
        <v>0.60416666666666663</v>
      </c>
      <c r="D3763" s="41">
        <v>6305.3770000000004</v>
      </c>
      <c r="E3763" s="41">
        <v>6318.7539999999999</v>
      </c>
      <c r="F3763" s="41">
        <v>6302.7020000000002</v>
      </c>
      <c r="G3763" s="41">
        <v>6318.2190000000001</v>
      </c>
      <c r="H3763" s="41">
        <v>3329659847.7399998</v>
      </c>
      <c r="I3763" s="42">
        <v>10550</v>
      </c>
    </row>
    <row r="3764" spans="1:9" x14ac:dyDescent="0.25">
      <c r="A3764" t="s">
        <v>9</v>
      </c>
      <c r="B3764" s="39">
        <v>45681</v>
      </c>
      <c r="C3764" s="40">
        <v>0.58333333333333337</v>
      </c>
      <c r="D3764" s="41">
        <v>6302.1660000000002</v>
      </c>
      <c r="E3764" s="41">
        <v>6308.0519999999997</v>
      </c>
      <c r="F3764" s="41">
        <v>6297.8860000000004</v>
      </c>
      <c r="G3764" s="41">
        <v>6305.9120000000003</v>
      </c>
      <c r="H3764" s="41">
        <v>1823224293.25</v>
      </c>
      <c r="I3764" s="42">
        <v>5785</v>
      </c>
    </row>
    <row r="3765" spans="1:9" x14ac:dyDescent="0.25">
      <c r="A3765" t="s">
        <v>9</v>
      </c>
      <c r="B3765" s="39">
        <v>45681</v>
      </c>
      <c r="C3765" s="40">
        <v>0.5625</v>
      </c>
      <c r="D3765" s="41">
        <v>6294.6750000000002</v>
      </c>
      <c r="E3765" s="41">
        <v>6306.4470000000001</v>
      </c>
      <c r="F3765" s="41">
        <v>6287.7190000000001</v>
      </c>
      <c r="G3765" s="41">
        <v>6301.6310000000003</v>
      </c>
      <c r="H3765" s="41">
        <v>3060498669.6500001</v>
      </c>
      <c r="I3765" s="42">
        <v>9720</v>
      </c>
    </row>
    <row r="3766" spans="1:9" x14ac:dyDescent="0.25">
      <c r="A3766" t="s">
        <v>9</v>
      </c>
      <c r="B3766" s="39">
        <v>45681</v>
      </c>
      <c r="C3766" s="40">
        <v>0.54166666666666663</v>
      </c>
      <c r="D3766" s="41">
        <v>6305.3770000000004</v>
      </c>
      <c r="E3766" s="41">
        <v>6306.4470000000001</v>
      </c>
      <c r="F3766" s="41">
        <v>6290.93</v>
      </c>
      <c r="G3766" s="41">
        <v>6293.6049999999996</v>
      </c>
      <c r="H3766" s="41">
        <v>3213904894.0999999</v>
      </c>
      <c r="I3766" s="42">
        <v>10205</v>
      </c>
    </row>
    <row r="3767" spans="1:9" x14ac:dyDescent="0.25">
      <c r="A3767" t="s">
        <v>9</v>
      </c>
      <c r="B3767" s="39">
        <v>45681</v>
      </c>
      <c r="C3767" s="40">
        <v>0.52083333333333337</v>
      </c>
      <c r="D3767" s="41">
        <v>6298.9560000000001</v>
      </c>
      <c r="E3767" s="41">
        <v>6309.1220000000003</v>
      </c>
      <c r="F3767" s="41">
        <v>6296.2809999999999</v>
      </c>
      <c r="G3767" s="41">
        <v>6305.3770000000004</v>
      </c>
      <c r="H3767" s="41">
        <v>4259849954.8499999</v>
      </c>
      <c r="I3767" s="42">
        <v>13515</v>
      </c>
    </row>
    <row r="3768" spans="1:9" x14ac:dyDescent="0.25">
      <c r="A3768" t="s">
        <v>9</v>
      </c>
      <c r="B3768" s="39">
        <v>45681</v>
      </c>
      <c r="C3768" s="40">
        <v>0.5</v>
      </c>
      <c r="D3768" s="41">
        <v>6311.7979999999998</v>
      </c>
      <c r="E3768" s="41">
        <v>6314.473</v>
      </c>
      <c r="F3768" s="41">
        <v>6286.6490000000003</v>
      </c>
      <c r="G3768" s="41">
        <v>6298.9560000000001</v>
      </c>
      <c r="H3768" s="41">
        <v>8234242617.6800003</v>
      </c>
      <c r="I3768" s="42">
        <v>26120</v>
      </c>
    </row>
    <row r="3769" spans="1:9" x14ac:dyDescent="0.25">
      <c r="A3769" t="s">
        <v>9</v>
      </c>
      <c r="B3769" s="39">
        <v>45681</v>
      </c>
      <c r="C3769" s="40">
        <v>0.47916666666666669</v>
      </c>
      <c r="D3769" s="41">
        <v>6313.4030000000002</v>
      </c>
      <c r="E3769" s="41">
        <v>6313.4030000000002</v>
      </c>
      <c r="F3769" s="41">
        <v>6299.491</v>
      </c>
      <c r="G3769" s="41">
        <v>6312.3329999999996</v>
      </c>
      <c r="H3769" s="41">
        <v>4756347687.6099997</v>
      </c>
      <c r="I3769" s="42">
        <v>15080</v>
      </c>
    </row>
    <row r="3770" spans="1:9" x14ac:dyDescent="0.25">
      <c r="A3770" t="s">
        <v>9</v>
      </c>
      <c r="B3770" s="39">
        <v>45681</v>
      </c>
      <c r="C3770" s="40">
        <v>0.45833333333333331</v>
      </c>
      <c r="D3770" s="41">
        <v>6300.5609999999997</v>
      </c>
      <c r="E3770" s="41">
        <v>6323.0349999999999</v>
      </c>
      <c r="F3770" s="41">
        <v>6299.491</v>
      </c>
      <c r="G3770" s="41">
        <v>6312.8680000000004</v>
      </c>
      <c r="H3770" s="41">
        <v>4903864425.6999998</v>
      </c>
      <c r="I3770" s="42">
        <v>15535</v>
      </c>
    </row>
    <row r="3771" spans="1:9" x14ac:dyDescent="0.25">
      <c r="A3771" t="s">
        <v>9</v>
      </c>
      <c r="B3771" s="39">
        <v>45681</v>
      </c>
      <c r="C3771" s="40">
        <v>0.4375</v>
      </c>
      <c r="D3771" s="41">
        <v>6298.4210000000003</v>
      </c>
      <c r="E3771" s="41">
        <v>6310.7280000000001</v>
      </c>
      <c r="F3771" s="41">
        <v>6292.5349999999999</v>
      </c>
      <c r="G3771" s="41">
        <v>6301.0959999999995</v>
      </c>
      <c r="H3771" s="41">
        <v>3942654020.5700002</v>
      </c>
      <c r="I3771" s="42">
        <v>12515</v>
      </c>
    </row>
    <row r="3772" spans="1:9" x14ac:dyDescent="0.25">
      <c r="A3772" t="s">
        <v>9</v>
      </c>
      <c r="B3772" s="39">
        <v>45681</v>
      </c>
      <c r="C3772" s="40">
        <v>0.41666666666666669</v>
      </c>
      <c r="D3772" s="41">
        <v>6321.9639999999999</v>
      </c>
      <c r="E3772" s="41">
        <v>6334.8059999999996</v>
      </c>
      <c r="F3772" s="41">
        <v>6294.6750000000002</v>
      </c>
      <c r="G3772" s="41">
        <v>6297.8860000000004</v>
      </c>
      <c r="H3772" s="41">
        <v>7302799220.6000004</v>
      </c>
      <c r="I3772" s="42">
        <v>23125</v>
      </c>
    </row>
    <row r="3773" spans="1:9" x14ac:dyDescent="0.25">
      <c r="A3773" t="s">
        <v>9</v>
      </c>
      <c r="B3773" s="39">
        <v>45681</v>
      </c>
      <c r="C3773" s="40">
        <v>0.39583333333333331</v>
      </c>
      <c r="D3773" s="41">
        <v>6318.2190000000001</v>
      </c>
      <c r="E3773" s="41">
        <v>6334.8059999999996</v>
      </c>
      <c r="F3773" s="41">
        <v>6317.1490000000003</v>
      </c>
      <c r="G3773" s="41">
        <v>6321.4290000000001</v>
      </c>
      <c r="H3773" s="41">
        <v>4884975316.4899998</v>
      </c>
      <c r="I3773" s="42">
        <v>15445</v>
      </c>
    </row>
    <row r="3774" spans="1:9" x14ac:dyDescent="0.25">
      <c r="A3774" t="s">
        <v>9</v>
      </c>
      <c r="B3774" s="39">
        <v>45681</v>
      </c>
      <c r="C3774" s="40">
        <v>0.375</v>
      </c>
      <c r="D3774" s="41">
        <v>6324.64</v>
      </c>
      <c r="E3774" s="41">
        <v>6336.9470000000001</v>
      </c>
      <c r="F3774" s="41">
        <v>6307.5169999999998</v>
      </c>
      <c r="G3774" s="41">
        <v>6318.2190000000001</v>
      </c>
      <c r="H3774" s="41">
        <v>5357222978.46</v>
      </c>
      <c r="I3774" s="42">
        <v>16940</v>
      </c>
    </row>
    <row r="3775" spans="1:9" x14ac:dyDescent="0.25">
      <c r="A3775" t="s">
        <v>9</v>
      </c>
      <c r="B3775" s="39">
        <v>45680</v>
      </c>
      <c r="C3775" s="40">
        <v>0.75</v>
      </c>
      <c r="D3775" s="41">
        <v>6350.8590000000004</v>
      </c>
      <c r="E3775" s="41">
        <v>6351.9290000000001</v>
      </c>
      <c r="F3775" s="41">
        <v>6344.4380000000001</v>
      </c>
      <c r="G3775" s="41">
        <v>6350.3239999999996</v>
      </c>
      <c r="H3775" s="41">
        <v>996772591.76999998</v>
      </c>
      <c r="I3775" s="42">
        <v>3140</v>
      </c>
    </row>
    <row r="3776" spans="1:9" x14ac:dyDescent="0.25">
      <c r="A3776" t="s">
        <v>9</v>
      </c>
      <c r="B3776" s="39">
        <v>45680</v>
      </c>
      <c r="C3776" s="40">
        <v>0.72916666666666663</v>
      </c>
      <c r="D3776" s="41">
        <v>6351.9290000000001</v>
      </c>
      <c r="E3776" s="41">
        <v>6363.701</v>
      </c>
      <c r="F3776" s="41">
        <v>6340.1570000000002</v>
      </c>
      <c r="G3776" s="41">
        <v>6349.7889999999998</v>
      </c>
      <c r="H3776" s="41">
        <v>2716884656.1999998</v>
      </c>
      <c r="I3776" s="42">
        <v>8555</v>
      </c>
    </row>
    <row r="3777" spans="1:9" x14ac:dyDescent="0.25">
      <c r="A3777" t="s">
        <v>9</v>
      </c>
      <c r="B3777" s="39">
        <v>45680</v>
      </c>
      <c r="C3777" s="40">
        <v>0.70833333333333337</v>
      </c>
      <c r="D3777" s="41">
        <v>6350.3239999999996</v>
      </c>
      <c r="E3777" s="41">
        <v>6354.6040000000003</v>
      </c>
      <c r="F3777" s="41">
        <v>6344.4380000000001</v>
      </c>
      <c r="G3777" s="41">
        <v>6352.4639999999999</v>
      </c>
      <c r="H3777" s="41">
        <v>2924173119.4499998</v>
      </c>
      <c r="I3777" s="42">
        <v>9210</v>
      </c>
    </row>
    <row r="3778" spans="1:9" x14ac:dyDescent="0.25">
      <c r="A3778" t="s">
        <v>9</v>
      </c>
      <c r="B3778" s="39">
        <v>45680</v>
      </c>
      <c r="C3778" s="40">
        <v>0.6875</v>
      </c>
      <c r="D3778" s="41">
        <v>6341.2269999999999</v>
      </c>
      <c r="E3778" s="41">
        <v>6358.35</v>
      </c>
      <c r="F3778" s="41">
        <v>6339.6220000000003</v>
      </c>
      <c r="G3778" s="41">
        <v>6350.8590000000004</v>
      </c>
      <c r="H3778" s="41">
        <v>3586810229.9099998</v>
      </c>
      <c r="I3778" s="42">
        <v>11295</v>
      </c>
    </row>
    <row r="3779" spans="1:9" x14ac:dyDescent="0.25">
      <c r="A3779" t="s">
        <v>9</v>
      </c>
      <c r="B3779" s="39">
        <v>45680</v>
      </c>
      <c r="C3779" s="40">
        <v>0.66666666666666663</v>
      </c>
      <c r="D3779" s="41">
        <v>6332.6660000000002</v>
      </c>
      <c r="E3779" s="41">
        <v>6354.6040000000003</v>
      </c>
      <c r="F3779" s="41">
        <v>6331.0609999999997</v>
      </c>
      <c r="G3779" s="41">
        <v>6341.2269999999999</v>
      </c>
      <c r="H3779" s="41">
        <v>4222022642.8800001</v>
      </c>
      <c r="I3779" s="42">
        <v>13315</v>
      </c>
    </row>
    <row r="3780" spans="1:9" x14ac:dyDescent="0.25">
      <c r="A3780" t="s">
        <v>9</v>
      </c>
      <c r="B3780" s="39">
        <v>45680</v>
      </c>
      <c r="C3780" s="40">
        <v>0.64583333333333337</v>
      </c>
      <c r="D3780" s="41">
        <v>6313.9380000000001</v>
      </c>
      <c r="E3780" s="41">
        <v>6333.7359999999999</v>
      </c>
      <c r="F3780" s="41">
        <v>6313.9380000000001</v>
      </c>
      <c r="G3780" s="41">
        <v>6333.201</v>
      </c>
      <c r="H3780" s="41">
        <v>4315682558.4499998</v>
      </c>
      <c r="I3780" s="42">
        <v>13650</v>
      </c>
    </row>
    <row r="3781" spans="1:9" x14ac:dyDescent="0.25">
      <c r="A3781" t="s">
        <v>9</v>
      </c>
      <c r="B3781" s="39">
        <v>45680</v>
      </c>
      <c r="C3781" s="40">
        <v>0.625</v>
      </c>
      <c r="D3781" s="41">
        <v>6307.5169999999998</v>
      </c>
      <c r="E3781" s="41">
        <v>6315.5429999999997</v>
      </c>
      <c r="F3781" s="41">
        <v>6305.3770000000004</v>
      </c>
      <c r="G3781" s="41">
        <v>6313.9380000000001</v>
      </c>
      <c r="H3781" s="41">
        <v>4327007783.75</v>
      </c>
      <c r="I3781" s="42">
        <v>13715</v>
      </c>
    </row>
    <row r="3782" spans="1:9" x14ac:dyDescent="0.25">
      <c r="A3782" t="s">
        <v>9</v>
      </c>
      <c r="B3782" s="39">
        <v>45680</v>
      </c>
      <c r="C3782" s="40">
        <v>0.60416666666666663</v>
      </c>
      <c r="D3782" s="41">
        <v>6322.4989999999998</v>
      </c>
      <c r="E3782" s="41">
        <v>6325.1750000000002</v>
      </c>
      <c r="F3782" s="41">
        <v>6295.7449999999999</v>
      </c>
      <c r="G3782" s="41">
        <v>6308.0519999999997</v>
      </c>
      <c r="H3782" s="41">
        <v>6634979998.8800001</v>
      </c>
      <c r="I3782" s="42">
        <v>21030</v>
      </c>
    </row>
    <row r="3783" spans="1:9" x14ac:dyDescent="0.25">
      <c r="A3783" t="s">
        <v>9</v>
      </c>
      <c r="B3783" s="39">
        <v>45680</v>
      </c>
      <c r="C3783" s="40">
        <v>0.58333333333333337</v>
      </c>
      <c r="D3783" s="41">
        <v>6331.0609999999997</v>
      </c>
      <c r="E3783" s="41">
        <v>6333.7359999999999</v>
      </c>
      <c r="F3783" s="41">
        <v>6320.8940000000002</v>
      </c>
      <c r="G3783" s="41">
        <v>6321.9639999999999</v>
      </c>
      <c r="H3783" s="41">
        <v>4112004410.4000001</v>
      </c>
      <c r="I3783" s="42">
        <v>13000</v>
      </c>
    </row>
    <row r="3784" spans="1:9" x14ac:dyDescent="0.25">
      <c r="A3784" t="s">
        <v>9</v>
      </c>
      <c r="B3784" s="39">
        <v>45680</v>
      </c>
      <c r="C3784" s="40">
        <v>0.5625</v>
      </c>
      <c r="D3784" s="41">
        <v>6343.3680000000004</v>
      </c>
      <c r="E3784" s="41">
        <v>6343.3680000000004</v>
      </c>
      <c r="F3784" s="41">
        <v>6323.57</v>
      </c>
      <c r="G3784" s="41">
        <v>6331.5959999999995</v>
      </c>
      <c r="H3784" s="41">
        <v>4497512875.1499996</v>
      </c>
      <c r="I3784" s="42">
        <v>14195</v>
      </c>
    </row>
    <row r="3785" spans="1:9" x14ac:dyDescent="0.25">
      <c r="A3785" t="s">
        <v>9</v>
      </c>
      <c r="B3785" s="39">
        <v>45680</v>
      </c>
      <c r="C3785" s="40">
        <v>0.54166666666666663</v>
      </c>
      <c r="D3785" s="41">
        <v>6344.973</v>
      </c>
      <c r="E3785" s="41">
        <v>6356.7449999999999</v>
      </c>
      <c r="F3785" s="41">
        <v>6332.6660000000002</v>
      </c>
      <c r="G3785" s="41">
        <v>6342.8320000000003</v>
      </c>
      <c r="H3785" s="41">
        <v>4445322825.29</v>
      </c>
      <c r="I3785" s="42">
        <v>14010</v>
      </c>
    </row>
    <row r="3786" spans="1:9" x14ac:dyDescent="0.25">
      <c r="A3786" t="s">
        <v>9</v>
      </c>
      <c r="B3786" s="39">
        <v>45680</v>
      </c>
      <c r="C3786" s="40">
        <v>0.52083333333333337</v>
      </c>
      <c r="D3786" s="41">
        <v>6340.1570000000002</v>
      </c>
      <c r="E3786" s="41">
        <v>6349.7889999999998</v>
      </c>
      <c r="F3786" s="41">
        <v>6335.3410000000003</v>
      </c>
      <c r="G3786" s="41">
        <v>6344.4380000000001</v>
      </c>
      <c r="H3786" s="41">
        <v>2558445741.4400001</v>
      </c>
      <c r="I3786" s="42">
        <v>8065</v>
      </c>
    </row>
    <row r="3787" spans="1:9" x14ac:dyDescent="0.25">
      <c r="A3787" t="s">
        <v>9</v>
      </c>
      <c r="B3787" s="39">
        <v>45680</v>
      </c>
      <c r="C3787" s="40">
        <v>0.5</v>
      </c>
      <c r="D3787" s="41">
        <v>6369.0510000000004</v>
      </c>
      <c r="E3787" s="41">
        <v>6370.1220000000003</v>
      </c>
      <c r="F3787" s="41">
        <v>6339.0870000000004</v>
      </c>
      <c r="G3787" s="41">
        <v>6339.6220000000003</v>
      </c>
      <c r="H3787" s="41">
        <v>5729729680.0500002</v>
      </c>
      <c r="I3787" s="42">
        <v>18030</v>
      </c>
    </row>
    <row r="3788" spans="1:9" x14ac:dyDescent="0.25">
      <c r="A3788" t="s">
        <v>9</v>
      </c>
      <c r="B3788" s="39">
        <v>45680</v>
      </c>
      <c r="C3788" s="40">
        <v>0.47916666666666669</v>
      </c>
      <c r="D3788" s="41">
        <v>6378.683</v>
      </c>
      <c r="E3788" s="41">
        <v>6380.8230000000003</v>
      </c>
      <c r="F3788" s="41">
        <v>6364.2359999999999</v>
      </c>
      <c r="G3788" s="41">
        <v>6369.5860000000002</v>
      </c>
      <c r="H3788" s="41">
        <v>5024866770.29</v>
      </c>
      <c r="I3788" s="42">
        <v>15765</v>
      </c>
    </row>
    <row r="3789" spans="1:9" x14ac:dyDescent="0.25">
      <c r="A3789" t="s">
        <v>9</v>
      </c>
      <c r="B3789" s="39">
        <v>45680</v>
      </c>
      <c r="C3789" s="40">
        <v>0.45833333333333331</v>
      </c>
      <c r="D3789" s="41">
        <v>6374.402</v>
      </c>
      <c r="E3789" s="41">
        <v>6383.4989999999998</v>
      </c>
      <c r="F3789" s="41">
        <v>6371.7269999999999</v>
      </c>
      <c r="G3789" s="41">
        <v>6379.2179999999998</v>
      </c>
      <c r="H3789" s="41">
        <v>3459989564.5300002</v>
      </c>
      <c r="I3789" s="42">
        <v>10850</v>
      </c>
    </row>
    <row r="3790" spans="1:9" x14ac:dyDescent="0.25">
      <c r="A3790" t="s">
        <v>9</v>
      </c>
      <c r="B3790" s="39">
        <v>45680</v>
      </c>
      <c r="C3790" s="40">
        <v>0.4375</v>
      </c>
      <c r="D3790" s="41">
        <v>6381.3580000000002</v>
      </c>
      <c r="E3790" s="41">
        <v>6386.7089999999998</v>
      </c>
      <c r="F3790" s="41">
        <v>6367.4459999999999</v>
      </c>
      <c r="G3790" s="41">
        <v>6375.4719999999998</v>
      </c>
      <c r="H3790" s="41">
        <v>4038907198.9699998</v>
      </c>
      <c r="I3790" s="42">
        <v>12670</v>
      </c>
    </row>
    <row r="3791" spans="1:9" x14ac:dyDescent="0.25">
      <c r="A3791" t="s">
        <v>9</v>
      </c>
      <c r="B3791" s="39">
        <v>45680</v>
      </c>
      <c r="C3791" s="40">
        <v>0.41666666666666669</v>
      </c>
      <c r="D3791" s="41">
        <v>6388.8490000000002</v>
      </c>
      <c r="E3791" s="41">
        <v>6393.13</v>
      </c>
      <c r="F3791" s="41">
        <v>6372.2619999999997</v>
      </c>
      <c r="G3791" s="41">
        <v>6380.2879999999996</v>
      </c>
      <c r="H3791" s="41">
        <v>6576814849.9300003</v>
      </c>
      <c r="I3791" s="42">
        <v>20610</v>
      </c>
    </row>
    <row r="3792" spans="1:9" x14ac:dyDescent="0.25">
      <c r="A3792" t="s">
        <v>9</v>
      </c>
      <c r="B3792" s="39">
        <v>45680</v>
      </c>
      <c r="C3792" s="40">
        <v>0.39583333333333331</v>
      </c>
      <c r="D3792" s="41">
        <v>6390.4549999999999</v>
      </c>
      <c r="E3792" s="41">
        <v>6400.0860000000002</v>
      </c>
      <c r="F3792" s="41">
        <v>6383.4989999999998</v>
      </c>
      <c r="G3792" s="41">
        <v>6388.8490000000002</v>
      </c>
      <c r="H3792" s="41">
        <v>5164651074.4300003</v>
      </c>
      <c r="I3792" s="42">
        <v>16160</v>
      </c>
    </row>
    <row r="3793" spans="1:9" x14ac:dyDescent="0.25">
      <c r="A3793" t="s">
        <v>9</v>
      </c>
      <c r="B3793" s="39">
        <v>45680</v>
      </c>
      <c r="C3793" s="40">
        <v>0.375</v>
      </c>
      <c r="D3793" s="41">
        <v>6370.6570000000002</v>
      </c>
      <c r="E3793" s="41">
        <v>6392.06</v>
      </c>
      <c r="F3793" s="41">
        <v>6365.8410000000003</v>
      </c>
      <c r="G3793" s="41">
        <v>6390.99</v>
      </c>
      <c r="H3793" s="41">
        <v>8047422952.1099997</v>
      </c>
      <c r="I3793" s="42">
        <v>25215</v>
      </c>
    </row>
    <row r="3794" spans="1:9" x14ac:dyDescent="0.25">
      <c r="A3794" t="s">
        <v>9</v>
      </c>
      <c r="B3794" s="39">
        <v>45679</v>
      </c>
      <c r="C3794" s="40">
        <v>0.75</v>
      </c>
      <c r="D3794" s="41">
        <v>6370.1220000000003</v>
      </c>
      <c r="E3794" s="41">
        <v>6374.9369999999999</v>
      </c>
      <c r="F3794" s="41">
        <v>6367.4459999999999</v>
      </c>
      <c r="G3794" s="41">
        <v>6369.5860000000002</v>
      </c>
      <c r="H3794" s="41">
        <v>1696204310.75</v>
      </c>
      <c r="I3794" s="42">
        <v>5325</v>
      </c>
    </row>
    <row r="3795" spans="1:9" x14ac:dyDescent="0.25">
      <c r="A3795" t="s">
        <v>9</v>
      </c>
      <c r="B3795" s="39">
        <v>45679</v>
      </c>
      <c r="C3795" s="40">
        <v>0.72916666666666663</v>
      </c>
      <c r="D3795" s="41">
        <v>6367.9809999999998</v>
      </c>
      <c r="E3795" s="41">
        <v>6371.192</v>
      </c>
      <c r="F3795" s="41">
        <v>6366.3760000000002</v>
      </c>
      <c r="G3795" s="41">
        <v>6369.5860000000002</v>
      </c>
      <c r="H3795" s="41">
        <v>1695781731.71</v>
      </c>
      <c r="I3795" s="42">
        <v>5325</v>
      </c>
    </row>
    <row r="3796" spans="1:9" x14ac:dyDescent="0.25">
      <c r="A3796" t="s">
        <v>9</v>
      </c>
      <c r="B3796" s="39">
        <v>45679</v>
      </c>
      <c r="C3796" s="40">
        <v>0.70833333333333337</v>
      </c>
      <c r="D3796" s="41">
        <v>6374.9369999999999</v>
      </c>
      <c r="E3796" s="41">
        <v>6374.9369999999999</v>
      </c>
      <c r="F3796" s="41">
        <v>6366.9110000000001</v>
      </c>
      <c r="G3796" s="41">
        <v>6367.4459999999999</v>
      </c>
      <c r="H3796" s="41">
        <v>1157822694.51</v>
      </c>
      <c r="I3796" s="42">
        <v>3635</v>
      </c>
    </row>
    <row r="3797" spans="1:9" x14ac:dyDescent="0.25">
      <c r="A3797" t="s">
        <v>9</v>
      </c>
      <c r="B3797" s="39">
        <v>45679</v>
      </c>
      <c r="C3797" s="40">
        <v>0.6875</v>
      </c>
      <c r="D3797" s="41">
        <v>6367.4459999999999</v>
      </c>
      <c r="E3797" s="41">
        <v>6374.402</v>
      </c>
      <c r="F3797" s="41">
        <v>6365.3059999999996</v>
      </c>
      <c r="G3797" s="41">
        <v>6374.402</v>
      </c>
      <c r="H3797" s="41">
        <v>2049617904.0599999</v>
      </c>
      <c r="I3797" s="42">
        <v>6435</v>
      </c>
    </row>
    <row r="3798" spans="1:9" x14ac:dyDescent="0.25">
      <c r="A3798" t="s">
        <v>9</v>
      </c>
      <c r="B3798" s="39">
        <v>45679</v>
      </c>
      <c r="C3798" s="40">
        <v>0.66666666666666663</v>
      </c>
      <c r="D3798" s="41">
        <v>6357.28</v>
      </c>
      <c r="E3798" s="41">
        <v>6369.5860000000002</v>
      </c>
      <c r="F3798" s="41">
        <v>6357.28</v>
      </c>
      <c r="G3798" s="41">
        <v>6366.3760000000002</v>
      </c>
      <c r="H3798" s="41">
        <v>5033740261.3000002</v>
      </c>
      <c r="I3798" s="42">
        <v>15815</v>
      </c>
    </row>
    <row r="3799" spans="1:9" x14ac:dyDescent="0.25">
      <c r="A3799" t="s">
        <v>9</v>
      </c>
      <c r="B3799" s="39">
        <v>45679</v>
      </c>
      <c r="C3799" s="40">
        <v>0.64583333333333337</v>
      </c>
      <c r="D3799" s="41">
        <v>6356.7449999999999</v>
      </c>
      <c r="E3799" s="41">
        <v>6363.165</v>
      </c>
      <c r="F3799" s="41">
        <v>6353.5339999999997</v>
      </c>
      <c r="G3799" s="41">
        <v>6357.28</v>
      </c>
      <c r="H3799" s="41">
        <v>6061601908.8000002</v>
      </c>
      <c r="I3799" s="42">
        <v>19065</v>
      </c>
    </row>
    <row r="3800" spans="1:9" x14ac:dyDescent="0.25">
      <c r="A3800" t="s">
        <v>9</v>
      </c>
      <c r="B3800" s="39">
        <v>45679</v>
      </c>
      <c r="C3800" s="40">
        <v>0.625</v>
      </c>
      <c r="D3800" s="41">
        <v>6362.63</v>
      </c>
      <c r="E3800" s="41">
        <v>6363.701</v>
      </c>
      <c r="F3800" s="41">
        <v>6354.6040000000003</v>
      </c>
      <c r="G3800" s="41">
        <v>6356.7449999999999</v>
      </c>
      <c r="H3800" s="41">
        <v>4249428880.1399999</v>
      </c>
      <c r="I3800" s="42">
        <v>13365</v>
      </c>
    </row>
    <row r="3801" spans="1:9" x14ac:dyDescent="0.25">
      <c r="A3801" t="s">
        <v>9</v>
      </c>
      <c r="B3801" s="39">
        <v>45679</v>
      </c>
      <c r="C3801" s="40">
        <v>0.60416666666666663</v>
      </c>
      <c r="D3801" s="41">
        <v>6350.3239999999996</v>
      </c>
      <c r="E3801" s="41">
        <v>6365.8410000000003</v>
      </c>
      <c r="F3801" s="41">
        <v>6347.6480000000001</v>
      </c>
      <c r="G3801" s="41">
        <v>6362.0950000000003</v>
      </c>
      <c r="H3801" s="41">
        <v>4325749945.6000004</v>
      </c>
      <c r="I3801" s="42">
        <v>13610</v>
      </c>
    </row>
    <row r="3802" spans="1:9" x14ac:dyDescent="0.25">
      <c r="A3802" t="s">
        <v>9</v>
      </c>
      <c r="B3802" s="39">
        <v>45679</v>
      </c>
      <c r="C3802" s="40">
        <v>0.58333333333333337</v>
      </c>
      <c r="D3802" s="41">
        <v>6350.3239999999996</v>
      </c>
      <c r="E3802" s="41">
        <v>6359.42</v>
      </c>
      <c r="F3802" s="41">
        <v>6348.7179999999998</v>
      </c>
      <c r="G3802" s="41">
        <v>6349.7889999999998</v>
      </c>
      <c r="H3802" s="41">
        <v>2517442866.3800001</v>
      </c>
      <c r="I3802" s="42">
        <v>7925</v>
      </c>
    </row>
    <row r="3803" spans="1:9" x14ac:dyDescent="0.25">
      <c r="A3803" t="s">
        <v>9</v>
      </c>
      <c r="B3803" s="39">
        <v>45679</v>
      </c>
      <c r="C3803" s="40">
        <v>0.5625</v>
      </c>
      <c r="D3803" s="41">
        <v>6358.8850000000002</v>
      </c>
      <c r="E3803" s="41">
        <v>6361.56</v>
      </c>
      <c r="F3803" s="41">
        <v>6341.2269999999999</v>
      </c>
      <c r="G3803" s="41">
        <v>6350.8590000000004</v>
      </c>
      <c r="H3803" s="41">
        <v>12387864843.27</v>
      </c>
      <c r="I3803" s="42">
        <v>38985</v>
      </c>
    </row>
    <row r="3804" spans="1:9" x14ac:dyDescent="0.25">
      <c r="A3804" t="s">
        <v>9</v>
      </c>
      <c r="B3804" s="39">
        <v>45679</v>
      </c>
      <c r="C3804" s="40">
        <v>0.54166666666666663</v>
      </c>
      <c r="D3804" s="41">
        <v>6369.0510000000004</v>
      </c>
      <c r="E3804" s="41">
        <v>6372.7969999999996</v>
      </c>
      <c r="F3804" s="41">
        <v>6355.1390000000001</v>
      </c>
      <c r="G3804" s="41">
        <v>6358.8850000000002</v>
      </c>
      <c r="H3804" s="41">
        <v>3644972703.46</v>
      </c>
      <c r="I3804" s="42">
        <v>11455</v>
      </c>
    </row>
    <row r="3805" spans="1:9" x14ac:dyDescent="0.25">
      <c r="A3805" t="s">
        <v>9</v>
      </c>
      <c r="B3805" s="39">
        <v>45679</v>
      </c>
      <c r="C3805" s="40">
        <v>0.52083333333333337</v>
      </c>
      <c r="D3805" s="41">
        <v>6367.9809999999998</v>
      </c>
      <c r="E3805" s="41">
        <v>6372.7969999999996</v>
      </c>
      <c r="F3805" s="41">
        <v>6362.63</v>
      </c>
      <c r="G3805" s="41">
        <v>6368.5159999999996</v>
      </c>
      <c r="H3805" s="41">
        <v>4897541391.1700001</v>
      </c>
      <c r="I3805" s="42">
        <v>15380</v>
      </c>
    </row>
    <row r="3806" spans="1:9" x14ac:dyDescent="0.25">
      <c r="A3806" t="s">
        <v>9</v>
      </c>
      <c r="B3806" s="39">
        <v>45679</v>
      </c>
      <c r="C3806" s="40">
        <v>0.5</v>
      </c>
      <c r="D3806" s="41">
        <v>6366.3760000000002</v>
      </c>
      <c r="E3806" s="41">
        <v>6372.2619999999997</v>
      </c>
      <c r="F3806" s="41">
        <v>6357.28</v>
      </c>
      <c r="G3806" s="41">
        <v>6368.5159999999996</v>
      </c>
      <c r="H3806" s="41">
        <v>7628072581.3299999</v>
      </c>
      <c r="I3806" s="42">
        <v>23965</v>
      </c>
    </row>
    <row r="3807" spans="1:9" x14ac:dyDescent="0.25">
      <c r="A3807" t="s">
        <v>9</v>
      </c>
      <c r="B3807" s="39">
        <v>45679</v>
      </c>
      <c r="C3807" s="40">
        <v>0.47916666666666669</v>
      </c>
      <c r="D3807" s="41">
        <v>6413.4629999999997</v>
      </c>
      <c r="E3807" s="41">
        <v>6415.6030000000001</v>
      </c>
      <c r="F3807" s="41">
        <v>6354.0690000000004</v>
      </c>
      <c r="G3807" s="41">
        <v>6366.3760000000002</v>
      </c>
      <c r="H3807" s="41">
        <v>13167317301.190001</v>
      </c>
      <c r="I3807" s="42">
        <v>41225</v>
      </c>
    </row>
    <row r="3808" spans="1:9" x14ac:dyDescent="0.25">
      <c r="A3808" t="s">
        <v>9</v>
      </c>
      <c r="B3808" s="39">
        <v>45679</v>
      </c>
      <c r="C3808" s="40">
        <v>0.45833333333333331</v>
      </c>
      <c r="D3808" s="41">
        <v>6420.9539999999997</v>
      </c>
      <c r="E3808" s="41">
        <v>6423.6289999999999</v>
      </c>
      <c r="F3808" s="41">
        <v>6409.1819999999998</v>
      </c>
      <c r="G3808" s="41">
        <v>6414.5330000000004</v>
      </c>
      <c r="H3808" s="41">
        <v>7737797456.4700003</v>
      </c>
      <c r="I3808" s="42">
        <v>24110</v>
      </c>
    </row>
    <row r="3809" spans="1:9" x14ac:dyDescent="0.25">
      <c r="A3809" t="s">
        <v>9</v>
      </c>
      <c r="B3809" s="39">
        <v>45679</v>
      </c>
      <c r="C3809" s="40">
        <v>0.4375</v>
      </c>
      <c r="D3809" s="41">
        <v>6442.8919999999998</v>
      </c>
      <c r="E3809" s="41">
        <v>6447.7079999999996</v>
      </c>
      <c r="F3809" s="41">
        <v>6417.7439999999997</v>
      </c>
      <c r="G3809" s="41">
        <v>6420.9539999999997</v>
      </c>
      <c r="H3809" s="41">
        <v>6410207946.5100002</v>
      </c>
      <c r="I3809" s="42">
        <v>19930</v>
      </c>
    </row>
    <row r="3810" spans="1:9" x14ac:dyDescent="0.25">
      <c r="A3810" t="s">
        <v>9</v>
      </c>
      <c r="B3810" s="39">
        <v>45679</v>
      </c>
      <c r="C3810" s="40">
        <v>0.41666666666666669</v>
      </c>
      <c r="D3810" s="41">
        <v>6433.2610000000004</v>
      </c>
      <c r="E3810" s="41">
        <v>6443.9629999999997</v>
      </c>
      <c r="F3810" s="41">
        <v>6431.6559999999999</v>
      </c>
      <c r="G3810" s="41">
        <v>6442.8919999999998</v>
      </c>
      <c r="H3810" s="41">
        <v>3986938003.1799998</v>
      </c>
      <c r="I3810" s="42">
        <v>12385</v>
      </c>
    </row>
    <row r="3811" spans="1:9" x14ac:dyDescent="0.25">
      <c r="A3811" t="s">
        <v>9</v>
      </c>
      <c r="B3811" s="39">
        <v>45679</v>
      </c>
      <c r="C3811" s="40">
        <v>0.39583333333333331</v>
      </c>
      <c r="D3811" s="41">
        <v>6447.7079999999996</v>
      </c>
      <c r="E3811" s="41">
        <v>6451.9889999999996</v>
      </c>
      <c r="F3811" s="41">
        <v>6427.375</v>
      </c>
      <c r="G3811" s="41">
        <v>6433.2610000000004</v>
      </c>
      <c r="H3811" s="41">
        <v>4985729449.9300003</v>
      </c>
      <c r="I3811" s="42">
        <v>15490</v>
      </c>
    </row>
    <row r="3812" spans="1:9" x14ac:dyDescent="0.25">
      <c r="A3812" t="s">
        <v>9</v>
      </c>
      <c r="B3812" s="39">
        <v>45679</v>
      </c>
      <c r="C3812" s="40">
        <v>0.375</v>
      </c>
      <c r="D3812" s="41">
        <v>6448.2430000000004</v>
      </c>
      <c r="E3812" s="41">
        <v>6453.0590000000002</v>
      </c>
      <c r="F3812" s="41">
        <v>6428.4449999999997</v>
      </c>
      <c r="G3812" s="41">
        <v>6448.2430000000004</v>
      </c>
      <c r="H3812" s="41">
        <v>5983901675.9099998</v>
      </c>
      <c r="I3812" s="42">
        <v>18580</v>
      </c>
    </row>
    <row r="3813" spans="1:9" x14ac:dyDescent="0.25">
      <c r="A3813" t="s">
        <v>9</v>
      </c>
      <c r="B3813" s="39">
        <v>45678</v>
      </c>
      <c r="C3813" s="40">
        <v>0.75</v>
      </c>
      <c r="D3813" s="41">
        <v>6460.0150000000003</v>
      </c>
      <c r="E3813" s="41">
        <v>6461.62</v>
      </c>
      <c r="F3813" s="41">
        <v>6454.1289999999999</v>
      </c>
      <c r="G3813" s="41">
        <v>6460.0150000000003</v>
      </c>
      <c r="H3813" s="41">
        <v>899301973.72000003</v>
      </c>
      <c r="I3813" s="42">
        <v>2785</v>
      </c>
    </row>
    <row r="3814" spans="1:9" x14ac:dyDescent="0.25">
      <c r="A3814" t="s">
        <v>9</v>
      </c>
      <c r="B3814" s="39">
        <v>45678</v>
      </c>
      <c r="C3814" s="40">
        <v>0.72916666666666663</v>
      </c>
      <c r="D3814" s="41">
        <v>6457.875</v>
      </c>
      <c r="E3814" s="41">
        <v>6462.69</v>
      </c>
      <c r="F3814" s="41">
        <v>6454.6639999999998</v>
      </c>
      <c r="G3814" s="41">
        <v>6460.0150000000003</v>
      </c>
      <c r="H3814" s="41">
        <v>1398105096.54</v>
      </c>
      <c r="I3814" s="42">
        <v>4330</v>
      </c>
    </row>
    <row r="3815" spans="1:9" x14ac:dyDescent="0.25">
      <c r="A3815" t="s">
        <v>9</v>
      </c>
      <c r="B3815" s="39">
        <v>45678</v>
      </c>
      <c r="C3815" s="40">
        <v>0.70833333333333337</v>
      </c>
      <c r="D3815" s="41">
        <v>6467.5060000000003</v>
      </c>
      <c r="E3815" s="41">
        <v>6468.0410000000002</v>
      </c>
      <c r="F3815" s="41">
        <v>6456.2690000000002</v>
      </c>
      <c r="G3815" s="41">
        <v>6457.3389999999999</v>
      </c>
      <c r="H3815" s="41">
        <v>1211508425.3599999</v>
      </c>
      <c r="I3815" s="42">
        <v>3750</v>
      </c>
    </row>
    <row r="3816" spans="1:9" x14ac:dyDescent="0.25">
      <c r="A3816" t="s">
        <v>9</v>
      </c>
      <c r="B3816" s="39">
        <v>45678</v>
      </c>
      <c r="C3816" s="40">
        <v>0.6875</v>
      </c>
      <c r="D3816" s="41">
        <v>6467.5060000000003</v>
      </c>
      <c r="E3816" s="41">
        <v>6471.7870000000003</v>
      </c>
      <c r="F3816" s="41">
        <v>6464.2960000000003</v>
      </c>
      <c r="G3816" s="41">
        <v>6466.9709999999995</v>
      </c>
      <c r="H3816" s="41">
        <v>4628625814.5699997</v>
      </c>
      <c r="I3816" s="42">
        <v>14310</v>
      </c>
    </row>
    <row r="3817" spans="1:9" x14ac:dyDescent="0.25">
      <c r="A3817" t="s">
        <v>9</v>
      </c>
      <c r="B3817" s="39">
        <v>45678</v>
      </c>
      <c r="C3817" s="40">
        <v>0.66666666666666663</v>
      </c>
      <c r="D3817" s="41">
        <v>6463.2250000000004</v>
      </c>
      <c r="E3817" s="41">
        <v>6469.6459999999997</v>
      </c>
      <c r="F3817" s="41">
        <v>6457.875</v>
      </c>
      <c r="G3817" s="41">
        <v>6467.5060000000003</v>
      </c>
      <c r="H3817" s="41">
        <v>2336574756.4000001</v>
      </c>
      <c r="I3817" s="42">
        <v>7230</v>
      </c>
    </row>
    <row r="3818" spans="1:9" x14ac:dyDescent="0.25">
      <c r="A3818" t="s">
        <v>9</v>
      </c>
      <c r="B3818" s="39">
        <v>45678</v>
      </c>
      <c r="C3818" s="40">
        <v>0.64583333333333337</v>
      </c>
      <c r="D3818" s="41">
        <v>6462.1549999999997</v>
      </c>
      <c r="E3818" s="41">
        <v>6463.76</v>
      </c>
      <c r="F3818" s="41">
        <v>6451.9889999999996</v>
      </c>
      <c r="G3818" s="41">
        <v>6462.1549999999997</v>
      </c>
      <c r="H3818" s="41">
        <v>3254836068.5100002</v>
      </c>
      <c r="I3818" s="42">
        <v>10080</v>
      </c>
    </row>
    <row r="3819" spans="1:9" x14ac:dyDescent="0.25">
      <c r="A3819" t="s">
        <v>9</v>
      </c>
      <c r="B3819" s="39">
        <v>45678</v>
      </c>
      <c r="C3819" s="40">
        <v>0.625</v>
      </c>
      <c r="D3819" s="41">
        <v>6470.7160000000003</v>
      </c>
      <c r="E3819" s="41">
        <v>6473.3919999999998</v>
      </c>
      <c r="F3819" s="41">
        <v>6461.62</v>
      </c>
      <c r="G3819" s="41">
        <v>6462.69</v>
      </c>
      <c r="H3819" s="41">
        <v>1904189848.8299999</v>
      </c>
      <c r="I3819" s="42">
        <v>5890</v>
      </c>
    </row>
    <row r="3820" spans="1:9" x14ac:dyDescent="0.25">
      <c r="A3820" t="s">
        <v>9</v>
      </c>
      <c r="B3820" s="39">
        <v>45678</v>
      </c>
      <c r="C3820" s="40">
        <v>0.60416666666666663</v>
      </c>
      <c r="D3820" s="41">
        <v>6463.2250000000004</v>
      </c>
      <c r="E3820" s="41">
        <v>6471.2520000000004</v>
      </c>
      <c r="F3820" s="41">
        <v>6458.9449999999997</v>
      </c>
      <c r="G3820" s="41">
        <v>6470.7160000000003</v>
      </c>
      <c r="H3820" s="41">
        <v>2333446012.75</v>
      </c>
      <c r="I3820" s="42">
        <v>7220</v>
      </c>
    </row>
    <row r="3821" spans="1:9" x14ac:dyDescent="0.25">
      <c r="A3821" t="s">
        <v>9</v>
      </c>
      <c r="B3821" s="39">
        <v>45678</v>
      </c>
      <c r="C3821" s="40">
        <v>0.58333333333333337</v>
      </c>
      <c r="D3821" s="41">
        <v>6463.2250000000004</v>
      </c>
      <c r="E3821" s="41">
        <v>6469.1109999999999</v>
      </c>
      <c r="F3821" s="41">
        <v>6461.62</v>
      </c>
      <c r="G3821" s="41">
        <v>6462.69</v>
      </c>
      <c r="H3821" s="41">
        <v>1764939554.04</v>
      </c>
      <c r="I3821" s="42">
        <v>5460</v>
      </c>
    </row>
    <row r="3822" spans="1:9" x14ac:dyDescent="0.25">
      <c r="A3822" t="s">
        <v>9</v>
      </c>
      <c r="B3822" s="39">
        <v>45678</v>
      </c>
      <c r="C3822" s="40">
        <v>0.5625</v>
      </c>
      <c r="D3822" s="41">
        <v>6463.76</v>
      </c>
      <c r="E3822" s="41">
        <v>6470.7160000000003</v>
      </c>
      <c r="F3822" s="41">
        <v>6456.8040000000001</v>
      </c>
      <c r="G3822" s="41">
        <v>6463.76</v>
      </c>
      <c r="H3822" s="41">
        <v>2724392356.7600002</v>
      </c>
      <c r="I3822" s="42">
        <v>8430</v>
      </c>
    </row>
    <row r="3823" spans="1:9" x14ac:dyDescent="0.25">
      <c r="A3823" t="s">
        <v>9</v>
      </c>
      <c r="B3823" s="39">
        <v>45678</v>
      </c>
      <c r="C3823" s="40">
        <v>0.54166666666666663</v>
      </c>
      <c r="D3823" s="41">
        <v>6466.9709999999995</v>
      </c>
      <c r="E3823" s="41">
        <v>6470.1809999999996</v>
      </c>
      <c r="F3823" s="41">
        <v>6460.0150000000003</v>
      </c>
      <c r="G3823" s="41">
        <v>6463.76</v>
      </c>
      <c r="H3823" s="41">
        <v>6537303642.7600002</v>
      </c>
      <c r="I3823" s="42">
        <v>20220</v>
      </c>
    </row>
    <row r="3824" spans="1:9" x14ac:dyDescent="0.25">
      <c r="A3824" t="s">
        <v>9</v>
      </c>
      <c r="B3824" s="39">
        <v>45678</v>
      </c>
      <c r="C3824" s="40">
        <v>0.52083333333333337</v>
      </c>
      <c r="D3824" s="41">
        <v>6466.4359999999997</v>
      </c>
      <c r="E3824" s="41">
        <v>6474.4620000000004</v>
      </c>
      <c r="F3824" s="41">
        <v>6462.1549999999997</v>
      </c>
      <c r="G3824" s="41">
        <v>6467.5060000000003</v>
      </c>
      <c r="H3824" s="41">
        <v>4146359725.2199998</v>
      </c>
      <c r="I3824" s="42">
        <v>12820</v>
      </c>
    </row>
    <row r="3825" spans="1:9" x14ac:dyDescent="0.25">
      <c r="A3825" t="s">
        <v>9</v>
      </c>
      <c r="B3825" s="39">
        <v>45678</v>
      </c>
      <c r="C3825" s="40">
        <v>0.5</v>
      </c>
      <c r="D3825" s="41">
        <v>6487.3040000000001</v>
      </c>
      <c r="E3825" s="41">
        <v>6491.049</v>
      </c>
      <c r="F3825" s="41">
        <v>6465.366</v>
      </c>
      <c r="G3825" s="41">
        <v>6466.9709999999995</v>
      </c>
      <c r="H3825" s="41">
        <v>5296072487.1800003</v>
      </c>
      <c r="I3825" s="42">
        <v>16350</v>
      </c>
    </row>
    <row r="3826" spans="1:9" x14ac:dyDescent="0.25">
      <c r="A3826" t="s">
        <v>9</v>
      </c>
      <c r="B3826" s="39">
        <v>45678</v>
      </c>
      <c r="C3826" s="40">
        <v>0.47916666666666669</v>
      </c>
      <c r="D3826" s="41">
        <v>6486.7690000000002</v>
      </c>
      <c r="E3826" s="41">
        <v>6493.7250000000004</v>
      </c>
      <c r="F3826" s="41">
        <v>6479.8130000000001</v>
      </c>
      <c r="G3826" s="41">
        <v>6486.7690000000002</v>
      </c>
      <c r="H3826" s="41">
        <v>2187730084.7399998</v>
      </c>
      <c r="I3826" s="42">
        <v>6745</v>
      </c>
    </row>
    <row r="3827" spans="1:9" x14ac:dyDescent="0.25">
      <c r="A3827" t="s">
        <v>9</v>
      </c>
      <c r="B3827" s="39">
        <v>45678</v>
      </c>
      <c r="C3827" s="40">
        <v>0.45833333333333331</v>
      </c>
      <c r="D3827" s="41">
        <v>6491.585</v>
      </c>
      <c r="E3827" s="41">
        <v>6496.9350000000004</v>
      </c>
      <c r="F3827" s="41">
        <v>6480.8829999999998</v>
      </c>
      <c r="G3827" s="41">
        <v>6488.9089999999997</v>
      </c>
      <c r="H3827" s="41">
        <v>7321261470.1300001</v>
      </c>
      <c r="I3827" s="42">
        <v>22565</v>
      </c>
    </row>
    <row r="3828" spans="1:9" x14ac:dyDescent="0.25">
      <c r="A3828" t="s">
        <v>9</v>
      </c>
      <c r="B3828" s="39">
        <v>45678</v>
      </c>
      <c r="C3828" s="40">
        <v>0.4375</v>
      </c>
      <c r="D3828" s="41">
        <v>6490.5140000000001</v>
      </c>
      <c r="E3828" s="41">
        <v>6495.33</v>
      </c>
      <c r="F3828" s="41">
        <v>6480.348</v>
      </c>
      <c r="G3828" s="41">
        <v>6492.12</v>
      </c>
      <c r="H3828" s="41">
        <v>3924677890.77</v>
      </c>
      <c r="I3828" s="42">
        <v>12100</v>
      </c>
    </row>
    <row r="3829" spans="1:9" x14ac:dyDescent="0.25">
      <c r="A3829" t="s">
        <v>9</v>
      </c>
      <c r="B3829" s="39">
        <v>45678</v>
      </c>
      <c r="C3829" s="40">
        <v>0.41666666666666669</v>
      </c>
      <c r="D3829" s="41">
        <v>6480.8829999999998</v>
      </c>
      <c r="E3829" s="41">
        <v>6495.33</v>
      </c>
      <c r="F3829" s="41">
        <v>6480.8829999999998</v>
      </c>
      <c r="G3829" s="41">
        <v>6490.5140000000001</v>
      </c>
      <c r="H3829" s="41">
        <v>4684489185.2399998</v>
      </c>
      <c r="I3829" s="42">
        <v>14440</v>
      </c>
    </row>
    <row r="3830" spans="1:9" x14ac:dyDescent="0.25">
      <c r="A3830" t="s">
        <v>9</v>
      </c>
      <c r="B3830" s="39">
        <v>45678</v>
      </c>
      <c r="C3830" s="40">
        <v>0.39583333333333331</v>
      </c>
      <c r="D3830" s="41">
        <v>6488.3739999999998</v>
      </c>
      <c r="E3830" s="41">
        <v>6500.1459999999997</v>
      </c>
      <c r="F3830" s="41">
        <v>6479.2780000000002</v>
      </c>
      <c r="G3830" s="41">
        <v>6480.8829999999998</v>
      </c>
      <c r="H3830" s="41">
        <v>8144306855.4799995</v>
      </c>
      <c r="I3830" s="42">
        <v>25085</v>
      </c>
    </row>
    <row r="3831" spans="1:9" x14ac:dyDescent="0.25">
      <c r="A3831" t="s">
        <v>9</v>
      </c>
      <c r="B3831" s="39">
        <v>45678</v>
      </c>
      <c r="C3831" s="40">
        <v>0.375</v>
      </c>
      <c r="D3831" s="41">
        <v>6493.7250000000004</v>
      </c>
      <c r="E3831" s="41">
        <v>6506.0320000000002</v>
      </c>
      <c r="F3831" s="41">
        <v>6480.8829999999998</v>
      </c>
      <c r="G3831" s="41">
        <v>6487.8389999999999</v>
      </c>
      <c r="H3831" s="41">
        <v>3776105574.5900002</v>
      </c>
      <c r="I3831" s="42">
        <v>11630</v>
      </c>
    </row>
    <row r="3832" spans="1:9" x14ac:dyDescent="0.25">
      <c r="A3832" t="s">
        <v>9</v>
      </c>
      <c r="B3832" s="39">
        <v>45677</v>
      </c>
      <c r="C3832" s="40">
        <v>0.75</v>
      </c>
      <c r="D3832" s="41">
        <v>6471.2520000000004</v>
      </c>
      <c r="E3832" s="41">
        <v>6472.3220000000001</v>
      </c>
      <c r="F3832" s="41">
        <v>6458.9449999999997</v>
      </c>
      <c r="G3832" s="41">
        <v>6458.9449999999997</v>
      </c>
      <c r="H3832" s="41">
        <v>874802154.57000005</v>
      </c>
      <c r="I3832" s="42">
        <v>2705</v>
      </c>
    </row>
    <row r="3833" spans="1:9" x14ac:dyDescent="0.25">
      <c r="A3833" t="s">
        <v>9</v>
      </c>
      <c r="B3833" s="39">
        <v>45677</v>
      </c>
      <c r="C3833" s="40">
        <v>0.72916666666666663</v>
      </c>
      <c r="D3833" s="41">
        <v>6476.067</v>
      </c>
      <c r="E3833" s="41">
        <v>6477.1369999999997</v>
      </c>
      <c r="F3833" s="41">
        <v>6464.8310000000001</v>
      </c>
      <c r="G3833" s="41">
        <v>6471.7870000000003</v>
      </c>
      <c r="H3833" s="41">
        <v>985226913.71000004</v>
      </c>
      <c r="I3833" s="42">
        <v>3045</v>
      </c>
    </row>
    <row r="3834" spans="1:9" x14ac:dyDescent="0.25">
      <c r="A3834" t="s">
        <v>9</v>
      </c>
      <c r="B3834" s="39">
        <v>45677</v>
      </c>
      <c r="C3834" s="40">
        <v>0.70833333333333337</v>
      </c>
      <c r="D3834" s="41">
        <v>6480.8829999999998</v>
      </c>
      <c r="E3834" s="41">
        <v>6481.9530000000004</v>
      </c>
      <c r="F3834" s="41">
        <v>6476.6019999999999</v>
      </c>
      <c r="G3834" s="41">
        <v>6476.6019999999999</v>
      </c>
      <c r="H3834" s="41">
        <v>704642590.75999999</v>
      </c>
      <c r="I3834" s="42">
        <v>2175</v>
      </c>
    </row>
    <row r="3835" spans="1:9" x14ac:dyDescent="0.25">
      <c r="A3835" t="s">
        <v>9</v>
      </c>
      <c r="B3835" s="39">
        <v>45677</v>
      </c>
      <c r="C3835" s="40">
        <v>0.6875</v>
      </c>
      <c r="D3835" s="41">
        <v>6483.558</v>
      </c>
      <c r="E3835" s="41">
        <v>6488.3739999999998</v>
      </c>
      <c r="F3835" s="41">
        <v>6478.2079999999996</v>
      </c>
      <c r="G3835" s="41">
        <v>6480.8829999999998</v>
      </c>
      <c r="H3835" s="41">
        <v>1640494374.1300001</v>
      </c>
      <c r="I3835" s="42">
        <v>5060</v>
      </c>
    </row>
    <row r="3836" spans="1:9" x14ac:dyDescent="0.25">
      <c r="A3836" t="s">
        <v>9</v>
      </c>
      <c r="B3836" s="39">
        <v>45677</v>
      </c>
      <c r="C3836" s="40">
        <v>0.66666666666666663</v>
      </c>
      <c r="D3836" s="41">
        <v>6479.2780000000002</v>
      </c>
      <c r="E3836" s="41">
        <v>6484.6289999999999</v>
      </c>
      <c r="F3836" s="41">
        <v>6475.5320000000002</v>
      </c>
      <c r="G3836" s="41">
        <v>6484.6289999999999</v>
      </c>
      <c r="H3836" s="41">
        <v>1517745396.25</v>
      </c>
      <c r="I3836" s="42">
        <v>4685</v>
      </c>
    </row>
    <row r="3837" spans="1:9" x14ac:dyDescent="0.25">
      <c r="A3837" t="s">
        <v>9</v>
      </c>
      <c r="B3837" s="39">
        <v>45677</v>
      </c>
      <c r="C3837" s="40">
        <v>0.64583333333333337</v>
      </c>
      <c r="D3837" s="41">
        <v>6470.7160000000003</v>
      </c>
      <c r="E3837" s="41">
        <v>6486.7690000000002</v>
      </c>
      <c r="F3837" s="41">
        <v>6469.1109999999999</v>
      </c>
      <c r="G3837" s="41">
        <v>6479.2780000000002</v>
      </c>
      <c r="H3837" s="41">
        <v>1368614724.5999999</v>
      </c>
      <c r="I3837" s="42">
        <v>4225</v>
      </c>
    </row>
    <row r="3838" spans="1:9" x14ac:dyDescent="0.25">
      <c r="A3838" t="s">
        <v>9</v>
      </c>
      <c r="B3838" s="39">
        <v>45677</v>
      </c>
      <c r="C3838" s="40">
        <v>0.625</v>
      </c>
      <c r="D3838" s="41">
        <v>6487.3040000000001</v>
      </c>
      <c r="E3838" s="41">
        <v>6487.8389999999999</v>
      </c>
      <c r="F3838" s="41">
        <v>6471.7870000000003</v>
      </c>
      <c r="G3838" s="41">
        <v>6472.857</v>
      </c>
      <c r="H3838" s="41">
        <v>1402536491.25</v>
      </c>
      <c r="I3838" s="42">
        <v>4330</v>
      </c>
    </row>
    <row r="3839" spans="1:9" x14ac:dyDescent="0.25">
      <c r="A3839" t="s">
        <v>9</v>
      </c>
      <c r="B3839" s="39">
        <v>45677</v>
      </c>
      <c r="C3839" s="40">
        <v>0.60416666666666663</v>
      </c>
      <c r="D3839" s="41">
        <v>6495.33</v>
      </c>
      <c r="E3839" s="41">
        <v>6496.4</v>
      </c>
      <c r="F3839" s="41">
        <v>6475.5320000000002</v>
      </c>
      <c r="G3839" s="41">
        <v>6487.8389999999999</v>
      </c>
      <c r="H3839" s="41">
        <v>2604270753.0300002</v>
      </c>
      <c r="I3839" s="42">
        <v>8030</v>
      </c>
    </row>
    <row r="3840" spans="1:9" x14ac:dyDescent="0.25">
      <c r="A3840" t="s">
        <v>9</v>
      </c>
      <c r="B3840" s="39">
        <v>45677</v>
      </c>
      <c r="C3840" s="40">
        <v>0.58333333333333337</v>
      </c>
      <c r="D3840" s="41">
        <v>6481.9530000000004</v>
      </c>
      <c r="E3840" s="41">
        <v>6505.4970000000003</v>
      </c>
      <c r="F3840" s="41">
        <v>6479.2780000000002</v>
      </c>
      <c r="G3840" s="41">
        <v>6494.7950000000001</v>
      </c>
      <c r="H3840" s="41">
        <v>4097047734.25</v>
      </c>
      <c r="I3840" s="42">
        <v>12620</v>
      </c>
    </row>
    <row r="3841" spans="1:9" x14ac:dyDescent="0.25">
      <c r="A3841" t="s">
        <v>9</v>
      </c>
      <c r="B3841" s="39">
        <v>45677</v>
      </c>
      <c r="C3841" s="40">
        <v>0.5625</v>
      </c>
      <c r="D3841" s="41">
        <v>6478.2079999999996</v>
      </c>
      <c r="E3841" s="41">
        <v>6483.558</v>
      </c>
      <c r="F3841" s="41">
        <v>6475.5320000000002</v>
      </c>
      <c r="G3841" s="41">
        <v>6483.0230000000001</v>
      </c>
      <c r="H3841" s="41">
        <v>989831807.94000006</v>
      </c>
      <c r="I3841" s="42">
        <v>3055</v>
      </c>
    </row>
    <row r="3842" spans="1:9" x14ac:dyDescent="0.25">
      <c r="A3842" t="s">
        <v>9</v>
      </c>
      <c r="B3842" s="39">
        <v>45677</v>
      </c>
      <c r="C3842" s="40">
        <v>0.54166666666666663</v>
      </c>
      <c r="D3842" s="41">
        <v>6484.6289999999999</v>
      </c>
      <c r="E3842" s="41">
        <v>6486.7690000000002</v>
      </c>
      <c r="F3842" s="41">
        <v>6475.5320000000002</v>
      </c>
      <c r="G3842" s="41">
        <v>6478.7430000000004</v>
      </c>
      <c r="H3842" s="41">
        <v>1366028819.1199999</v>
      </c>
      <c r="I3842" s="42">
        <v>4215</v>
      </c>
    </row>
    <row r="3843" spans="1:9" x14ac:dyDescent="0.25">
      <c r="A3843" t="s">
        <v>9</v>
      </c>
      <c r="B3843" s="39">
        <v>45677</v>
      </c>
      <c r="C3843" s="40">
        <v>0.52083333333333337</v>
      </c>
      <c r="D3843" s="41">
        <v>6473.9269999999997</v>
      </c>
      <c r="E3843" s="41">
        <v>6486.2340000000004</v>
      </c>
      <c r="F3843" s="41">
        <v>6468.576</v>
      </c>
      <c r="G3843" s="41">
        <v>6485.1639999999998</v>
      </c>
      <c r="H3843" s="41">
        <v>1276191779.0899999</v>
      </c>
      <c r="I3843" s="42">
        <v>3940</v>
      </c>
    </row>
    <row r="3844" spans="1:9" x14ac:dyDescent="0.25">
      <c r="A3844" t="s">
        <v>9</v>
      </c>
      <c r="B3844" s="39">
        <v>45677</v>
      </c>
      <c r="C3844" s="40">
        <v>0.5</v>
      </c>
      <c r="D3844" s="41">
        <v>6471.7870000000003</v>
      </c>
      <c r="E3844" s="41">
        <v>6479.2780000000002</v>
      </c>
      <c r="F3844" s="41">
        <v>6468.576</v>
      </c>
      <c r="G3844" s="41">
        <v>6473.9269999999997</v>
      </c>
      <c r="H3844" s="41">
        <v>2600939883.0999999</v>
      </c>
      <c r="I3844" s="42">
        <v>8035</v>
      </c>
    </row>
    <row r="3845" spans="1:9" x14ac:dyDescent="0.25">
      <c r="A3845" t="s">
        <v>9</v>
      </c>
      <c r="B3845" s="39">
        <v>45677</v>
      </c>
      <c r="C3845" s="40">
        <v>0.47916666666666669</v>
      </c>
      <c r="D3845" s="41">
        <v>6490.5140000000001</v>
      </c>
      <c r="E3845" s="41">
        <v>6494.7950000000001</v>
      </c>
      <c r="F3845" s="41">
        <v>6464.8310000000001</v>
      </c>
      <c r="G3845" s="41">
        <v>6471.7870000000003</v>
      </c>
      <c r="H3845" s="41">
        <v>4856280607.7700005</v>
      </c>
      <c r="I3845" s="42">
        <v>15005</v>
      </c>
    </row>
    <row r="3846" spans="1:9" x14ac:dyDescent="0.25">
      <c r="A3846" t="s">
        <v>9</v>
      </c>
      <c r="B3846" s="39">
        <v>45677</v>
      </c>
      <c r="C3846" s="40">
        <v>0.45833333333333331</v>
      </c>
      <c r="D3846" s="41">
        <v>6486.7690000000002</v>
      </c>
      <c r="E3846" s="41">
        <v>6498.0060000000003</v>
      </c>
      <c r="F3846" s="41">
        <v>6479.2780000000002</v>
      </c>
      <c r="G3846" s="41">
        <v>6489.9790000000003</v>
      </c>
      <c r="H3846" s="41">
        <v>3240587837.6399999</v>
      </c>
      <c r="I3846" s="42">
        <v>9990</v>
      </c>
    </row>
    <row r="3847" spans="1:9" x14ac:dyDescent="0.25">
      <c r="A3847" t="s">
        <v>9</v>
      </c>
      <c r="B3847" s="39">
        <v>45677</v>
      </c>
      <c r="C3847" s="40">
        <v>0.4375</v>
      </c>
      <c r="D3847" s="41">
        <v>6522.6189999999997</v>
      </c>
      <c r="E3847" s="41">
        <v>6525.83</v>
      </c>
      <c r="F3847" s="41">
        <v>6480.348</v>
      </c>
      <c r="G3847" s="41">
        <v>6487.3040000000001</v>
      </c>
      <c r="H3847" s="41">
        <v>8914711118.9400005</v>
      </c>
      <c r="I3847" s="42">
        <v>27440</v>
      </c>
    </row>
    <row r="3848" spans="1:9" x14ac:dyDescent="0.25">
      <c r="A3848" t="s">
        <v>9</v>
      </c>
      <c r="B3848" s="39">
        <v>45677</v>
      </c>
      <c r="C3848" s="40">
        <v>0.41666666666666669</v>
      </c>
      <c r="D3848" s="41">
        <v>6522.0839999999998</v>
      </c>
      <c r="E3848" s="41">
        <v>6528.5050000000001</v>
      </c>
      <c r="F3848" s="41">
        <v>6511.3829999999998</v>
      </c>
      <c r="G3848" s="41">
        <v>6520.4790000000003</v>
      </c>
      <c r="H3848" s="41">
        <v>2825866707.21</v>
      </c>
      <c r="I3848" s="42">
        <v>8670</v>
      </c>
    </row>
    <row r="3849" spans="1:9" x14ac:dyDescent="0.25">
      <c r="A3849" t="s">
        <v>9</v>
      </c>
      <c r="B3849" s="39">
        <v>45677</v>
      </c>
      <c r="C3849" s="40">
        <v>0.39583333333333331</v>
      </c>
      <c r="D3849" s="41">
        <v>6515.6629999999996</v>
      </c>
      <c r="E3849" s="41">
        <v>6528.5050000000001</v>
      </c>
      <c r="F3849" s="41">
        <v>6509.2420000000002</v>
      </c>
      <c r="G3849" s="41">
        <v>6522.6189999999997</v>
      </c>
      <c r="H3849" s="41">
        <v>3360704224.3400002</v>
      </c>
      <c r="I3849" s="42">
        <v>10310</v>
      </c>
    </row>
    <row r="3850" spans="1:9" x14ac:dyDescent="0.25">
      <c r="A3850" t="s">
        <v>9</v>
      </c>
      <c r="B3850" s="39">
        <v>45677</v>
      </c>
      <c r="C3850" s="40">
        <v>0.375</v>
      </c>
      <c r="D3850" s="41">
        <v>6505.4970000000003</v>
      </c>
      <c r="E3850" s="41">
        <v>6518.8739999999998</v>
      </c>
      <c r="F3850" s="41">
        <v>6493.7250000000004</v>
      </c>
      <c r="G3850" s="41">
        <v>6516.1980000000003</v>
      </c>
      <c r="H3850" s="41">
        <v>2778550295.27</v>
      </c>
      <c r="I3850" s="42">
        <v>8540</v>
      </c>
    </row>
    <row r="3851" spans="1:9" x14ac:dyDescent="0.25">
      <c r="A3851" t="s">
        <v>9</v>
      </c>
      <c r="B3851" s="39">
        <v>45674</v>
      </c>
      <c r="C3851" s="40">
        <v>0.75</v>
      </c>
      <c r="D3851" s="41">
        <v>6518.8739999999998</v>
      </c>
      <c r="E3851" s="41">
        <v>6518.8739999999998</v>
      </c>
      <c r="F3851" s="41">
        <v>6503.8909999999996</v>
      </c>
      <c r="G3851" s="41">
        <v>6514.058</v>
      </c>
      <c r="H3851" s="41">
        <v>939294752.45000005</v>
      </c>
      <c r="I3851" s="42">
        <v>2885</v>
      </c>
    </row>
    <row r="3852" spans="1:9" x14ac:dyDescent="0.25">
      <c r="A3852" t="s">
        <v>9</v>
      </c>
      <c r="B3852" s="39">
        <v>45674</v>
      </c>
      <c r="C3852" s="40">
        <v>0.72916666666666663</v>
      </c>
      <c r="D3852" s="41">
        <v>6514.5929999999998</v>
      </c>
      <c r="E3852" s="41">
        <v>6522.0839999999998</v>
      </c>
      <c r="F3852" s="41">
        <v>6508.1719999999996</v>
      </c>
      <c r="G3852" s="41">
        <v>6519.4089999999997</v>
      </c>
      <c r="H3852" s="41">
        <v>3208237064.4200001</v>
      </c>
      <c r="I3852" s="42">
        <v>9850</v>
      </c>
    </row>
    <row r="3853" spans="1:9" x14ac:dyDescent="0.25">
      <c r="A3853" t="s">
        <v>9</v>
      </c>
      <c r="B3853" s="39">
        <v>45674</v>
      </c>
      <c r="C3853" s="40">
        <v>0.70833333333333337</v>
      </c>
      <c r="D3853" s="41">
        <v>6504.4260000000004</v>
      </c>
      <c r="E3853" s="41">
        <v>6518.3389999999999</v>
      </c>
      <c r="F3853" s="41">
        <v>6504.4260000000004</v>
      </c>
      <c r="G3853" s="41">
        <v>6514.5929999999998</v>
      </c>
      <c r="H3853" s="41">
        <v>1263047417.23</v>
      </c>
      <c r="I3853" s="42">
        <v>3880</v>
      </c>
    </row>
    <row r="3854" spans="1:9" x14ac:dyDescent="0.25">
      <c r="A3854" t="s">
        <v>9</v>
      </c>
      <c r="B3854" s="39">
        <v>45674</v>
      </c>
      <c r="C3854" s="40">
        <v>0.6875</v>
      </c>
      <c r="D3854" s="41">
        <v>6501.2160000000003</v>
      </c>
      <c r="E3854" s="41">
        <v>6506.567</v>
      </c>
      <c r="F3854" s="41">
        <v>6499.6109999999999</v>
      </c>
      <c r="G3854" s="41">
        <v>6504.4260000000004</v>
      </c>
      <c r="H3854" s="41">
        <v>2006008924.26</v>
      </c>
      <c r="I3854" s="42">
        <v>6170</v>
      </c>
    </row>
    <row r="3855" spans="1:9" x14ac:dyDescent="0.25">
      <c r="A3855" t="s">
        <v>9</v>
      </c>
      <c r="B3855" s="39">
        <v>45674</v>
      </c>
      <c r="C3855" s="40">
        <v>0.66666666666666663</v>
      </c>
      <c r="D3855" s="41">
        <v>6498.5410000000002</v>
      </c>
      <c r="E3855" s="41">
        <v>6502.2860000000001</v>
      </c>
      <c r="F3855" s="41">
        <v>6496.9350000000004</v>
      </c>
      <c r="G3855" s="41">
        <v>6501.2160000000003</v>
      </c>
      <c r="H3855" s="41">
        <v>1688542507.3</v>
      </c>
      <c r="I3855" s="42">
        <v>5195</v>
      </c>
    </row>
    <row r="3856" spans="1:9" x14ac:dyDescent="0.25">
      <c r="A3856" t="s">
        <v>9</v>
      </c>
      <c r="B3856" s="39">
        <v>45674</v>
      </c>
      <c r="C3856" s="40">
        <v>0.64583333333333337</v>
      </c>
      <c r="D3856" s="41">
        <v>6505.4970000000003</v>
      </c>
      <c r="E3856" s="41">
        <v>6508.7070000000003</v>
      </c>
      <c r="F3856" s="41">
        <v>6497.47</v>
      </c>
      <c r="G3856" s="41">
        <v>6498.0060000000003</v>
      </c>
      <c r="H3856" s="41">
        <v>3480980064.73</v>
      </c>
      <c r="I3856" s="42">
        <v>10705</v>
      </c>
    </row>
    <row r="3857" spans="1:9" x14ac:dyDescent="0.25">
      <c r="A3857" t="s">
        <v>9</v>
      </c>
      <c r="B3857" s="39">
        <v>45674</v>
      </c>
      <c r="C3857" s="40">
        <v>0.625</v>
      </c>
      <c r="D3857" s="41">
        <v>6492.6549999999997</v>
      </c>
      <c r="E3857" s="41">
        <v>6506.567</v>
      </c>
      <c r="F3857" s="41">
        <v>6491.049</v>
      </c>
      <c r="G3857" s="41">
        <v>6505.4970000000003</v>
      </c>
      <c r="H3857" s="41">
        <v>3258627909.4400001</v>
      </c>
      <c r="I3857" s="42">
        <v>10025</v>
      </c>
    </row>
    <row r="3858" spans="1:9" x14ac:dyDescent="0.25">
      <c r="A3858" t="s">
        <v>9</v>
      </c>
      <c r="B3858" s="39">
        <v>45674</v>
      </c>
      <c r="C3858" s="40">
        <v>0.60416666666666663</v>
      </c>
      <c r="D3858" s="41">
        <v>6479.8130000000001</v>
      </c>
      <c r="E3858" s="41">
        <v>6498.0060000000003</v>
      </c>
      <c r="F3858" s="41">
        <v>6477.1369999999997</v>
      </c>
      <c r="G3858" s="41">
        <v>6492.12</v>
      </c>
      <c r="H3858" s="41">
        <v>2356247222</v>
      </c>
      <c r="I3858" s="42">
        <v>7260</v>
      </c>
    </row>
    <row r="3859" spans="1:9" x14ac:dyDescent="0.25">
      <c r="A3859" t="s">
        <v>9</v>
      </c>
      <c r="B3859" s="39">
        <v>45674</v>
      </c>
      <c r="C3859" s="40">
        <v>0.58333333333333337</v>
      </c>
      <c r="D3859" s="41">
        <v>6474.9970000000003</v>
      </c>
      <c r="E3859" s="41">
        <v>6484.0929999999998</v>
      </c>
      <c r="F3859" s="41">
        <v>6471.2520000000004</v>
      </c>
      <c r="G3859" s="41">
        <v>6479.8130000000001</v>
      </c>
      <c r="H3859" s="41">
        <v>2505954976.9000001</v>
      </c>
      <c r="I3859" s="42">
        <v>7735</v>
      </c>
    </row>
    <row r="3860" spans="1:9" x14ac:dyDescent="0.25">
      <c r="A3860" t="s">
        <v>9</v>
      </c>
      <c r="B3860" s="39">
        <v>45674</v>
      </c>
      <c r="C3860" s="40">
        <v>0.5625</v>
      </c>
      <c r="D3860" s="41">
        <v>6483.558</v>
      </c>
      <c r="E3860" s="41">
        <v>6484.6289999999999</v>
      </c>
      <c r="F3860" s="41">
        <v>6469.1109999999999</v>
      </c>
      <c r="G3860" s="41">
        <v>6475.5320000000002</v>
      </c>
      <c r="H3860" s="41">
        <v>3287305094.3000002</v>
      </c>
      <c r="I3860" s="42">
        <v>10155</v>
      </c>
    </row>
    <row r="3861" spans="1:9" x14ac:dyDescent="0.25">
      <c r="A3861" t="s">
        <v>9</v>
      </c>
      <c r="B3861" s="39">
        <v>45674</v>
      </c>
      <c r="C3861" s="40">
        <v>0.54166666666666663</v>
      </c>
      <c r="D3861" s="41">
        <v>6475.5320000000002</v>
      </c>
      <c r="E3861" s="41">
        <v>6485.1639999999998</v>
      </c>
      <c r="F3861" s="41">
        <v>6473.9269999999997</v>
      </c>
      <c r="G3861" s="41">
        <v>6483.0230000000001</v>
      </c>
      <c r="H3861" s="41">
        <v>2709730509.4200001</v>
      </c>
      <c r="I3861" s="42">
        <v>8365</v>
      </c>
    </row>
    <row r="3862" spans="1:9" x14ac:dyDescent="0.25">
      <c r="A3862" t="s">
        <v>9</v>
      </c>
      <c r="B3862" s="39">
        <v>45674</v>
      </c>
      <c r="C3862" s="40">
        <v>0.52083333333333337</v>
      </c>
      <c r="D3862" s="41">
        <v>6478.2079999999996</v>
      </c>
      <c r="E3862" s="41">
        <v>6479.2780000000002</v>
      </c>
      <c r="F3862" s="41">
        <v>6467.5060000000003</v>
      </c>
      <c r="G3862" s="41">
        <v>6475.5320000000002</v>
      </c>
      <c r="H3862" s="41">
        <v>2761064699.6100001</v>
      </c>
      <c r="I3862" s="42">
        <v>8530</v>
      </c>
    </row>
    <row r="3863" spans="1:9" x14ac:dyDescent="0.25">
      <c r="A3863" t="s">
        <v>9</v>
      </c>
      <c r="B3863" s="39">
        <v>45674</v>
      </c>
      <c r="C3863" s="40">
        <v>0.5</v>
      </c>
      <c r="D3863" s="41">
        <v>6496.4</v>
      </c>
      <c r="E3863" s="41">
        <v>6499.076</v>
      </c>
      <c r="F3863" s="41">
        <v>6477.6729999999998</v>
      </c>
      <c r="G3863" s="41">
        <v>6477.6729999999998</v>
      </c>
      <c r="H3863" s="41">
        <v>4156248529.5799999</v>
      </c>
      <c r="I3863" s="42">
        <v>12815</v>
      </c>
    </row>
    <row r="3864" spans="1:9" x14ac:dyDescent="0.25">
      <c r="A3864" t="s">
        <v>9</v>
      </c>
      <c r="B3864" s="39">
        <v>45674</v>
      </c>
      <c r="C3864" s="40">
        <v>0.47916666666666669</v>
      </c>
      <c r="D3864" s="41">
        <v>6510.3119999999999</v>
      </c>
      <c r="E3864" s="41">
        <v>6510.3119999999999</v>
      </c>
      <c r="F3864" s="41">
        <v>6486.2340000000004</v>
      </c>
      <c r="G3864" s="41">
        <v>6495.8649999999998</v>
      </c>
      <c r="H3864" s="41">
        <v>6319185705.3699999</v>
      </c>
      <c r="I3864" s="42">
        <v>19450</v>
      </c>
    </row>
    <row r="3865" spans="1:9" x14ac:dyDescent="0.25">
      <c r="A3865" t="s">
        <v>9</v>
      </c>
      <c r="B3865" s="39">
        <v>45674</v>
      </c>
      <c r="C3865" s="40">
        <v>0.45833333333333331</v>
      </c>
      <c r="D3865" s="41">
        <v>6525.83</v>
      </c>
      <c r="E3865" s="41">
        <v>6532.7860000000001</v>
      </c>
      <c r="F3865" s="41">
        <v>6510.3119999999999</v>
      </c>
      <c r="G3865" s="41">
        <v>6510.8469999999998</v>
      </c>
      <c r="H3865" s="41">
        <v>4208955466.2399998</v>
      </c>
      <c r="I3865" s="42">
        <v>12905</v>
      </c>
    </row>
    <row r="3866" spans="1:9" x14ac:dyDescent="0.25">
      <c r="A3866" t="s">
        <v>9</v>
      </c>
      <c r="B3866" s="39">
        <v>45674</v>
      </c>
      <c r="C3866" s="40">
        <v>0.4375</v>
      </c>
      <c r="D3866" s="41">
        <v>6519.9440000000004</v>
      </c>
      <c r="E3866" s="41">
        <v>6526.9</v>
      </c>
      <c r="F3866" s="41">
        <v>6502.2860000000001</v>
      </c>
      <c r="G3866" s="41">
        <v>6524.76</v>
      </c>
      <c r="H3866" s="41">
        <v>5475118116.3599997</v>
      </c>
      <c r="I3866" s="42">
        <v>16810</v>
      </c>
    </row>
    <row r="3867" spans="1:9" x14ac:dyDescent="0.25">
      <c r="A3867" t="s">
        <v>9</v>
      </c>
      <c r="B3867" s="39">
        <v>45674</v>
      </c>
      <c r="C3867" s="40">
        <v>0.41666666666666669</v>
      </c>
      <c r="D3867" s="41">
        <v>6494.7950000000001</v>
      </c>
      <c r="E3867" s="41">
        <v>6522.0839999999998</v>
      </c>
      <c r="F3867" s="41">
        <v>6493.7250000000004</v>
      </c>
      <c r="G3867" s="41">
        <v>6517.8029999999999</v>
      </c>
      <c r="H3867" s="41">
        <v>4578630928.3900003</v>
      </c>
      <c r="I3867" s="42">
        <v>14060</v>
      </c>
    </row>
    <row r="3868" spans="1:9" x14ac:dyDescent="0.25">
      <c r="A3868" t="s">
        <v>9</v>
      </c>
      <c r="B3868" s="39">
        <v>45674</v>
      </c>
      <c r="C3868" s="40">
        <v>0.39583333333333331</v>
      </c>
      <c r="D3868" s="41">
        <v>6482.4880000000003</v>
      </c>
      <c r="E3868" s="41">
        <v>6501.7510000000002</v>
      </c>
      <c r="F3868" s="41">
        <v>6482.4880000000003</v>
      </c>
      <c r="G3868" s="41">
        <v>6495.33</v>
      </c>
      <c r="H3868" s="41">
        <v>3661823159.75</v>
      </c>
      <c r="I3868" s="42">
        <v>11280</v>
      </c>
    </row>
    <row r="3869" spans="1:9" x14ac:dyDescent="0.25">
      <c r="A3869" t="s">
        <v>9</v>
      </c>
      <c r="B3869" s="39">
        <v>45674</v>
      </c>
      <c r="C3869" s="40">
        <v>0.375</v>
      </c>
      <c r="D3869" s="41">
        <v>6486.2340000000004</v>
      </c>
      <c r="E3869" s="41">
        <v>6492.12</v>
      </c>
      <c r="F3869" s="41">
        <v>6465.366</v>
      </c>
      <c r="G3869" s="41">
        <v>6481.4179999999997</v>
      </c>
      <c r="H3869" s="41">
        <v>6949732760.1199999</v>
      </c>
      <c r="I3869" s="42">
        <v>21460</v>
      </c>
    </row>
    <row r="3870" spans="1:9" x14ac:dyDescent="0.25">
      <c r="A3870" t="s">
        <v>9</v>
      </c>
      <c r="B3870" s="39">
        <v>45673</v>
      </c>
      <c r="C3870" s="40">
        <v>0.75</v>
      </c>
      <c r="D3870" s="41">
        <v>6496.4</v>
      </c>
      <c r="E3870" s="41">
        <v>6499.6109999999999</v>
      </c>
      <c r="F3870" s="41">
        <v>6488.3739999999998</v>
      </c>
      <c r="G3870" s="41">
        <v>6492.6549999999997</v>
      </c>
      <c r="H3870" s="41">
        <v>623311308.34000003</v>
      </c>
      <c r="I3870" s="42">
        <v>1920</v>
      </c>
    </row>
    <row r="3871" spans="1:9" x14ac:dyDescent="0.25">
      <c r="A3871" t="s">
        <v>9</v>
      </c>
      <c r="B3871" s="39">
        <v>45673</v>
      </c>
      <c r="C3871" s="40">
        <v>0.72916666666666663</v>
      </c>
      <c r="D3871" s="41">
        <v>6496.4</v>
      </c>
      <c r="E3871" s="41">
        <v>6499.6109999999999</v>
      </c>
      <c r="F3871" s="41">
        <v>6488.9089999999997</v>
      </c>
      <c r="G3871" s="41">
        <v>6496.4</v>
      </c>
      <c r="H3871" s="41">
        <v>888061290.98000002</v>
      </c>
      <c r="I3871" s="42">
        <v>2735</v>
      </c>
    </row>
    <row r="3872" spans="1:9" x14ac:dyDescent="0.25">
      <c r="A3872" t="s">
        <v>9</v>
      </c>
      <c r="B3872" s="39">
        <v>45673</v>
      </c>
      <c r="C3872" s="40">
        <v>0.70833333333333337</v>
      </c>
      <c r="D3872" s="41">
        <v>6495.33</v>
      </c>
      <c r="E3872" s="41">
        <v>6500.6809999999996</v>
      </c>
      <c r="F3872" s="41">
        <v>6494.7950000000001</v>
      </c>
      <c r="G3872" s="41">
        <v>6496.9350000000004</v>
      </c>
      <c r="H3872" s="41">
        <v>6981149685.8199997</v>
      </c>
      <c r="I3872" s="42">
        <v>21490</v>
      </c>
    </row>
    <row r="3873" spans="1:9" x14ac:dyDescent="0.25">
      <c r="A3873" t="s">
        <v>9</v>
      </c>
      <c r="B3873" s="39">
        <v>45673</v>
      </c>
      <c r="C3873" s="40">
        <v>0.6875</v>
      </c>
      <c r="D3873" s="41">
        <v>6501.7510000000002</v>
      </c>
      <c r="E3873" s="41">
        <v>6502.8209999999999</v>
      </c>
      <c r="F3873" s="41">
        <v>6495.33</v>
      </c>
      <c r="G3873" s="41">
        <v>6496.4</v>
      </c>
      <c r="H3873" s="41">
        <v>1652419022.25</v>
      </c>
      <c r="I3873" s="42">
        <v>5085</v>
      </c>
    </row>
    <row r="3874" spans="1:9" x14ac:dyDescent="0.25">
      <c r="A3874" t="s">
        <v>9</v>
      </c>
      <c r="B3874" s="39">
        <v>45673</v>
      </c>
      <c r="C3874" s="40">
        <v>0.66666666666666663</v>
      </c>
      <c r="D3874" s="41">
        <v>6510.3119999999999</v>
      </c>
      <c r="E3874" s="41">
        <v>6510.3119999999999</v>
      </c>
      <c r="F3874" s="41">
        <v>6499.6109999999999</v>
      </c>
      <c r="G3874" s="41">
        <v>6501.2160000000003</v>
      </c>
      <c r="H3874" s="41">
        <v>4817603857.0900002</v>
      </c>
      <c r="I3874" s="42">
        <v>14815</v>
      </c>
    </row>
    <row r="3875" spans="1:9" x14ac:dyDescent="0.25">
      <c r="A3875" t="s">
        <v>9</v>
      </c>
      <c r="B3875" s="39">
        <v>45673</v>
      </c>
      <c r="C3875" s="40">
        <v>0.64583333333333337</v>
      </c>
      <c r="D3875" s="41">
        <v>6503.8909999999996</v>
      </c>
      <c r="E3875" s="41">
        <v>6512.9880000000003</v>
      </c>
      <c r="F3875" s="41">
        <v>6501.7510000000002</v>
      </c>
      <c r="G3875" s="41">
        <v>6510.8469999999998</v>
      </c>
      <c r="H3875" s="41">
        <v>6461573840.1599998</v>
      </c>
      <c r="I3875" s="42">
        <v>19860</v>
      </c>
    </row>
    <row r="3876" spans="1:9" x14ac:dyDescent="0.25">
      <c r="A3876" t="s">
        <v>9</v>
      </c>
      <c r="B3876" s="39">
        <v>45673</v>
      </c>
      <c r="C3876" s="40">
        <v>0.625</v>
      </c>
      <c r="D3876" s="41">
        <v>6496.9350000000004</v>
      </c>
      <c r="E3876" s="41">
        <v>6506.567</v>
      </c>
      <c r="F3876" s="41">
        <v>6496.9350000000004</v>
      </c>
      <c r="G3876" s="41">
        <v>6503.3559999999998</v>
      </c>
      <c r="H3876" s="41">
        <v>4159610434.1199999</v>
      </c>
      <c r="I3876" s="42">
        <v>12800</v>
      </c>
    </row>
    <row r="3877" spans="1:9" x14ac:dyDescent="0.25">
      <c r="A3877" t="s">
        <v>9</v>
      </c>
      <c r="B3877" s="39">
        <v>45673</v>
      </c>
      <c r="C3877" s="40">
        <v>0.60416666666666663</v>
      </c>
      <c r="D3877" s="41">
        <v>6481.9530000000004</v>
      </c>
      <c r="E3877" s="41">
        <v>6500.6809999999996</v>
      </c>
      <c r="F3877" s="41">
        <v>6481.9530000000004</v>
      </c>
      <c r="G3877" s="41">
        <v>6496.9350000000004</v>
      </c>
      <c r="H3877" s="41">
        <v>3262642209.6700001</v>
      </c>
      <c r="I3877" s="42">
        <v>10050</v>
      </c>
    </row>
    <row r="3878" spans="1:9" x14ac:dyDescent="0.25">
      <c r="A3878" t="s">
        <v>9</v>
      </c>
      <c r="B3878" s="39">
        <v>45673</v>
      </c>
      <c r="C3878" s="40">
        <v>0.58333333333333337</v>
      </c>
      <c r="D3878" s="41">
        <v>6485.6989999999996</v>
      </c>
      <c r="E3878" s="41">
        <v>6487.3040000000001</v>
      </c>
      <c r="F3878" s="41">
        <v>6476.6019999999999</v>
      </c>
      <c r="G3878" s="41">
        <v>6481.9530000000004</v>
      </c>
      <c r="H3878" s="41">
        <v>2354211512.02</v>
      </c>
      <c r="I3878" s="42">
        <v>7265</v>
      </c>
    </row>
    <row r="3879" spans="1:9" x14ac:dyDescent="0.25">
      <c r="A3879" t="s">
        <v>9</v>
      </c>
      <c r="B3879" s="39">
        <v>45673</v>
      </c>
      <c r="C3879" s="40">
        <v>0.5625</v>
      </c>
      <c r="D3879" s="41">
        <v>6484.6289999999999</v>
      </c>
      <c r="E3879" s="41">
        <v>6492.12</v>
      </c>
      <c r="F3879" s="41">
        <v>6472.3220000000001</v>
      </c>
      <c r="G3879" s="41">
        <v>6486.2340000000004</v>
      </c>
      <c r="H3879" s="41">
        <v>2659612019.8699999</v>
      </c>
      <c r="I3879" s="42">
        <v>8205</v>
      </c>
    </row>
    <row r="3880" spans="1:9" x14ac:dyDescent="0.25">
      <c r="A3880" t="s">
        <v>9</v>
      </c>
      <c r="B3880" s="39">
        <v>45673</v>
      </c>
      <c r="C3880" s="40">
        <v>0.54166666666666663</v>
      </c>
      <c r="D3880" s="41">
        <v>6463.2250000000004</v>
      </c>
      <c r="E3880" s="41">
        <v>6485.1639999999998</v>
      </c>
      <c r="F3880" s="41">
        <v>6461.085</v>
      </c>
      <c r="G3880" s="41">
        <v>6485.1639999999998</v>
      </c>
      <c r="H3880" s="41">
        <v>4631169315</v>
      </c>
      <c r="I3880" s="42">
        <v>14315</v>
      </c>
    </row>
    <row r="3881" spans="1:9" x14ac:dyDescent="0.25">
      <c r="A3881" t="s">
        <v>9</v>
      </c>
      <c r="B3881" s="39">
        <v>45673</v>
      </c>
      <c r="C3881" s="40">
        <v>0.52083333333333337</v>
      </c>
      <c r="D3881" s="41">
        <v>6456.2690000000002</v>
      </c>
      <c r="E3881" s="41">
        <v>6475.5320000000002</v>
      </c>
      <c r="F3881" s="41">
        <v>6454.6639999999998</v>
      </c>
      <c r="G3881" s="41">
        <v>6463.2250000000004</v>
      </c>
      <c r="H3881" s="41">
        <v>4630417260.7600002</v>
      </c>
      <c r="I3881" s="42">
        <v>14325</v>
      </c>
    </row>
    <row r="3882" spans="1:9" x14ac:dyDescent="0.25">
      <c r="A3882" t="s">
        <v>9</v>
      </c>
      <c r="B3882" s="39">
        <v>45673</v>
      </c>
      <c r="C3882" s="40">
        <v>0.5</v>
      </c>
      <c r="D3882" s="41">
        <v>6461.085</v>
      </c>
      <c r="E3882" s="41">
        <v>6461.62</v>
      </c>
      <c r="F3882" s="41">
        <v>6442.357</v>
      </c>
      <c r="G3882" s="41">
        <v>6456.2690000000002</v>
      </c>
      <c r="H3882" s="41">
        <v>9633179896.6200008</v>
      </c>
      <c r="I3882" s="42">
        <v>29865</v>
      </c>
    </row>
    <row r="3883" spans="1:9" x14ac:dyDescent="0.25">
      <c r="A3883" t="s">
        <v>9</v>
      </c>
      <c r="B3883" s="39">
        <v>45673</v>
      </c>
      <c r="C3883" s="40">
        <v>0.47916666666666669</v>
      </c>
      <c r="D3883" s="41">
        <v>6477.6729999999998</v>
      </c>
      <c r="E3883" s="41">
        <v>6482.4880000000003</v>
      </c>
      <c r="F3883" s="41">
        <v>6460.55</v>
      </c>
      <c r="G3883" s="41">
        <v>6460.55</v>
      </c>
      <c r="H3883" s="41">
        <v>6880353816.1800003</v>
      </c>
      <c r="I3883" s="42">
        <v>21265</v>
      </c>
    </row>
    <row r="3884" spans="1:9" x14ac:dyDescent="0.25">
      <c r="A3884" t="s">
        <v>9</v>
      </c>
      <c r="B3884" s="39">
        <v>45673</v>
      </c>
      <c r="C3884" s="40">
        <v>0.45833333333333331</v>
      </c>
      <c r="D3884" s="41">
        <v>6487.8389999999999</v>
      </c>
      <c r="E3884" s="41">
        <v>6489.9790000000003</v>
      </c>
      <c r="F3884" s="41">
        <v>6472.3220000000001</v>
      </c>
      <c r="G3884" s="41">
        <v>6477.1369999999997</v>
      </c>
      <c r="H3884" s="41">
        <v>5995569218.3299999</v>
      </c>
      <c r="I3884" s="42">
        <v>18500</v>
      </c>
    </row>
    <row r="3885" spans="1:9" x14ac:dyDescent="0.25">
      <c r="A3885" t="s">
        <v>9</v>
      </c>
      <c r="B3885" s="39">
        <v>45673</v>
      </c>
      <c r="C3885" s="40">
        <v>0.4375</v>
      </c>
      <c r="D3885" s="41">
        <v>6482.4880000000003</v>
      </c>
      <c r="E3885" s="41">
        <v>6490.5140000000001</v>
      </c>
      <c r="F3885" s="41">
        <v>6469.6459999999997</v>
      </c>
      <c r="G3885" s="41">
        <v>6487.8389999999999</v>
      </c>
      <c r="H3885" s="41">
        <v>4243457927.9200001</v>
      </c>
      <c r="I3885" s="42">
        <v>13095</v>
      </c>
    </row>
    <row r="3886" spans="1:9" x14ac:dyDescent="0.25">
      <c r="A3886" t="s">
        <v>9</v>
      </c>
      <c r="B3886" s="39">
        <v>45673</v>
      </c>
      <c r="C3886" s="40">
        <v>0.41666666666666669</v>
      </c>
      <c r="D3886" s="41">
        <v>6467.5060000000003</v>
      </c>
      <c r="E3886" s="41">
        <v>6487.3040000000001</v>
      </c>
      <c r="F3886" s="41">
        <v>6465.9009999999998</v>
      </c>
      <c r="G3886" s="41">
        <v>6486.7690000000002</v>
      </c>
      <c r="H3886" s="41">
        <v>6772828519.1300001</v>
      </c>
      <c r="I3886" s="42">
        <v>20915</v>
      </c>
    </row>
    <row r="3887" spans="1:9" x14ac:dyDescent="0.25">
      <c r="A3887" t="s">
        <v>9</v>
      </c>
      <c r="B3887" s="39">
        <v>45673</v>
      </c>
      <c r="C3887" s="40">
        <v>0.39583333333333331</v>
      </c>
      <c r="D3887" s="41">
        <v>6439.1469999999999</v>
      </c>
      <c r="E3887" s="41">
        <v>6468.576</v>
      </c>
      <c r="F3887" s="41">
        <v>6432.7259999999997</v>
      </c>
      <c r="G3887" s="41">
        <v>6468.0410000000002</v>
      </c>
      <c r="H3887" s="41">
        <v>7689092646.9799995</v>
      </c>
      <c r="I3887" s="42">
        <v>23835</v>
      </c>
    </row>
    <row r="3888" spans="1:9" x14ac:dyDescent="0.25">
      <c r="A3888" t="s">
        <v>9</v>
      </c>
      <c r="B3888" s="39">
        <v>45673</v>
      </c>
      <c r="C3888" s="40">
        <v>0.375</v>
      </c>
      <c r="D3888" s="41">
        <v>6463.2250000000004</v>
      </c>
      <c r="E3888" s="41">
        <v>6466.4359999999997</v>
      </c>
      <c r="F3888" s="41">
        <v>6438.6120000000001</v>
      </c>
      <c r="G3888" s="41">
        <v>6439.1469999999999</v>
      </c>
      <c r="H3888" s="41">
        <v>5489763643.7700005</v>
      </c>
      <c r="I3888" s="42">
        <v>17015</v>
      </c>
    </row>
    <row r="3889" spans="1:9" x14ac:dyDescent="0.25">
      <c r="A3889" t="s">
        <v>9</v>
      </c>
      <c r="B3889" s="39">
        <v>45672</v>
      </c>
      <c r="C3889" s="40">
        <v>0.75</v>
      </c>
      <c r="D3889" s="41">
        <v>6454.6639999999998</v>
      </c>
      <c r="E3889" s="41">
        <v>6456.8040000000001</v>
      </c>
      <c r="F3889" s="41">
        <v>6443.9629999999997</v>
      </c>
      <c r="G3889" s="41">
        <v>6456.8040000000001</v>
      </c>
      <c r="H3889" s="41">
        <v>1422093112.1400001</v>
      </c>
      <c r="I3889" s="42">
        <v>4410</v>
      </c>
    </row>
    <row r="3890" spans="1:9" x14ac:dyDescent="0.25">
      <c r="A3890" t="s">
        <v>9</v>
      </c>
      <c r="B3890" s="39">
        <v>45672</v>
      </c>
      <c r="C3890" s="40">
        <v>0.72916666666666663</v>
      </c>
      <c r="D3890" s="41">
        <v>6461.085</v>
      </c>
      <c r="E3890" s="41">
        <v>6462.1549999999997</v>
      </c>
      <c r="F3890" s="41">
        <v>6448.2430000000004</v>
      </c>
      <c r="G3890" s="41">
        <v>6453.5940000000001</v>
      </c>
      <c r="H3890" s="41">
        <v>1660299271.9200001</v>
      </c>
      <c r="I3890" s="42">
        <v>5145</v>
      </c>
    </row>
    <row r="3891" spans="1:9" x14ac:dyDescent="0.25">
      <c r="A3891" t="s">
        <v>9</v>
      </c>
      <c r="B3891" s="39">
        <v>45672</v>
      </c>
      <c r="C3891" s="40">
        <v>0.70833333333333337</v>
      </c>
      <c r="D3891" s="41">
        <v>6465.366</v>
      </c>
      <c r="E3891" s="41">
        <v>6466.4359999999997</v>
      </c>
      <c r="F3891" s="41">
        <v>6459.48</v>
      </c>
      <c r="G3891" s="41">
        <v>6460.55</v>
      </c>
      <c r="H3891" s="41">
        <v>2802233984.4000001</v>
      </c>
      <c r="I3891" s="42">
        <v>8670</v>
      </c>
    </row>
    <row r="3892" spans="1:9" x14ac:dyDescent="0.25">
      <c r="A3892" t="s">
        <v>9</v>
      </c>
      <c r="B3892" s="39">
        <v>45672</v>
      </c>
      <c r="C3892" s="40">
        <v>0.6875</v>
      </c>
      <c r="D3892" s="41">
        <v>6460.0150000000003</v>
      </c>
      <c r="E3892" s="41">
        <v>6469.1109999999999</v>
      </c>
      <c r="F3892" s="41">
        <v>6458.9449999999997</v>
      </c>
      <c r="G3892" s="41">
        <v>6465.366</v>
      </c>
      <c r="H3892" s="41">
        <v>3820179538.4899998</v>
      </c>
      <c r="I3892" s="42">
        <v>11820</v>
      </c>
    </row>
    <row r="3893" spans="1:9" x14ac:dyDescent="0.25">
      <c r="A3893" t="s">
        <v>9</v>
      </c>
      <c r="B3893" s="39">
        <v>45672</v>
      </c>
      <c r="C3893" s="40">
        <v>0.66666666666666663</v>
      </c>
      <c r="D3893" s="41">
        <v>6463.76</v>
      </c>
      <c r="E3893" s="41">
        <v>6464.8310000000001</v>
      </c>
      <c r="F3893" s="41">
        <v>6457.875</v>
      </c>
      <c r="G3893" s="41">
        <v>6460.0150000000003</v>
      </c>
      <c r="H3893" s="41">
        <v>2319795064.3699999</v>
      </c>
      <c r="I3893" s="42">
        <v>7180</v>
      </c>
    </row>
    <row r="3894" spans="1:9" x14ac:dyDescent="0.25">
      <c r="A3894" t="s">
        <v>9</v>
      </c>
      <c r="B3894" s="39">
        <v>45672</v>
      </c>
      <c r="C3894" s="40">
        <v>0.64583333333333337</v>
      </c>
      <c r="D3894" s="41">
        <v>6475.5320000000002</v>
      </c>
      <c r="E3894" s="41">
        <v>6475.5320000000002</v>
      </c>
      <c r="F3894" s="41">
        <v>6464.2960000000003</v>
      </c>
      <c r="G3894" s="41">
        <v>6465.366</v>
      </c>
      <c r="H3894" s="41">
        <v>4568472042.6400003</v>
      </c>
      <c r="I3894" s="42">
        <v>14125</v>
      </c>
    </row>
    <row r="3895" spans="1:9" x14ac:dyDescent="0.25">
      <c r="A3895" t="s">
        <v>9</v>
      </c>
      <c r="B3895" s="39">
        <v>45672</v>
      </c>
      <c r="C3895" s="40">
        <v>0.625</v>
      </c>
      <c r="D3895" s="41">
        <v>6484.6289999999999</v>
      </c>
      <c r="E3895" s="41">
        <v>6487.8389999999999</v>
      </c>
      <c r="F3895" s="41">
        <v>6470.1809999999996</v>
      </c>
      <c r="G3895" s="41">
        <v>6476.6019999999999</v>
      </c>
      <c r="H3895" s="41">
        <v>2734486631.6500001</v>
      </c>
      <c r="I3895" s="42">
        <v>8440</v>
      </c>
    </row>
    <row r="3896" spans="1:9" x14ac:dyDescent="0.25">
      <c r="A3896" t="s">
        <v>9</v>
      </c>
      <c r="B3896" s="39">
        <v>45672</v>
      </c>
      <c r="C3896" s="40">
        <v>0.60416666666666663</v>
      </c>
      <c r="D3896" s="41">
        <v>6493.7250000000004</v>
      </c>
      <c r="E3896" s="41">
        <v>6494.26</v>
      </c>
      <c r="F3896" s="41">
        <v>6476.067</v>
      </c>
      <c r="G3896" s="41">
        <v>6484.0929999999998</v>
      </c>
      <c r="H3896" s="41">
        <v>4086182543.5599999</v>
      </c>
      <c r="I3896" s="42">
        <v>12605</v>
      </c>
    </row>
    <row r="3897" spans="1:9" x14ac:dyDescent="0.25">
      <c r="A3897" t="s">
        <v>9</v>
      </c>
      <c r="B3897" s="39">
        <v>45672</v>
      </c>
      <c r="C3897" s="40">
        <v>0.58333333333333337</v>
      </c>
      <c r="D3897" s="41">
        <v>6489.9790000000003</v>
      </c>
      <c r="E3897" s="41">
        <v>6495.33</v>
      </c>
      <c r="F3897" s="41">
        <v>6486.2340000000004</v>
      </c>
      <c r="G3897" s="41">
        <v>6492.6549999999997</v>
      </c>
      <c r="H3897" s="41">
        <v>2215045626.02</v>
      </c>
      <c r="I3897" s="42">
        <v>6825</v>
      </c>
    </row>
    <row r="3898" spans="1:9" x14ac:dyDescent="0.25">
      <c r="A3898" t="s">
        <v>9</v>
      </c>
      <c r="B3898" s="39">
        <v>45672</v>
      </c>
      <c r="C3898" s="40">
        <v>0.5625</v>
      </c>
      <c r="D3898" s="41">
        <v>6490.5140000000001</v>
      </c>
      <c r="E3898" s="41">
        <v>6502.8209999999999</v>
      </c>
      <c r="F3898" s="41">
        <v>6489.4440000000004</v>
      </c>
      <c r="G3898" s="41">
        <v>6489.4440000000004</v>
      </c>
      <c r="H3898" s="41">
        <v>2987661506.8600001</v>
      </c>
      <c r="I3898" s="42">
        <v>9200</v>
      </c>
    </row>
    <row r="3899" spans="1:9" x14ac:dyDescent="0.25">
      <c r="A3899" t="s">
        <v>9</v>
      </c>
      <c r="B3899" s="39">
        <v>45672</v>
      </c>
      <c r="C3899" s="40">
        <v>0.54166666666666663</v>
      </c>
      <c r="D3899" s="41">
        <v>6482.4880000000003</v>
      </c>
      <c r="E3899" s="41">
        <v>6496.9350000000004</v>
      </c>
      <c r="F3899" s="41">
        <v>6481.4179999999997</v>
      </c>
      <c r="G3899" s="41">
        <v>6490.5140000000001</v>
      </c>
      <c r="H3899" s="41">
        <v>2168837898.8200002</v>
      </c>
      <c r="I3899" s="42">
        <v>6685</v>
      </c>
    </row>
    <row r="3900" spans="1:9" x14ac:dyDescent="0.25">
      <c r="A3900" t="s">
        <v>9</v>
      </c>
      <c r="B3900" s="39">
        <v>45672</v>
      </c>
      <c r="C3900" s="40">
        <v>0.52083333333333337</v>
      </c>
      <c r="D3900" s="41">
        <v>6483.0230000000001</v>
      </c>
      <c r="E3900" s="41">
        <v>6486.2340000000004</v>
      </c>
      <c r="F3900" s="41">
        <v>6477.6729999999998</v>
      </c>
      <c r="G3900" s="41">
        <v>6482.4880000000003</v>
      </c>
      <c r="H3900" s="41">
        <v>3325214540.9699998</v>
      </c>
      <c r="I3900" s="42">
        <v>10260</v>
      </c>
    </row>
    <row r="3901" spans="1:9" x14ac:dyDescent="0.25">
      <c r="A3901" t="s">
        <v>9</v>
      </c>
      <c r="B3901" s="39">
        <v>45672</v>
      </c>
      <c r="C3901" s="40">
        <v>0.5</v>
      </c>
      <c r="D3901" s="41">
        <v>6483.0230000000001</v>
      </c>
      <c r="E3901" s="41">
        <v>6503.8909999999996</v>
      </c>
      <c r="F3901" s="41">
        <v>6477.6729999999998</v>
      </c>
      <c r="G3901" s="41">
        <v>6484.0929999999998</v>
      </c>
      <c r="H3901" s="41">
        <v>11422974295.07</v>
      </c>
      <c r="I3901" s="42">
        <v>35190</v>
      </c>
    </row>
    <row r="3902" spans="1:9" x14ac:dyDescent="0.25">
      <c r="A3902" t="s">
        <v>9</v>
      </c>
      <c r="B3902" s="39">
        <v>45672</v>
      </c>
      <c r="C3902" s="40">
        <v>0.47916666666666669</v>
      </c>
      <c r="D3902" s="41">
        <v>6463.76</v>
      </c>
      <c r="E3902" s="41">
        <v>6484.0929999999998</v>
      </c>
      <c r="F3902" s="41">
        <v>6461.62</v>
      </c>
      <c r="G3902" s="41">
        <v>6482.4880000000003</v>
      </c>
      <c r="H3902" s="41">
        <v>5379925064.2399998</v>
      </c>
      <c r="I3902" s="42">
        <v>16630</v>
      </c>
    </row>
    <row r="3903" spans="1:9" x14ac:dyDescent="0.25">
      <c r="A3903" t="s">
        <v>9</v>
      </c>
      <c r="B3903" s="39">
        <v>45672</v>
      </c>
      <c r="C3903" s="40">
        <v>0.45833333333333331</v>
      </c>
      <c r="D3903" s="41">
        <v>6456.2690000000002</v>
      </c>
      <c r="E3903" s="41">
        <v>6471.7870000000003</v>
      </c>
      <c r="F3903" s="41">
        <v>6451.4539999999997</v>
      </c>
      <c r="G3903" s="41">
        <v>6463.76</v>
      </c>
      <c r="H3903" s="41">
        <v>6400831614.54</v>
      </c>
      <c r="I3903" s="42">
        <v>19815</v>
      </c>
    </row>
    <row r="3904" spans="1:9" x14ac:dyDescent="0.25">
      <c r="A3904" t="s">
        <v>9</v>
      </c>
      <c r="B3904" s="39">
        <v>45672</v>
      </c>
      <c r="C3904" s="40">
        <v>0.4375</v>
      </c>
      <c r="D3904" s="41">
        <v>6509.2420000000002</v>
      </c>
      <c r="E3904" s="41">
        <v>6509.2420000000002</v>
      </c>
      <c r="F3904" s="41">
        <v>6453.0590000000002</v>
      </c>
      <c r="G3904" s="41">
        <v>6455.7340000000004</v>
      </c>
      <c r="H3904" s="41">
        <v>10659428413.18</v>
      </c>
      <c r="I3904" s="42">
        <v>32950</v>
      </c>
    </row>
    <row r="3905" spans="1:9" x14ac:dyDescent="0.25">
      <c r="A3905" t="s">
        <v>9</v>
      </c>
      <c r="B3905" s="39">
        <v>45672</v>
      </c>
      <c r="C3905" s="40">
        <v>0.41666666666666669</v>
      </c>
      <c r="D3905" s="41">
        <v>6502.2860000000001</v>
      </c>
      <c r="E3905" s="41">
        <v>6514.058</v>
      </c>
      <c r="F3905" s="41">
        <v>6488.3739999999998</v>
      </c>
      <c r="G3905" s="41">
        <v>6509.2420000000002</v>
      </c>
      <c r="H3905" s="41">
        <v>4457482373.3100004</v>
      </c>
      <c r="I3905" s="42">
        <v>13705</v>
      </c>
    </row>
    <row r="3906" spans="1:9" x14ac:dyDescent="0.25">
      <c r="A3906" t="s">
        <v>9</v>
      </c>
      <c r="B3906" s="39">
        <v>45672</v>
      </c>
      <c r="C3906" s="40">
        <v>0.39583333333333331</v>
      </c>
      <c r="D3906" s="41">
        <v>6485.6989999999996</v>
      </c>
      <c r="E3906" s="41">
        <v>6508.1719999999996</v>
      </c>
      <c r="F3906" s="41">
        <v>6479.2780000000002</v>
      </c>
      <c r="G3906" s="41">
        <v>6502.2860000000001</v>
      </c>
      <c r="H3906" s="41">
        <v>2384012096.3000002</v>
      </c>
      <c r="I3906" s="42">
        <v>7340</v>
      </c>
    </row>
    <row r="3907" spans="1:9" x14ac:dyDescent="0.25">
      <c r="A3907" t="s">
        <v>9</v>
      </c>
      <c r="B3907" s="39">
        <v>45672</v>
      </c>
      <c r="C3907" s="40">
        <v>0.375</v>
      </c>
      <c r="D3907" s="41">
        <v>6490.5140000000001</v>
      </c>
      <c r="E3907" s="41">
        <v>6499.6109999999999</v>
      </c>
      <c r="F3907" s="41">
        <v>6474.9970000000003</v>
      </c>
      <c r="G3907" s="41">
        <v>6484.6289999999999</v>
      </c>
      <c r="H3907" s="41">
        <v>2416536369.0500002</v>
      </c>
      <c r="I3907" s="42">
        <v>7450</v>
      </c>
    </row>
    <row r="3908" spans="1:9" x14ac:dyDescent="0.25">
      <c r="A3908" t="s">
        <v>9</v>
      </c>
      <c r="B3908" s="39">
        <v>45671</v>
      </c>
      <c r="C3908" s="40">
        <v>0.75</v>
      </c>
      <c r="D3908" s="41">
        <v>6500.6809999999996</v>
      </c>
      <c r="E3908" s="41">
        <v>6509.2420000000002</v>
      </c>
      <c r="F3908" s="41">
        <v>6500.1459999999997</v>
      </c>
      <c r="G3908" s="41">
        <v>6509.2420000000002</v>
      </c>
      <c r="H3908" s="41">
        <v>1021066405.3099999</v>
      </c>
      <c r="I3908" s="42">
        <v>3140</v>
      </c>
    </row>
    <row r="3909" spans="1:9" x14ac:dyDescent="0.25">
      <c r="A3909" t="s">
        <v>9</v>
      </c>
      <c r="B3909" s="39">
        <v>45671</v>
      </c>
      <c r="C3909" s="40">
        <v>0.72916666666666663</v>
      </c>
      <c r="D3909" s="41">
        <v>6492.6549999999997</v>
      </c>
      <c r="E3909" s="41">
        <v>6503.3559999999998</v>
      </c>
      <c r="F3909" s="41">
        <v>6490.5140000000001</v>
      </c>
      <c r="G3909" s="41">
        <v>6502.2860000000001</v>
      </c>
      <c r="H3909" s="41">
        <v>1124131012.0599999</v>
      </c>
      <c r="I3909" s="42">
        <v>3460</v>
      </c>
    </row>
    <row r="3910" spans="1:9" x14ac:dyDescent="0.25">
      <c r="A3910" t="s">
        <v>9</v>
      </c>
      <c r="B3910" s="39">
        <v>45671</v>
      </c>
      <c r="C3910" s="40">
        <v>0.70833333333333337</v>
      </c>
      <c r="D3910" s="41">
        <v>6491.049</v>
      </c>
      <c r="E3910" s="41">
        <v>6497.47</v>
      </c>
      <c r="F3910" s="41">
        <v>6489.4440000000004</v>
      </c>
      <c r="G3910" s="41">
        <v>6493.7250000000004</v>
      </c>
      <c r="H3910" s="41">
        <v>961002259.20000005</v>
      </c>
      <c r="I3910" s="42">
        <v>2960</v>
      </c>
    </row>
    <row r="3911" spans="1:9" x14ac:dyDescent="0.25">
      <c r="A3911" t="s">
        <v>9</v>
      </c>
      <c r="B3911" s="39">
        <v>45671</v>
      </c>
      <c r="C3911" s="40">
        <v>0.6875</v>
      </c>
      <c r="D3911" s="41">
        <v>6492.12</v>
      </c>
      <c r="E3911" s="41">
        <v>6495.33</v>
      </c>
      <c r="F3911" s="41">
        <v>6485.1639999999998</v>
      </c>
      <c r="G3911" s="41">
        <v>6491.049</v>
      </c>
      <c r="H3911" s="41">
        <v>3012754194.0999999</v>
      </c>
      <c r="I3911" s="42">
        <v>9285</v>
      </c>
    </row>
    <row r="3912" spans="1:9" x14ac:dyDescent="0.25">
      <c r="A3912" t="s">
        <v>9</v>
      </c>
      <c r="B3912" s="39">
        <v>45671</v>
      </c>
      <c r="C3912" s="40">
        <v>0.66666666666666663</v>
      </c>
      <c r="D3912" s="41">
        <v>6496.4</v>
      </c>
      <c r="E3912" s="41">
        <v>6500.1459999999997</v>
      </c>
      <c r="F3912" s="41">
        <v>6490.5140000000001</v>
      </c>
      <c r="G3912" s="41">
        <v>6492.12</v>
      </c>
      <c r="H3912" s="41">
        <v>6839175970.1099997</v>
      </c>
      <c r="I3912" s="42">
        <v>21065</v>
      </c>
    </row>
    <row r="3913" spans="1:9" x14ac:dyDescent="0.25">
      <c r="A3913" t="s">
        <v>9</v>
      </c>
      <c r="B3913" s="39">
        <v>45671</v>
      </c>
      <c r="C3913" s="40">
        <v>0.64583333333333337</v>
      </c>
      <c r="D3913" s="41">
        <v>6506.0320000000002</v>
      </c>
      <c r="E3913" s="41">
        <v>6508.1719999999996</v>
      </c>
      <c r="F3913" s="41">
        <v>6490.5140000000001</v>
      </c>
      <c r="G3913" s="41">
        <v>6497.47</v>
      </c>
      <c r="H3913" s="41">
        <v>8431595323.3299999</v>
      </c>
      <c r="I3913" s="42">
        <v>25955</v>
      </c>
    </row>
    <row r="3914" spans="1:9" x14ac:dyDescent="0.25">
      <c r="A3914" t="s">
        <v>9</v>
      </c>
      <c r="B3914" s="39">
        <v>45671</v>
      </c>
      <c r="C3914" s="40">
        <v>0.625</v>
      </c>
      <c r="D3914" s="41">
        <v>6508.1719999999996</v>
      </c>
      <c r="E3914" s="41">
        <v>6508.7070000000003</v>
      </c>
      <c r="F3914" s="41">
        <v>6502.2860000000001</v>
      </c>
      <c r="G3914" s="41">
        <v>6506.567</v>
      </c>
      <c r="H3914" s="41">
        <v>1663937277.48</v>
      </c>
      <c r="I3914" s="42">
        <v>5115</v>
      </c>
    </row>
    <row r="3915" spans="1:9" x14ac:dyDescent="0.25">
      <c r="A3915" t="s">
        <v>9</v>
      </c>
      <c r="B3915" s="39">
        <v>45671</v>
      </c>
      <c r="C3915" s="40">
        <v>0.60416666666666663</v>
      </c>
      <c r="D3915" s="41">
        <v>6502.2860000000001</v>
      </c>
      <c r="E3915" s="41">
        <v>6509.2420000000002</v>
      </c>
      <c r="F3915" s="41">
        <v>6489.4440000000004</v>
      </c>
      <c r="G3915" s="41">
        <v>6508.7070000000003</v>
      </c>
      <c r="H3915" s="41">
        <v>3766245263.1999998</v>
      </c>
      <c r="I3915" s="42">
        <v>11590</v>
      </c>
    </row>
    <row r="3916" spans="1:9" x14ac:dyDescent="0.25">
      <c r="A3916" t="s">
        <v>9</v>
      </c>
      <c r="B3916" s="39">
        <v>45671</v>
      </c>
      <c r="C3916" s="40">
        <v>0.58333333333333337</v>
      </c>
      <c r="D3916" s="41">
        <v>6496.4</v>
      </c>
      <c r="E3916" s="41">
        <v>6507.6369999999997</v>
      </c>
      <c r="F3916" s="41">
        <v>6492.12</v>
      </c>
      <c r="G3916" s="41">
        <v>6502.8209999999999</v>
      </c>
      <c r="H3916" s="41">
        <v>2892907219.9299998</v>
      </c>
      <c r="I3916" s="42">
        <v>8900</v>
      </c>
    </row>
    <row r="3917" spans="1:9" x14ac:dyDescent="0.25">
      <c r="A3917" t="s">
        <v>9</v>
      </c>
      <c r="B3917" s="39">
        <v>45671</v>
      </c>
      <c r="C3917" s="40">
        <v>0.5625</v>
      </c>
      <c r="D3917" s="41">
        <v>6501.7510000000002</v>
      </c>
      <c r="E3917" s="41">
        <v>6504.4260000000004</v>
      </c>
      <c r="F3917" s="41">
        <v>6495.33</v>
      </c>
      <c r="G3917" s="41">
        <v>6496.9350000000004</v>
      </c>
      <c r="H3917" s="41">
        <v>2621382996.9699998</v>
      </c>
      <c r="I3917" s="42">
        <v>8065</v>
      </c>
    </row>
    <row r="3918" spans="1:9" x14ac:dyDescent="0.25">
      <c r="A3918" t="s">
        <v>9</v>
      </c>
      <c r="B3918" s="39">
        <v>45671</v>
      </c>
      <c r="C3918" s="40">
        <v>0.54166666666666663</v>
      </c>
      <c r="D3918" s="41">
        <v>6495.8649999999998</v>
      </c>
      <c r="E3918" s="41">
        <v>6502.2860000000001</v>
      </c>
      <c r="F3918" s="41">
        <v>6488.9089999999997</v>
      </c>
      <c r="G3918" s="41">
        <v>6501.7510000000002</v>
      </c>
      <c r="H3918" s="41">
        <v>3061655645.3099999</v>
      </c>
      <c r="I3918" s="42">
        <v>9425</v>
      </c>
    </row>
    <row r="3919" spans="1:9" x14ac:dyDescent="0.25">
      <c r="A3919" t="s">
        <v>9</v>
      </c>
      <c r="B3919" s="39">
        <v>45671</v>
      </c>
      <c r="C3919" s="40">
        <v>0.52083333333333337</v>
      </c>
      <c r="D3919" s="41">
        <v>6517.8029999999999</v>
      </c>
      <c r="E3919" s="41">
        <v>6523.1540000000005</v>
      </c>
      <c r="F3919" s="41">
        <v>6494.26</v>
      </c>
      <c r="G3919" s="41">
        <v>6495.8649999999998</v>
      </c>
      <c r="H3919" s="41">
        <v>4074752843.98</v>
      </c>
      <c r="I3919" s="42">
        <v>12525</v>
      </c>
    </row>
    <row r="3920" spans="1:9" x14ac:dyDescent="0.25">
      <c r="A3920" t="s">
        <v>9</v>
      </c>
      <c r="B3920" s="39">
        <v>45671</v>
      </c>
      <c r="C3920" s="40">
        <v>0.5</v>
      </c>
      <c r="D3920" s="41">
        <v>6517.268</v>
      </c>
      <c r="E3920" s="41">
        <v>6519.4089999999997</v>
      </c>
      <c r="F3920" s="41">
        <v>6506.567</v>
      </c>
      <c r="G3920" s="41">
        <v>6517.268</v>
      </c>
      <c r="H3920" s="41">
        <v>3128230371.3200002</v>
      </c>
      <c r="I3920" s="42">
        <v>9605</v>
      </c>
    </row>
    <row r="3921" spans="1:9" x14ac:dyDescent="0.25">
      <c r="A3921" t="s">
        <v>9</v>
      </c>
      <c r="B3921" s="39">
        <v>45671</v>
      </c>
      <c r="C3921" s="40">
        <v>0.47916666666666669</v>
      </c>
      <c r="D3921" s="41">
        <v>6515.6629999999996</v>
      </c>
      <c r="E3921" s="41">
        <v>6518.8739999999998</v>
      </c>
      <c r="F3921" s="41">
        <v>6499.6109999999999</v>
      </c>
      <c r="G3921" s="41">
        <v>6518.3389999999999</v>
      </c>
      <c r="H3921" s="41">
        <v>4878322271.6700001</v>
      </c>
      <c r="I3921" s="42">
        <v>14990</v>
      </c>
    </row>
    <row r="3922" spans="1:9" x14ac:dyDescent="0.25">
      <c r="A3922" t="s">
        <v>9</v>
      </c>
      <c r="B3922" s="39">
        <v>45671</v>
      </c>
      <c r="C3922" s="40">
        <v>0.45833333333333331</v>
      </c>
      <c r="D3922" s="41">
        <v>6505.4970000000003</v>
      </c>
      <c r="E3922" s="41">
        <v>6522.0839999999998</v>
      </c>
      <c r="F3922" s="41">
        <v>6503.3559999999998</v>
      </c>
      <c r="G3922" s="41">
        <v>6515.6629999999996</v>
      </c>
      <c r="H3922" s="41">
        <v>5782889561.5100002</v>
      </c>
      <c r="I3922" s="42">
        <v>17760</v>
      </c>
    </row>
    <row r="3923" spans="1:9" x14ac:dyDescent="0.25">
      <c r="A3923" t="s">
        <v>9</v>
      </c>
      <c r="B3923" s="39">
        <v>45671</v>
      </c>
      <c r="C3923" s="40">
        <v>0.4375</v>
      </c>
      <c r="D3923" s="41">
        <v>6520.4790000000003</v>
      </c>
      <c r="E3923" s="41">
        <v>6524.2240000000002</v>
      </c>
      <c r="F3923" s="41">
        <v>6486.2340000000004</v>
      </c>
      <c r="G3923" s="41">
        <v>6504.9620000000004</v>
      </c>
      <c r="H3923" s="41">
        <v>10141542482.370001</v>
      </c>
      <c r="I3923" s="42">
        <v>31185</v>
      </c>
    </row>
    <row r="3924" spans="1:9" x14ac:dyDescent="0.25">
      <c r="A3924" t="s">
        <v>9</v>
      </c>
      <c r="B3924" s="39">
        <v>45671</v>
      </c>
      <c r="C3924" s="40">
        <v>0.41666666666666669</v>
      </c>
      <c r="D3924" s="41">
        <v>6527.97</v>
      </c>
      <c r="E3924" s="41">
        <v>6535.4610000000002</v>
      </c>
      <c r="F3924" s="41">
        <v>6514.058</v>
      </c>
      <c r="G3924" s="41">
        <v>6522.0839999999998</v>
      </c>
      <c r="H3924" s="41">
        <v>4439285121.9099998</v>
      </c>
      <c r="I3924" s="42">
        <v>13610</v>
      </c>
    </row>
    <row r="3925" spans="1:9" x14ac:dyDescent="0.25">
      <c r="A3925" t="s">
        <v>9</v>
      </c>
      <c r="B3925" s="39">
        <v>45671</v>
      </c>
      <c r="C3925" s="40">
        <v>0.39583333333333331</v>
      </c>
      <c r="D3925" s="41">
        <v>6532.7860000000001</v>
      </c>
      <c r="E3925" s="41">
        <v>6538.1360000000004</v>
      </c>
      <c r="F3925" s="41">
        <v>6515.6629999999996</v>
      </c>
      <c r="G3925" s="41">
        <v>6527.97</v>
      </c>
      <c r="H3925" s="41">
        <v>3117210408.8800001</v>
      </c>
      <c r="I3925" s="42">
        <v>9550</v>
      </c>
    </row>
    <row r="3926" spans="1:9" x14ac:dyDescent="0.25">
      <c r="A3926" t="s">
        <v>9</v>
      </c>
      <c r="B3926" s="39">
        <v>45671</v>
      </c>
      <c r="C3926" s="40">
        <v>0.375</v>
      </c>
      <c r="D3926" s="41">
        <v>6540.277</v>
      </c>
      <c r="E3926" s="41">
        <v>6540.8119999999999</v>
      </c>
      <c r="F3926" s="41">
        <v>6515.1279999999997</v>
      </c>
      <c r="G3926" s="41">
        <v>6532.7860000000001</v>
      </c>
      <c r="H3926" s="41">
        <v>3519383657.3299999</v>
      </c>
      <c r="I3926" s="42">
        <v>10780</v>
      </c>
    </row>
    <row r="3927" spans="1:9" x14ac:dyDescent="0.25">
      <c r="A3927" t="s">
        <v>9</v>
      </c>
      <c r="B3927" s="39">
        <v>45670</v>
      </c>
      <c r="C3927" s="40">
        <v>0.75</v>
      </c>
      <c r="D3927" s="41">
        <v>6548.3029999999999</v>
      </c>
      <c r="E3927" s="41">
        <v>6549.3729999999996</v>
      </c>
      <c r="F3927" s="41">
        <v>6542.4170000000004</v>
      </c>
      <c r="G3927" s="41">
        <v>6548.8379999999997</v>
      </c>
      <c r="H3927" s="41">
        <v>888661650.19000006</v>
      </c>
      <c r="I3927" s="42">
        <v>2715</v>
      </c>
    </row>
    <row r="3928" spans="1:9" x14ac:dyDescent="0.25">
      <c r="A3928" t="s">
        <v>9</v>
      </c>
      <c r="B3928" s="39">
        <v>45670</v>
      </c>
      <c r="C3928" s="40">
        <v>0.72916666666666663</v>
      </c>
      <c r="D3928" s="41">
        <v>6548.8379999999997</v>
      </c>
      <c r="E3928" s="41">
        <v>6549.3729999999996</v>
      </c>
      <c r="F3928" s="41">
        <v>6543.4870000000001</v>
      </c>
      <c r="G3928" s="41">
        <v>6547.768</v>
      </c>
      <c r="H3928" s="41">
        <v>783903918.11000001</v>
      </c>
      <c r="I3928" s="42">
        <v>2395</v>
      </c>
    </row>
    <row r="3929" spans="1:9" x14ac:dyDescent="0.25">
      <c r="A3929" t="s">
        <v>9</v>
      </c>
      <c r="B3929" s="39">
        <v>45670</v>
      </c>
      <c r="C3929" s="40">
        <v>0.70833333333333337</v>
      </c>
      <c r="D3929" s="41">
        <v>6548.3029999999999</v>
      </c>
      <c r="E3929" s="41">
        <v>6549.9080000000004</v>
      </c>
      <c r="F3929" s="41">
        <v>6546.1629999999996</v>
      </c>
      <c r="G3929" s="41">
        <v>6548.8379999999997</v>
      </c>
      <c r="H3929" s="41">
        <v>1029723724.1900001</v>
      </c>
      <c r="I3929" s="42">
        <v>3145</v>
      </c>
    </row>
    <row r="3930" spans="1:9" x14ac:dyDescent="0.25">
      <c r="A3930" t="s">
        <v>9</v>
      </c>
      <c r="B3930" s="39">
        <v>45670</v>
      </c>
      <c r="C3930" s="40">
        <v>0.6875</v>
      </c>
      <c r="D3930" s="41">
        <v>6548.3029999999999</v>
      </c>
      <c r="E3930" s="41">
        <v>6554.1890000000003</v>
      </c>
      <c r="F3930" s="41">
        <v>6546.6980000000003</v>
      </c>
      <c r="G3930" s="41">
        <v>6548.8379999999997</v>
      </c>
      <c r="H3930" s="41">
        <v>1647468867.96</v>
      </c>
      <c r="I3930" s="42">
        <v>5030</v>
      </c>
    </row>
    <row r="3931" spans="1:9" x14ac:dyDescent="0.25">
      <c r="A3931" t="s">
        <v>9</v>
      </c>
      <c r="B3931" s="39">
        <v>45670</v>
      </c>
      <c r="C3931" s="40">
        <v>0.66666666666666663</v>
      </c>
      <c r="D3931" s="41">
        <v>6538.6719999999996</v>
      </c>
      <c r="E3931" s="41">
        <v>6552.049</v>
      </c>
      <c r="F3931" s="41">
        <v>6537.6009999999997</v>
      </c>
      <c r="G3931" s="41">
        <v>6547.2330000000002</v>
      </c>
      <c r="H3931" s="41">
        <v>3039354334.0900002</v>
      </c>
      <c r="I3931" s="42">
        <v>9285</v>
      </c>
    </row>
    <row r="3932" spans="1:9" x14ac:dyDescent="0.25">
      <c r="A3932" t="s">
        <v>9</v>
      </c>
      <c r="B3932" s="39">
        <v>45670</v>
      </c>
      <c r="C3932" s="40">
        <v>0.64583333333333337</v>
      </c>
      <c r="D3932" s="41">
        <v>6538.1360000000004</v>
      </c>
      <c r="E3932" s="41">
        <v>6544.0219999999999</v>
      </c>
      <c r="F3932" s="41">
        <v>6529.5749999999998</v>
      </c>
      <c r="G3932" s="41">
        <v>6538.1360000000004</v>
      </c>
      <c r="H3932" s="41">
        <v>3440036182.1799998</v>
      </c>
      <c r="I3932" s="42">
        <v>10525</v>
      </c>
    </row>
    <row r="3933" spans="1:9" x14ac:dyDescent="0.25">
      <c r="A3933" t="s">
        <v>9</v>
      </c>
      <c r="B3933" s="39">
        <v>45670</v>
      </c>
      <c r="C3933" s="40">
        <v>0.625</v>
      </c>
      <c r="D3933" s="41">
        <v>6545.0929999999998</v>
      </c>
      <c r="E3933" s="41">
        <v>6545.0929999999998</v>
      </c>
      <c r="F3933" s="41">
        <v>6537.6009999999997</v>
      </c>
      <c r="G3933" s="41">
        <v>6539.2070000000003</v>
      </c>
      <c r="H3933" s="41">
        <v>1921473719.52</v>
      </c>
      <c r="I3933" s="42">
        <v>5875</v>
      </c>
    </row>
    <row r="3934" spans="1:9" x14ac:dyDescent="0.25">
      <c r="A3934" t="s">
        <v>9</v>
      </c>
      <c r="B3934" s="39">
        <v>45670</v>
      </c>
      <c r="C3934" s="40">
        <v>0.60416666666666663</v>
      </c>
      <c r="D3934" s="41">
        <v>6549.9080000000004</v>
      </c>
      <c r="E3934" s="41">
        <v>6551.5129999999999</v>
      </c>
      <c r="F3934" s="41">
        <v>6541.8819999999996</v>
      </c>
      <c r="G3934" s="41">
        <v>6544.5569999999998</v>
      </c>
      <c r="H3934" s="41">
        <v>3078439350.4299998</v>
      </c>
      <c r="I3934" s="42">
        <v>9405</v>
      </c>
    </row>
    <row r="3935" spans="1:9" x14ac:dyDescent="0.25">
      <c r="A3935" t="s">
        <v>9</v>
      </c>
      <c r="B3935" s="39">
        <v>45670</v>
      </c>
      <c r="C3935" s="40">
        <v>0.58333333333333337</v>
      </c>
      <c r="D3935" s="41">
        <v>6561.1450000000004</v>
      </c>
      <c r="E3935" s="41">
        <v>6563.2849999999999</v>
      </c>
      <c r="F3935" s="41">
        <v>6545.0929999999998</v>
      </c>
      <c r="G3935" s="41">
        <v>6547.768</v>
      </c>
      <c r="H3935" s="41">
        <v>2254254379.5100002</v>
      </c>
      <c r="I3935" s="42">
        <v>6880</v>
      </c>
    </row>
    <row r="3936" spans="1:9" x14ac:dyDescent="0.25">
      <c r="A3936" t="s">
        <v>9</v>
      </c>
      <c r="B3936" s="39">
        <v>45670</v>
      </c>
      <c r="C3936" s="40">
        <v>0.5625</v>
      </c>
      <c r="D3936" s="41">
        <v>6544.5569999999998</v>
      </c>
      <c r="E3936" s="41">
        <v>6563.82</v>
      </c>
      <c r="F3936" s="41">
        <v>6544.5569999999998</v>
      </c>
      <c r="G3936" s="41">
        <v>6560.61</v>
      </c>
      <c r="H3936" s="41">
        <v>1880058833.23</v>
      </c>
      <c r="I3936" s="42">
        <v>5735</v>
      </c>
    </row>
    <row r="3937" spans="1:9" x14ac:dyDescent="0.25">
      <c r="A3937" t="s">
        <v>9</v>
      </c>
      <c r="B3937" s="39">
        <v>45670</v>
      </c>
      <c r="C3937" s="40">
        <v>0.54166666666666663</v>
      </c>
      <c r="D3937" s="41">
        <v>6558.47</v>
      </c>
      <c r="E3937" s="41">
        <v>6559.0050000000001</v>
      </c>
      <c r="F3937" s="41">
        <v>6544.5569999999998</v>
      </c>
      <c r="G3937" s="41">
        <v>6545.0929999999998</v>
      </c>
      <c r="H3937" s="41">
        <v>2930124942.5700002</v>
      </c>
      <c r="I3937" s="42">
        <v>8945</v>
      </c>
    </row>
    <row r="3938" spans="1:9" x14ac:dyDescent="0.25">
      <c r="A3938" t="s">
        <v>9</v>
      </c>
      <c r="B3938" s="39">
        <v>45670</v>
      </c>
      <c r="C3938" s="40">
        <v>0.52083333333333337</v>
      </c>
      <c r="D3938" s="41">
        <v>6553.1189999999997</v>
      </c>
      <c r="E3938" s="41">
        <v>6561.68</v>
      </c>
      <c r="F3938" s="41">
        <v>6546.6980000000003</v>
      </c>
      <c r="G3938" s="41">
        <v>6558.47</v>
      </c>
      <c r="H3938" s="41">
        <v>1944575242.1500001</v>
      </c>
      <c r="I3938" s="42">
        <v>5935</v>
      </c>
    </row>
    <row r="3939" spans="1:9" x14ac:dyDescent="0.25">
      <c r="A3939" t="s">
        <v>9</v>
      </c>
      <c r="B3939" s="39">
        <v>45670</v>
      </c>
      <c r="C3939" s="40">
        <v>0.5</v>
      </c>
      <c r="D3939" s="41">
        <v>6566.4960000000001</v>
      </c>
      <c r="E3939" s="41">
        <v>6571.8469999999998</v>
      </c>
      <c r="F3939" s="41">
        <v>6552.5839999999998</v>
      </c>
      <c r="G3939" s="41">
        <v>6555.259</v>
      </c>
      <c r="H3939" s="41">
        <v>3443322908.0500002</v>
      </c>
      <c r="I3939" s="42">
        <v>10495</v>
      </c>
    </row>
    <row r="3940" spans="1:9" x14ac:dyDescent="0.25">
      <c r="A3940" t="s">
        <v>9</v>
      </c>
      <c r="B3940" s="39">
        <v>45670</v>
      </c>
      <c r="C3940" s="40">
        <v>0.47916666666666669</v>
      </c>
      <c r="D3940" s="41">
        <v>6581.4780000000001</v>
      </c>
      <c r="E3940" s="41">
        <v>6582.0129999999999</v>
      </c>
      <c r="F3940" s="41">
        <v>6557.3990000000003</v>
      </c>
      <c r="G3940" s="41">
        <v>6567.0309999999999</v>
      </c>
      <c r="H3940" s="41">
        <v>3314046495.27</v>
      </c>
      <c r="I3940" s="42">
        <v>10090</v>
      </c>
    </row>
    <row r="3941" spans="1:9" x14ac:dyDescent="0.25">
      <c r="A3941" t="s">
        <v>9</v>
      </c>
      <c r="B3941" s="39">
        <v>45670</v>
      </c>
      <c r="C3941" s="40">
        <v>0.45833333333333331</v>
      </c>
      <c r="D3941" s="41">
        <v>6570.241</v>
      </c>
      <c r="E3941" s="41">
        <v>6585.223</v>
      </c>
      <c r="F3941" s="41">
        <v>6559.54</v>
      </c>
      <c r="G3941" s="41">
        <v>6580.9430000000002</v>
      </c>
      <c r="H3941" s="41">
        <v>10887412146.52</v>
      </c>
      <c r="I3941" s="42">
        <v>33135</v>
      </c>
    </row>
    <row r="3942" spans="1:9" x14ac:dyDescent="0.25">
      <c r="A3942" t="s">
        <v>9</v>
      </c>
      <c r="B3942" s="39">
        <v>45670</v>
      </c>
      <c r="C3942" s="40">
        <v>0.4375</v>
      </c>
      <c r="D3942" s="41">
        <v>6548.8379999999997</v>
      </c>
      <c r="E3942" s="41">
        <v>6575.5919999999996</v>
      </c>
      <c r="F3942" s="41">
        <v>6548.3029999999999</v>
      </c>
      <c r="G3942" s="41">
        <v>6569.7060000000001</v>
      </c>
      <c r="H3942" s="41">
        <v>4844161190.71</v>
      </c>
      <c r="I3942" s="42">
        <v>14765</v>
      </c>
    </row>
    <row r="3943" spans="1:9" x14ac:dyDescent="0.25">
      <c r="A3943" t="s">
        <v>9</v>
      </c>
      <c r="B3943" s="39">
        <v>45670</v>
      </c>
      <c r="C3943" s="40">
        <v>0.41666666666666669</v>
      </c>
      <c r="D3943" s="41">
        <v>6549.9080000000004</v>
      </c>
      <c r="E3943" s="41">
        <v>6550.4430000000002</v>
      </c>
      <c r="F3943" s="41">
        <v>6531.7160000000003</v>
      </c>
      <c r="G3943" s="41">
        <v>6548.3029999999999</v>
      </c>
      <c r="H3943" s="41">
        <v>3233460578.5999999</v>
      </c>
      <c r="I3943" s="42">
        <v>9885</v>
      </c>
    </row>
    <row r="3944" spans="1:9" x14ac:dyDescent="0.25">
      <c r="A3944" t="s">
        <v>9</v>
      </c>
      <c r="B3944" s="39">
        <v>45670</v>
      </c>
      <c r="C3944" s="40">
        <v>0.39583333333333331</v>
      </c>
      <c r="D3944" s="41">
        <v>6542.9520000000002</v>
      </c>
      <c r="E3944" s="41">
        <v>6552.5839999999998</v>
      </c>
      <c r="F3944" s="41">
        <v>6525.2950000000001</v>
      </c>
      <c r="G3944" s="41">
        <v>6549.3729999999996</v>
      </c>
      <c r="H3944" s="41">
        <v>3566728294.71</v>
      </c>
      <c r="I3944" s="42">
        <v>10910</v>
      </c>
    </row>
    <row r="3945" spans="1:9" x14ac:dyDescent="0.25">
      <c r="A3945" t="s">
        <v>9</v>
      </c>
      <c r="B3945" s="39">
        <v>45670</v>
      </c>
      <c r="C3945" s="40">
        <v>0.375</v>
      </c>
      <c r="D3945" s="41">
        <v>6579.8729999999996</v>
      </c>
      <c r="E3945" s="41">
        <v>6590.5739999999996</v>
      </c>
      <c r="F3945" s="41">
        <v>6542.4170000000004</v>
      </c>
      <c r="G3945" s="41">
        <v>6542.4170000000004</v>
      </c>
      <c r="H3945" s="41">
        <v>5079044506.75</v>
      </c>
      <c r="I3945" s="42">
        <v>15470</v>
      </c>
    </row>
    <row r="3946" spans="1:9" x14ac:dyDescent="0.25">
      <c r="A3946" t="s">
        <v>9</v>
      </c>
      <c r="B3946" s="39">
        <v>45667</v>
      </c>
      <c r="C3946" s="40">
        <v>0.75</v>
      </c>
      <c r="D3946" s="41">
        <v>6563.2849999999999</v>
      </c>
      <c r="E3946" s="41">
        <v>6565.4260000000004</v>
      </c>
      <c r="F3946" s="41">
        <v>6547.768</v>
      </c>
      <c r="G3946" s="41">
        <v>6557.9340000000002</v>
      </c>
      <c r="H3946" s="41">
        <v>913210562.88</v>
      </c>
      <c r="I3946" s="42">
        <v>2785</v>
      </c>
    </row>
    <row r="3947" spans="1:9" x14ac:dyDescent="0.25">
      <c r="A3947" t="s">
        <v>9</v>
      </c>
      <c r="B3947" s="39">
        <v>45667</v>
      </c>
      <c r="C3947" s="40">
        <v>0.72916666666666663</v>
      </c>
      <c r="D3947" s="41">
        <v>6556.3289999999997</v>
      </c>
      <c r="E3947" s="41">
        <v>6564.3549999999996</v>
      </c>
      <c r="F3947" s="41">
        <v>6555.259</v>
      </c>
      <c r="G3947" s="41">
        <v>6563.2849999999999</v>
      </c>
      <c r="H3947" s="41">
        <v>1103499817.74</v>
      </c>
      <c r="I3947" s="42">
        <v>3365</v>
      </c>
    </row>
    <row r="3948" spans="1:9" x14ac:dyDescent="0.25">
      <c r="A3948" t="s">
        <v>9</v>
      </c>
      <c r="B3948" s="39">
        <v>45667</v>
      </c>
      <c r="C3948" s="40">
        <v>0.70833333333333337</v>
      </c>
      <c r="D3948" s="41">
        <v>6555.7939999999999</v>
      </c>
      <c r="E3948" s="41">
        <v>6559.54</v>
      </c>
      <c r="F3948" s="41">
        <v>6553.6540000000005</v>
      </c>
      <c r="G3948" s="41">
        <v>6556.3289999999997</v>
      </c>
      <c r="H3948" s="41">
        <v>1681634898.4000001</v>
      </c>
      <c r="I3948" s="42">
        <v>5130</v>
      </c>
    </row>
    <row r="3949" spans="1:9" x14ac:dyDescent="0.25">
      <c r="A3949" t="s">
        <v>9</v>
      </c>
      <c r="B3949" s="39">
        <v>45667</v>
      </c>
      <c r="C3949" s="40">
        <v>0.6875</v>
      </c>
      <c r="D3949" s="41">
        <v>6549.9080000000004</v>
      </c>
      <c r="E3949" s="41">
        <v>6555.7939999999999</v>
      </c>
      <c r="F3949" s="41">
        <v>6545.6279999999997</v>
      </c>
      <c r="G3949" s="41">
        <v>6555.7939999999999</v>
      </c>
      <c r="H3949" s="41">
        <v>2690876715.46</v>
      </c>
      <c r="I3949" s="42">
        <v>8215</v>
      </c>
    </row>
    <row r="3950" spans="1:9" x14ac:dyDescent="0.25">
      <c r="A3950" t="s">
        <v>9</v>
      </c>
      <c r="B3950" s="39">
        <v>45667</v>
      </c>
      <c r="C3950" s="40">
        <v>0.66666666666666663</v>
      </c>
      <c r="D3950" s="41">
        <v>6549.3729999999996</v>
      </c>
      <c r="E3950" s="41">
        <v>6554.1890000000003</v>
      </c>
      <c r="F3950" s="41">
        <v>6546.6980000000003</v>
      </c>
      <c r="G3950" s="41">
        <v>6550.4430000000002</v>
      </c>
      <c r="H3950" s="41">
        <v>1893210284.8900001</v>
      </c>
      <c r="I3950" s="42">
        <v>5780</v>
      </c>
    </row>
    <row r="3951" spans="1:9" x14ac:dyDescent="0.25">
      <c r="A3951" t="s">
        <v>9</v>
      </c>
      <c r="B3951" s="39">
        <v>45667</v>
      </c>
      <c r="C3951" s="40">
        <v>0.64583333333333337</v>
      </c>
      <c r="D3951" s="41">
        <v>6559.0050000000001</v>
      </c>
      <c r="E3951" s="41">
        <v>6563.82</v>
      </c>
      <c r="F3951" s="41">
        <v>6546.6980000000003</v>
      </c>
      <c r="G3951" s="41">
        <v>6547.768</v>
      </c>
      <c r="H3951" s="41">
        <v>4541572258.1300001</v>
      </c>
      <c r="I3951" s="42">
        <v>13855</v>
      </c>
    </row>
    <row r="3952" spans="1:9" x14ac:dyDescent="0.25">
      <c r="A3952" t="s">
        <v>9</v>
      </c>
      <c r="B3952" s="39">
        <v>45667</v>
      </c>
      <c r="C3952" s="40">
        <v>0.625</v>
      </c>
      <c r="D3952" s="41">
        <v>6556.3289999999997</v>
      </c>
      <c r="E3952" s="41">
        <v>6561.1450000000004</v>
      </c>
      <c r="F3952" s="41">
        <v>6549.9080000000004</v>
      </c>
      <c r="G3952" s="41">
        <v>6559.0050000000001</v>
      </c>
      <c r="H3952" s="41">
        <v>2680666595.8499999</v>
      </c>
      <c r="I3952" s="42">
        <v>8180</v>
      </c>
    </row>
    <row r="3953" spans="1:9" x14ac:dyDescent="0.25">
      <c r="A3953" t="s">
        <v>9</v>
      </c>
      <c r="B3953" s="39">
        <v>45667</v>
      </c>
      <c r="C3953" s="40">
        <v>0.60416666666666663</v>
      </c>
      <c r="D3953" s="41">
        <v>6562.75</v>
      </c>
      <c r="E3953" s="41">
        <v>6564.89</v>
      </c>
      <c r="F3953" s="41">
        <v>6554.7240000000002</v>
      </c>
      <c r="G3953" s="41">
        <v>6556.3289999999997</v>
      </c>
      <c r="H3953" s="41">
        <v>2100979918.3900001</v>
      </c>
      <c r="I3953" s="42">
        <v>6405</v>
      </c>
    </row>
    <row r="3954" spans="1:9" x14ac:dyDescent="0.25">
      <c r="A3954" t="s">
        <v>9</v>
      </c>
      <c r="B3954" s="39">
        <v>45667</v>
      </c>
      <c r="C3954" s="40">
        <v>0.58333333333333337</v>
      </c>
      <c r="D3954" s="41">
        <v>6566.4960000000001</v>
      </c>
      <c r="E3954" s="41">
        <v>6571.3109999999997</v>
      </c>
      <c r="F3954" s="41">
        <v>6557.9340000000002</v>
      </c>
      <c r="G3954" s="41">
        <v>6563.2849999999999</v>
      </c>
      <c r="H3954" s="41">
        <v>2616023373.0900002</v>
      </c>
      <c r="I3954" s="42">
        <v>7970</v>
      </c>
    </row>
    <row r="3955" spans="1:9" x14ac:dyDescent="0.25">
      <c r="A3955" t="s">
        <v>9</v>
      </c>
      <c r="B3955" s="39">
        <v>45667</v>
      </c>
      <c r="C3955" s="40">
        <v>0.5625</v>
      </c>
      <c r="D3955" s="41">
        <v>6572.9170000000004</v>
      </c>
      <c r="E3955" s="41">
        <v>6572.9170000000004</v>
      </c>
      <c r="F3955" s="41">
        <v>6556.8639999999996</v>
      </c>
      <c r="G3955" s="41">
        <v>6566.4960000000001</v>
      </c>
      <c r="H3955" s="41">
        <v>1948138069.04</v>
      </c>
      <c r="I3955" s="42">
        <v>5935</v>
      </c>
    </row>
    <row r="3956" spans="1:9" x14ac:dyDescent="0.25">
      <c r="A3956" t="s">
        <v>9</v>
      </c>
      <c r="B3956" s="39">
        <v>45667</v>
      </c>
      <c r="C3956" s="40">
        <v>0.54166666666666663</v>
      </c>
      <c r="D3956" s="41">
        <v>6565.4260000000004</v>
      </c>
      <c r="E3956" s="41">
        <v>6575.5919999999996</v>
      </c>
      <c r="F3956" s="41">
        <v>6564.3549999999996</v>
      </c>
      <c r="G3956" s="41">
        <v>6569.7060000000001</v>
      </c>
      <c r="H3956" s="41">
        <v>2423920064.9299998</v>
      </c>
      <c r="I3956" s="42">
        <v>7380</v>
      </c>
    </row>
    <row r="3957" spans="1:9" x14ac:dyDescent="0.25">
      <c r="A3957" t="s">
        <v>9</v>
      </c>
      <c r="B3957" s="39">
        <v>45667</v>
      </c>
      <c r="C3957" s="40">
        <v>0.52083333333333337</v>
      </c>
      <c r="D3957" s="41">
        <v>6555.259</v>
      </c>
      <c r="E3957" s="41">
        <v>6568.6360000000004</v>
      </c>
      <c r="F3957" s="41">
        <v>6553.6540000000005</v>
      </c>
      <c r="G3957" s="41">
        <v>6565.4260000000004</v>
      </c>
      <c r="H3957" s="41">
        <v>2088356456.4300001</v>
      </c>
      <c r="I3957" s="42">
        <v>6365</v>
      </c>
    </row>
    <row r="3958" spans="1:9" x14ac:dyDescent="0.25">
      <c r="A3958" t="s">
        <v>9</v>
      </c>
      <c r="B3958" s="39">
        <v>45667</v>
      </c>
      <c r="C3958" s="40">
        <v>0.5</v>
      </c>
      <c r="D3958" s="41">
        <v>6554.7240000000002</v>
      </c>
      <c r="E3958" s="41">
        <v>6567.5659999999998</v>
      </c>
      <c r="F3958" s="41">
        <v>6548.3029999999999</v>
      </c>
      <c r="G3958" s="41">
        <v>6553.6540000000005</v>
      </c>
      <c r="H3958" s="41">
        <v>4065763642.04</v>
      </c>
      <c r="I3958" s="42">
        <v>12400</v>
      </c>
    </row>
    <row r="3959" spans="1:9" x14ac:dyDescent="0.25">
      <c r="A3959" t="s">
        <v>9</v>
      </c>
      <c r="B3959" s="39">
        <v>45667</v>
      </c>
      <c r="C3959" s="40">
        <v>0.47916666666666669</v>
      </c>
      <c r="D3959" s="41">
        <v>6558.47</v>
      </c>
      <c r="E3959" s="41">
        <v>6560.61</v>
      </c>
      <c r="F3959" s="41">
        <v>6542.9520000000002</v>
      </c>
      <c r="G3959" s="41">
        <v>6554.7240000000002</v>
      </c>
      <c r="H3959" s="41">
        <v>2832160446.1399999</v>
      </c>
      <c r="I3959" s="42">
        <v>8645</v>
      </c>
    </row>
    <row r="3960" spans="1:9" x14ac:dyDescent="0.25">
      <c r="A3960" t="s">
        <v>9</v>
      </c>
      <c r="B3960" s="39">
        <v>45667</v>
      </c>
      <c r="C3960" s="40">
        <v>0.45833333333333331</v>
      </c>
      <c r="D3960" s="41">
        <v>6557.9340000000002</v>
      </c>
      <c r="E3960" s="41">
        <v>6565.9610000000002</v>
      </c>
      <c r="F3960" s="41">
        <v>6549.9080000000004</v>
      </c>
      <c r="G3960" s="41">
        <v>6558.47</v>
      </c>
      <c r="H3960" s="41">
        <v>7263752596.21</v>
      </c>
      <c r="I3960" s="42">
        <v>22150</v>
      </c>
    </row>
    <row r="3961" spans="1:9" x14ac:dyDescent="0.25">
      <c r="A3961" t="s">
        <v>9</v>
      </c>
      <c r="B3961" s="39">
        <v>45667</v>
      </c>
      <c r="C3961" s="40">
        <v>0.4375</v>
      </c>
      <c r="D3961" s="41">
        <v>6546.1629999999996</v>
      </c>
      <c r="E3961" s="41">
        <v>6579.8729999999996</v>
      </c>
      <c r="F3961" s="41">
        <v>6546.1629999999996</v>
      </c>
      <c r="G3961" s="41">
        <v>6557.9340000000002</v>
      </c>
      <c r="H3961" s="41">
        <v>10923616963.65</v>
      </c>
      <c r="I3961" s="42">
        <v>33305</v>
      </c>
    </row>
    <row r="3962" spans="1:9" x14ac:dyDescent="0.25">
      <c r="A3962" t="s">
        <v>9</v>
      </c>
      <c r="B3962" s="39">
        <v>45667</v>
      </c>
      <c r="C3962" s="40">
        <v>0.41666666666666669</v>
      </c>
      <c r="D3962" s="41">
        <v>6502.8209999999999</v>
      </c>
      <c r="E3962" s="41">
        <v>6554.1890000000003</v>
      </c>
      <c r="F3962" s="41">
        <v>6498.5410000000002</v>
      </c>
      <c r="G3962" s="41">
        <v>6541.3469999999998</v>
      </c>
      <c r="H3962" s="41">
        <v>10048340996.17</v>
      </c>
      <c r="I3962" s="42">
        <v>30780</v>
      </c>
    </row>
    <row r="3963" spans="1:9" x14ac:dyDescent="0.25">
      <c r="A3963" t="s">
        <v>9</v>
      </c>
      <c r="B3963" s="39">
        <v>45667</v>
      </c>
      <c r="C3963" s="40">
        <v>0.39583333333333331</v>
      </c>
      <c r="D3963" s="41">
        <v>6510.3119999999999</v>
      </c>
      <c r="E3963" s="41">
        <v>6513.5230000000001</v>
      </c>
      <c r="F3963" s="41">
        <v>6500.1459999999997</v>
      </c>
      <c r="G3963" s="41">
        <v>6503.3559999999998</v>
      </c>
      <c r="H3963" s="41">
        <v>7544451158.6300001</v>
      </c>
      <c r="I3963" s="42">
        <v>23195</v>
      </c>
    </row>
    <row r="3964" spans="1:9" x14ac:dyDescent="0.25">
      <c r="A3964" t="s">
        <v>9</v>
      </c>
      <c r="B3964" s="39">
        <v>45667</v>
      </c>
      <c r="C3964" s="40">
        <v>0.375</v>
      </c>
      <c r="D3964" s="41">
        <v>6493.7250000000004</v>
      </c>
      <c r="E3964" s="41">
        <v>6511.3829999999998</v>
      </c>
      <c r="F3964" s="41">
        <v>6480.348</v>
      </c>
      <c r="G3964" s="41">
        <v>6510.3119999999999</v>
      </c>
      <c r="H3964" s="41">
        <v>4186932797.6700001</v>
      </c>
      <c r="I3964" s="42">
        <v>12890</v>
      </c>
    </row>
    <row r="3965" spans="1:9" x14ac:dyDescent="0.25">
      <c r="A3965" t="s">
        <v>9</v>
      </c>
      <c r="B3965" s="39">
        <v>45666</v>
      </c>
      <c r="C3965" s="40">
        <v>0.75</v>
      </c>
      <c r="D3965" s="41">
        <v>6487.3040000000001</v>
      </c>
      <c r="E3965" s="41">
        <v>6489.9790000000003</v>
      </c>
      <c r="F3965" s="41">
        <v>6481.9530000000004</v>
      </c>
      <c r="G3965" s="41">
        <v>6482.4880000000003</v>
      </c>
      <c r="H3965" s="41">
        <v>813987024.37</v>
      </c>
      <c r="I3965" s="42">
        <v>2510</v>
      </c>
    </row>
    <row r="3966" spans="1:9" x14ac:dyDescent="0.25">
      <c r="A3966" t="s">
        <v>9</v>
      </c>
      <c r="B3966" s="39">
        <v>45666</v>
      </c>
      <c r="C3966" s="40">
        <v>0.72916666666666663</v>
      </c>
      <c r="D3966" s="41">
        <v>6491.585</v>
      </c>
      <c r="E3966" s="41">
        <v>6493.7250000000004</v>
      </c>
      <c r="F3966" s="41">
        <v>6486.2340000000004</v>
      </c>
      <c r="G3966" s="41">
        <v>6486.2340000000004</v>
      </c>
      <c r="H3966" s="41">
        <v>1046561071.03</v>
      </c>
      <c r="I3966" s="42">
        <v>3225</v>
      </c>
    </row>
    <row r="3967" spans="1:9" x14ac:dyDescent="0.25">
      <c r="A3967" t="s">
        <v>9</v>
      </c>
      <c r="B3967" s="39">
        <v>45666</v>
      </c>
      <c r="C3967" s="40">
        <v>0.70833333333333337</v>
      </c>
      <c r="D3967" s="41">
        <v>6493.7250000000004</v>
      </c>
      <c r="E3967" s="41">
        <v>6494.26</v>
      </c>
      <c r="F3967" s="41">
        <v>6485.6989999999996</v>
      </c>
      <c r="G3967" s="41">
        <v>6490.5140000000001</v>
      </c>
      <c r="H3967" s="41">
        <v>2166034483.52</v>
      </c>
      <c r="I3967" s="42">
        <v>6675</v>
      </c>
    </row>
    <row r="3968" spans="1:9" x14ac:dyDescent="0.25">
      <c r="A3968" t="s">
        <v>9</v>
      </c>
      <c r="B3968" s="39">
        <v>45666</v>
      </c>
      <c r="C3968" s="40">
        <v>0.6875</v>
      </c>
      <c r="D3968" s="41">
        <v>6504.4260000000004</v>
      </c>
      <c r="E3968" s="41">
        <v>6505.4970000000003</v>
      </c>
      <c r="F3968" s="41">
        <v>6485.6989999999996</v>
      </c>
      <c r="G3968" s="41">
        <v>6494.26</v>
      </c>
      <c r="H3968" s="41">
        <v>3486164985.1599998</v>
      </c>
      <c r="I3968" s="42">
        <v>10730</v>
      </c>
    </row>
    <row r="3969" spans="1:9" x14ac:dyDescent="0.25">
      <c r="A3969" t="s">
        <v>9</v>
      </c>
      <c r="B3969" s="39">
        <v>45666</v>
      </c>
      <c r="C3969" s="40">
        <v>0.66666666666666663</v>
      </c>
      <c r="D3969" s="41">
        <v>6506.567</v>
      </c>
      <c r="E3969" s="41">
        <v>6509.777</v>
      </c>
      <c r="F3969" s="41">
        <v>6502.8209999999999</v>
      </c>
      <c r="G3969" s="41">
        <v>6503.8909999999996</v>
      </c>
      <c r="H3969" s="41">
        <v>928782446.69000006</v>
      </c>
      <c r="I3969" s="42">
        <v>2855</v>
      </c>
    </row>
    <row r="3970" spans="1:9" x14ac:dyDescent="0.25">
      <c r="A3970" t="s">
        <v>9</v>
      </c>
      <c r="B3970" s="39">
        <v>45666</v>
      </c>
      <c r="C3970" s="40">
        <v>0.64583333333333337</v>
      </c>
      <c r="D3970" s="41">
        <v>6510.8469999999998</v>
      </c>
      <c r="E3970" s="41">
        <v>6515.6629999999996</v>
      </c>
      <c r="F3970" s="41">
        <v>6499.076</v>
      </c>
      <c r="G3970" s="41">
        <v>6506.567</v>
      </c>
      <c r="H3970" s="41">
        <v>3579739956.8499999</v>
      </c>
      <c r="I3970" s="42">
        <v>11000</v>
      </c>
    </row>
    <row r="3971" spans="1:9" x14ac:dyDescent="0.25">
      <c r="A3971" t="s">
        <v>9</v>
      </c>
      <c r="B3971" s="39">
        <v>45666</v>
      </c>
      <c r="C3971" s="40">
        <v>0.625</v>
      </c>
      <c r="D3971" s="41">
        <v>6524.2240000000002</v>
      </c>
      <c r="E3971" s="41">
        <v>6524.76</v>
      </c>
      <c r="F3971" s="41">
        <v>6508.1719999999996</v>
      </c>
      <c r="G3971" s="41">
        <v>6510.3119999999999</v>
      </c>
      <c r="H3971" s="41">
        <v>4099798845.54</v>
      </c>
      <c r="I3971" s="42">
        <v>12590</v>
      </c>
    </row>
    <row r="3972" spans="1:9" x14ac:dyDescent="0.25">
      <c r="A3972" t="s">
        <v>9</v>
      </c>
      <c r="B3972" s="39">
        <v>45666</v>
      </c>
      <c r="C3972" s="40">
        <v>0.60416666666666663</v>
      </c>
      <c r="D3972" s="41">
        <v>6523.1540000000005</v>
      </c>
      <c r="E3972" s="41">
        <v>6534.9260000000004</v>
      </c>
      <c r="F3972" s="41">
        <v>6522.6189999999997</v>
      </c>
      <c r="G3972" s="41">
        <v>6524.2240000000002</v>
      </c>
      <c r="H3972" s="41">
        <v>3211429482.5300002</v>
      </c>
      <c r="I3972" s="42">
        <v>9840</v>
      </c>
    </row>
    <row r="3973" spans="1:9" x14ac:dyDescent="0.25">
      <c r="A3973" t="s">
        <v>9</v>
      </c>
      <c r="B3973" s="39">
        <v>45666</v>
      </c>
      <c r="C3973" s="40">
        <v>0.58333333333333337</v>
      </c>
      <c r="D3973" s="41">
        <v>6521.549</v>
      </c>
      <c r="E3973" s="41">
        <v>6524.76</v>
      </c>
      <c r="F3973" s="41">
        <v>6516.7330000000002</v>
      </c>
      <c r="G3973" s="41">
        <v>6522.6189999999997</v>
      </c>
      <c r="H3973" s="41">
        <v>1281110898.76</v>
      </c>
      <c r="I3973" s="42">
        <v>3930</v>
      </c>
    </row>
    <row r="3974" spans="1:9" x14ac:dyDescent="0.25">
      <c r="A3974" t="s">
        <v>9</v>
      </c>
      <c r="B3974" s="39">
        <v>45666</v>
      </c>
      <c r="C3974" s="40">
        <v>0.5625</v>
      </c>
      <c r="D3974" s="41">
        <v>6522.0839999999998</v>
      </c>
      <c r="E3974" s="41">
        <v>6525.83</v>
      </c>
      <c r="F3974" s="41">
        <v>6516.1980000000003</v>
      </c>
      <c r="G3974" s="41">
        <v>6523.1540000000005</v>
      </c>
      <c r="H3974" s="41">
        <v>3272522452.7600002</v>
      </c>
      <c r="I3974" s="42">
        <v>10035</v>
      </c>
    </row>
    <row r="3975" spans="1:9" x14ac:dyDescent="0.25">
      <c r="A3975" t="s">
        <v>9</v>
      </c>
      <c r="B3975" s="39">
        <v>45666</v>
      </c>
      <c r="C3975" s="40">
        <v>0.54166666666666663</v>
      </c>
      <c r="D3975" s="41">
        <v>6523.1540000000005</v>
      </c>
      <c r="E3975" s="41">
        <v>6530.6450000000004</v>
      </c>
      <c r="F3975" s="41">
        <v>6521.0140000000001</v>
      </c>
      <c r="G3975" s="41">
        <v>6521.549</v>
      </c>
      <c r="H3975" s="41">
        <v>4358598744.0600004</v>
      </c>
      <c r="I3975" s="42">
        <v>13360</v>
      </c>
    </row>
    <row r="3976" spans="1:9" x14ac:dyDescent="0.25">
      <c r="A3976" t="s">
        <v>9</v>
      </c>
      <c r="B3976" s="39">
        <v>45666</v>
      </c>
      <c r="C3976" s="40">
        <v>0.52083333333333337</v>
      </c>
      <c r="D3976" s="41">
        <v>6519.4089999999997</v>
      </c>
      <c r="E3976" s="41">
        <v>6524.76</v>
      </c>
      <c r="F3976" s="41">
        <v>6506.567</v>
      </c>
      <c r="G3976" s="41">
        <v>6523.1540000000005</v>
      </c>
      <c r="H3976" s="41">
        <v>4520029020.8000002</v>
      </c>
      <c r="I3976" s="42">
        <v>13870</v>
      </c>
    </row>
    <row r="3977" spans="1:9" x14ac:dyDescent="0.25">
      <c r="A3977" t="s">
        <v>9</v>
      </c>
      <c r="B3977" s="39">
        <v>45666</v>
      </c>
      <c r="C3977" s="40">
        <v>0.5</v>
      </c>
      <c r="D3977" s="41">
        <v>6530.11</v>
      </c>
      <c r="E3977" s="41">
        <v>6540.8119999999999</v>
      </c>
      <c r="F3977" s="41">
        <v>6515.6629999999996</v>
      </c>
      <c r="G3977" s="41">
        <v>6518.8739999999998</v>
      </c>
      <c r="H3977" s="41">
        <v>4599281519.3299999</v>
      </c>
      <c r="I3977" s="42">
        <v>14090</v>
      </c>
    </row>
    <row r="3978" spans="1:9" x14ac:dyDescent="0.25">
      <c r="A3978" t="s">
        <v>9</v>
      </c>
      <c r="B3978" s="39">
        <v>45666</v>
      </c>
      <c r="C3978" s="40">
        <v>0.47916666666666669</v>
      </c>
      <c r="D3978" s="41">
        <v>6556.8639999999996</v>
      </c>
      <c r="E3978" s="41">
        <v>6556.8639999999996</v>
      </c>
      <c r="F3978" s="41">
        <v>6526.9</v>
      </c>
      <c r="G3978" s="41">
        <v>6529.5749999999998</v>
      </c>
      <c r="H3978" s="41">
        <v>3459982876.04</v>
      </c>
      <c r="I3978" s="42">
        <v>10580</v>
      </c>
    </row>
    <row r="3979" spans="1:9" x14ac:dyDescent="0.25">
      <c r="A3979" t="s">
        <v>9</v>
      </c>
      <c r="B3979" s="39">
        <v>45666</v>
      </c>
      <c r="C3979" s="40">
        <v>0.45833333333333331</v>
      </c>
      <c r="D3979" s="41">
        <v>6561.1450000000004</v>
      </c>
      <c r="E3979" s="41">
        <v>6570.7759999999998</v>
      </c>
      <c r="F3979" s="41">
        <v>6550.4430000000002</v>
      </c>
      <c r="G3979" s="41">
        <v>6557.9340000000002</v>
      </c>
      <c r="H3979" s="41">
        <v>3144253059.6100001</v>
      </c>
      <c r="I3979" s="42">
        <v>9585</v>
      </c>
    </row>
    <row r="3980" spans="1:9" x14ac:dyDescent="0.25">
      <c r="A3980" t="s">
        <v>9</v>
      </c>
      <c r="B3980" s="39">
        <v>45666</v>
      </c>
      <c r="C3980" s="40">
        <v>0.4375</v>
      </c>
      <c r="D3980" s="41">
        <v>6569.7060000000001</v>
      </c>
      <c r="E3980" s="41">
        <v>6575.5919999999996</v>
      </c>
      <c r="F3980" s="41">
        <v>6552.049</v>
      </c>
      <c r="G3980" s="41">
        <v>6560.0749999999998</v>
      </c>
      <c r="H3980" s="41">
        <v>3230471892.02</v>
      </c>
      <c r="I3980" s="42">
        <v>9845</v>
      </c>
    </row>
    <row r="3981" spans="1:9" x14ac:dyDescent="0.25">
      <c r="A3981" t="s">
        <v>9</v>
      </c>
      <c r="B3981" s="39">
        <v>45666</v>
      </c>
      <c r="C3981" s="40">
        <v>0.41666666666666669</v>
      </c>
      <c r="D3981" s="41">
        <v>6565.9610000000002</v>
      </c>
      <c r="E3981" s="41">
        <v>6572.3819999999996</v>
      </c>
      <c r="F3981" s="41">
        <v>6560.61</v>
      </c>
      <c r="G3981" s="41">
        <v>6569.7060000000001</v>
      </c>
      <c r="H3981" s="41">
        <v>4546650028.8800001</v>
      </c>
      <c r="I3981" s="42">
        <v>13845</v>
      </c>
    </row>
    <row r="3982" spans="1:9" x14ac:dyDescent="0.25">
      <c r="A3982" t="s">
        <v>9</v>
      </c>
      <c r="B3982" s="39">
        <v>45666</v>
      </c>
      <c r="C3982" s="40">
        <v>0.39583333333333331</v>
      </c>
      <c r="D3982" s="41">
        <v>6575.0569999999998</v>
      </c>
      <c r="E3982" s="41">
        <v>6578.2669999999998</v>
      </c>
      <c r="F3982" s="41">
        <v>6561.1450000000004</v>
      </c>
      <c r="G3982" s="41">
        <v>6566.4960000000001</v>
      </c>
      <c r="H3982" s="41">
        <v>4145481659.7399998</v>
      </c>
      <c r="I3982" s="42">
        <v>12615</v>
      </c>
    </row>
    <row r="3983" spans="1:9" x14ac:dyDescent="0.25">
      <c r="A3983" t="s">
        <v>9</v>
      </c>
      <c r="B3983" s="39">
        <v>45666</v>
      </c>
      <c r="C3983" s="40">
        <v>0.375</v>
      </c>
      <c r="D3983" s="41">
        <v>6561.1450000000004</v>
      </c>
      <c r="E3983" s="41">
        <v>6575.5919999999996</v>
      </c>
      <c r="F3983" s="41">
        <v>6550.9780000000001</v>
      </c>
      <c r="G3983" s="41">
        <v>6573.9870000000001</v>
      </c>
      <c r="H3983" s="41">
        <v>4142274393.1799998</v>
      </c>
      <c r="I3983" s="42">
        <v>12620</v>
      </c>
    </row>
    <row r="3984" spans="1:9" x14ac:dyDescent="0.25">
      <c r="A3984" t="s">
        <v>9</v>
      </c>
      <c r="B3984" s="39">
        <v>45665</v>
      </c>
      <c r="C3984" s="40">
        <v>0.75</v>
      </c>
      <c r="D3984" s="41">
        <v>6566.4960000000001</v>
      </c>
      <c r="E3984" s="41">
        <v>6567.0309999999999</v>
      </c>
      <c r="F3984" s="41">
        <v>6557.3990000000003</v>
      </c>
      <c r="G3984" s="41">
        <v>6561.1450000000004</v>
      </c>
      <c r="H3984" s="41">
        <v>905673432.95000005</v>
      </c>
      <c r="I3984" s="42">
        <v>2760</v>
      </c>
    </row>
    <row r="3985" spans="1:9" x14ac:dyDescent="0.25">
      <c r="A3985" t="s">
        <v>9</v>
      </c>
      <c r="B3985" s="39">
        <v>45665</v>
      </c>
      <c r="C3985" s="40">
        <v>0.72916666666666663</v>
      </c>
      <c r="D3985" s="41">
        <v>6565.9610000000002</v>
      </c>
      <c r="E3985" s="41">
        <v>6568.1009999999997</v>
      </c>
      <c r="F3985" s="41">
        <v>6560.61</v>
      </c>
      <c r="G3985" s="41">
        <v>6566.4960000000001</v>
      </c>
      <c r="H3985" s="41">
        <v>889482595.91999996</v>
      </c>
      <c r="I3985" s="42">
        <v>2710</v>
      </c>
    </row>
    <row r="3986" spans="1:9" x14ac:dyDescent="0.25">
      <c r="A3986" t="s">
        <v>9</v>
      </c>
      <c r="B3986" s="39">
        <v>45665</v>
      </c>
      <c r="C3986" s="40">
        <v>0.70833333333333337</v>
      </c>
      <c r="D3986" s="41">
        <v>6566.4960000000001</v>
      </c>
      <c r="E3986" s="41">
        <v>6568.6360000000004</v>
      </c>
      <c r="F3986" s="41">
        <v>6563.2849999999999</v>
      </c>
      <c r="G3986" s="41">
        <v>6565.9610000000002</v>
      </c>
      <c r="H3986" s="41">
        <v>3969502704.9899998</v>
      </c>
      <c r="I3986" s="42">
        <v>12090</v>
      </c>
    </row>
    <row r="3987" spans="1:9" x14ac:dyDescent="0.25">
      <c r="A3987" t="s">
        <v>9</v>
      </c>
      <c r="B3987" s="39">
        <v>45665</v>
      </c>
      <c r="C3987" s="40">
        <v>0.6875</v>
      </c>
      <c r="D3987" s="41">
        <v>6562.2150000000001</v>
      </c>
      <c r="E3987" s="41">
        <v>6568.1009999999997</v>
      </c>
      <c r="F3987" s="41">
        <v>6562.2150000000001</v>
      </c>
      <c r="G3987" s="41">
        <v>6566.4960000000001</v>
      </c>
      <c r="H3987" s="41">
        <v>884666880.36000001</v>
      </c>
      <c r="I3987" s="42">
        <v>2695</v>
      </c>
    </row>
    <row r="3988" spans="1:9" x14ac:dyDescent="0.25">
      <c r="A3988" t="s">
        <v>9</v>
      </c>
      <c r="B3988" s="39">
        <v>45665</v>
      </c>
      <c r="C3988" s="40">
        <v>0.66666666666666663</v>
      </c>
      <c r="D3988" s="41">
        <v>6577.1970000000001</v>
      </c>
      <c r="E3988" s="41">
        <v>6578.8029999999999</v>
      </c>
      <c r="F3988" s="41">
        <v>6558.47</v>
      </c>
      <c r="G3988" s="41">
        <v>6561.68</v>
      </c>
      <c r="H3988" s="41">
        <v>2870299977</v>
      </c>
      <c r="I3988" s="42">
        <v>8740</v>
      </c>
    </row>
    <row r="3989" spans="1:9" x14ac:dyDescent="0.25">
      <c r="A3989" t="s">
        <v>9</v>
      </c>
      <c r="B3989" s="39">
        <v>45665</v>
      </c>
      <c r="C3989" s="40">
        <v>0.64583333333333337</v>
      </c>
      <c r="D3989" s="41">
        <v>6578.8029999999999</v>
      </c>
      <c r="E3989" s="41">
        <v>6582.0129999999999</v>
      </c>
      <c r="F3989" s="41">
        <v>6569.1710000000003</v>
      </c>
      <c r="G3989" s="41">
        <v>6577.1970000000001</v>
      </c>
      <c r="H3989" s="41">
        <v>2837209055.0599999</v>
      </c>
      <c r="I3989" s="42">
        <v>8630</v>
      </c>
    </row>
    <row r="3990" spans="1:9" x14ac:dyDescent="0.25">
      <c r="A3990" t="s">
        <v>9</v>
      </c>
      <c r="B3990" s="39">
        <v>45665</v>
      </c>
      <c r="C3990" s="40">
        <v>0.625</v>
      </c>
      <c r="D3990" s="41">
        <v>6578.2669999999998</v>
      </c>
      <c r="E3990" s="41">
        <v>6584.6880000000001</v>
      </c>
      <c r="F3990" s="41">
        <v>6570.7759999999998</v>
      </c>
      <c r="G3990" s="41">
        <v>6577.732</v>
      </c>
      <c r="H3990" s="41">
        <v>2170681113.9499998</v>
      </c>
      <c r="I3990" s="42">
        <v>6600</v>
      </c>
    </row>
    <row r="3991" spans="1:9" x14ac:dyDescent="0.25">
      <c r="A3991" t="s">
        <v>9</v>
      </c>
      <c r="B3991" s="39">
        <v>45665</v>
      </c>
      <c r="C3991" s="40">
        <v>0.60416666666666663</v>
      </c>
      <c r="D3991" s="41">
        <v>6587.8990000000003</v>
      </c>
      <c r="E3991" s="41">
        <v>6588.9690000000001</v>
      </c>
      <c r="F3991" s="41">
        <v>6574.5219999999999</v>
      </c>
      <c r="G3991" s="41">
        <v>6578.2669999999998</v>
      </c>
      <c r="H3991" s="41">
        <v>2835624015.79</v>
      </c>
      <c r="I3991" s="42">
        <v>8620</v>
      </c>
    </row>
    <row r="3992" spans="1:9" x14ac:dyDescent="0.25">
      <c r="A3992" t="s">
        <v>9</v>
      </c>
      <c r="B3992" s="39">
        <v>45665</v>
      </c>
      <c r="C3992" s="40">
        <v>0.58333333333333337</v>
      </c>
      <c r="D3992" s="41">
        <v>6586.2939999999999</v>
      </c>
      <c r="E3992" s="41">
        <v>6592.18</v>
      </c>
      <c r="F3992" s="41">
        <v>6584.6880000000001</v>
      </c>
      <c r="G3992" s="41">
        <v>6587.8990000000003</v>
      </c>
      <c r="H3992" s="41">
        <v>1592898784.46</v>
      </c>
      <c r="I3992" s="42">
        <v>4835</v>
      </c>
    </row>
    <row r="3993" spans="1:9" x14ac:dyDescent="0.25">
      <c r="A3993" t="s">
        <v>9</v>
      </c>
      <c r="B3993" s="39">
        <v>45665</v>
      </c>
      <c r="C3993" s="40">
        <v>0.5625</v>
      </c>
      <c r="D3993" s="41">
        <v>6590.0389999999998</v>
      </c>
      <c r="E3993" s="41">
        <v>6591.6440000000002</v>
      </c>
      <c r="F3993" s="41">
        <v>6581.4780000000001</v>
      </c>
      <c r="G3993" s="41">
        <v>6585.223</v>
      </c>
      <c r="H3993" s="41">
        <v>1901990003.21</v>
      </c>
      <c r="I3993" s="42">
        <v>5775</v>
      </c>
    </row>
    <row r="3994" spans="1:9" x14ac:dyDescent="0.25">
      <c r="A3994" t="s">
        <v>9</v>
      </c>
      <c r="B3994" s="39">
        <v>45665</v>
      </c>
      <c r="C3994" s="40">
        <v>0.54166666666666663</v>
      </c>
      <c r="D3994" s="41">
        <v>6577.1970000000001</v>
      </c>
      <c r="E3994" s="41">
        <v>6593.25</v>
      </c>
      <c r="F3994" s="41">
        <v>6576.1270000000004</v>
      </c>
      <c r="G3994" s="41">
        <v>6590.5739999999996</v>
      </c>
      <c r="H3994" s="41">
        <v>7029098829.2799997</v>
      </c>
      <c r="I3994" s="42">
        <v>21350</v>
      </c>
    </row>
    <row r="3995" spans="1:9" x14ac:dyDescent="0.25">
      <c r="A3995" t="s">
        <v>9</v>
      </c>
      <c r="B3995" s="39">
        <v>45665</v>
      </c>
      <c r="C3995" s="40">
        <v>0.52083333333333337</v>
      </c>
      <c r="D3995" s="41">
        <v>6579.3379999999997</v>
      </c>
      <c r="E3995" s="41">
        <v>6594.8549999999996</v>
      </c>
      <c r="F3995" s="41">
        <v>6569.7060000000001</v>
      </c>
      <c r="G3995" s="41">
        <v>6577.1970000000001</v>
      </c>
      <c r="H3995" s="41">
        <v>5380273534.7700005</v>
      </c>
      <c r="I3995" s="42">
        <v>16355</v>
      </c>
    </row>
    <row r="3996" spans="1:9" x14ac:dyDescent="0.25">
      <c r="A3996" t="s">
        <v>9</v>
      </c>
      <c r="B3996" s="39">
        <v>45665</v>
      </c>
      <c r="C3996" s="40">
        <v>0.5</v>
      </c>
      <c r="D3996" s="41">
        <v>6590.5739999999996</v>
      </c>
      <c r="E3996" s="41">
        <v>6593.7849999999999</v>
      </c>
      <c r="F3996" s="41">
        <v>6577.1970000000001</v>
      </c>
      <c r="G3996" s="41">
        <v>6578.8029999999999</v>
      </c>
      <c r="H3996" s="41">
        <v>4940781299.8800001</v>
      </c>
      <c r="I3996" s="42">
        <v>15005</v>
      </c>
    </row>
    <row r="3997" spans="1:9" x14ac:dyDescent="0.25">
      <c r="A3997" t="s">
        <v>9</v>
      </c>
      <c r="B3997" s="39">
        <v>45665</v>
      </c>
      <c r="C3997" s="40">
        <v>0.47916666666666669</v>
      </c>
      <c r="D3997" s="41">
        <v>6591.1090000000004</v>
      </c>
      <c r="E3997" s="41">
        <v>6601.8109999999997</v>
      </c>
      <c r="F3997" s="41">
        <v>6577.1970000000001</v>
      </c>
      <c r="G3997" s="41">
        <v>6591.1090000000004</v>
      </c>
      <c r="H3997" s="41">
        <v>3861444067.4299998</v>
      </c>
      <c r="I3997" s="42">
        <v>11720</v>
      </c>
    </row>
    <row r="3998" spans="1:9" x14ac:dyDescent="0.25">
      <c r="A3998" t="s">
        <v>9</v>
      </c>
      <c r="B3998" s="39">
        <v>45665</v>
      </c>
      <c r="C3998" s="40">
        <v>0.45833333333333331</v>
      </c>
      <c r="D3998" s="41">
        <v>6606.6270000000004</v>
      </c>
      <c r="E3998" s="41">
        <v>6608.232</v>
      </c>
      <c r="F3998" s="41">
        <v>6585.223</v>
      </c>
      <c r="G3998" s="41">
        <v>6591.6440000000002</v>
      </c>
      <c r="H3998" s="41">
        <v>8914405053.4599991</v>
      </c>
      <c r="I3998" s="42">
        <v>27025</v>
      </c>
    </row>
    <row r="3999" spans="1:9" x14ac:dyDescent="0.25">
      <c r="A3999" t="s">
        <v>9</v>
      </c>
      <c r="B3999" s="39">
        <v>45665</v>
      </c>
      <c r="C3999" s="40">
        <v>0.4375</v>
      </c>
      <c r="D3999" s="41">
        <v>6594.8549999999996</v>
      </c>
      <c r="E3999" s="41">
        <v>6615.1880000000001</v>
      </c>
      <c r="F3999" s="41">
        <v>6592.7150000000001</v>
      </c>
      <c r="G3999" s="41">
        <v>6606.6270000000004</v>
      </c>
      <c r="H3999" s="41">
        <v>5954357127.1700001</v>
      </c>
      <c r="I3999" s="42">
        <v>18025</v>
      </c>
    </row>
    <row r="4000" spans="1:9" x14ac:dyDescent="0.25">
      <c r="A4000" t="s">
        <v>9</v>
      </c>
      <c r="B4000" s="39">
        <v>45665</v>
      </c>
      <c r="C4000" s="40">
        <v>0.41666666666666669</v>
      </c>
      <c r="D4000" s="41">
        <v>6586.8289999999997</v>
      </c>
      <c r="E4000" s="41">
        <v>6601.8109999999997</v>
      </c>
      <c r="F4000" s="41">
        <v>6581.4780000000001</v>
      </c>
      <c r="G4000" s="41">
        <v>6595.39</v>
      </c>
      <c r="H4000" s="41">
        <v>5348972721.3199997</v>
      </c>
      <c r="I4000" s="42">
        <v>16230</v>
      </c>
    </row>
    <row r="4001" spans="1:9" x14ac:dyDescent="0.25">
      <c r="A4001" t="s">
        <v>9</v>
      </c>
      <c r="B4001" s="39">
        <v>45665</v>
      </c>
      <c r="C4001" s="40">
        <v>0.39583333333333331</v>
      </c>
      <c r="D4001" s="41">
        <v>6599.6710000000003</v>
      </c>
      <c r="E4001" s="41">
        <v>6604.4859999999999</v>
      </c>
      <c r="F4001" s="41">
        <v>6580.4080000000004</v>
      </c>
      <c r="G4001" s="41">
        <v>6586.2939999999999</v>
      </c>
      <c r="H4001" s="41">
        <v>4674324279.8500004</v>
      </c>
      <c r="I4001" s="42">
        <v>14180</v>
      </c>
    </row>
    <row r="4002" spans="1:9" x14ac:dyDescent="0.25">
      <c r="A4002" t="s">
        <v>9</v>
      </c>
      <c r="B4002" s="39">
        <v>45665</v>
      </c>
      <c r="C4002" s="40">
        <v>0.375</v>
      </c>
      <c r="D4002" s="41">
        <v>6584.6880000000001</v>
      </c>
      <c r="E4002" s="41">
        <v>6606.0919999999996</v>
      </c>
      <c r="F4002" s="41">
        <v>6581.4780000000001</v>
      </c>
      <c r="G4002" s="41">
        <v>6600.2060000000001</v>
      </c>
      <c r="H4002" s="41">
        <v>4639888301.8000002</v>
      </c>
      <c r="I4002" s="42">
        <v>14070</v>
      </c>
    </row>
    <row r="4003" spans="1:9" x14ac:dyDescent="0.25">
      <c r="A4003" t="s">
        <v>9</v>
      </c>
      <c r="B4003" s="39">
        <v>45664</v>
      </c>
      <c r="C4003" s="40">
        <v>0.75</v>
      </c>
      <c r="D4003" s="41">
        <v>6558.47</v>
      </c>
      <c r="E4003" s="41">
        <v>6569.1710000000003</v>
      </c>
      <c r="F4003" s="41">
        <v>6557.9340000000002</v>
      </c>
      <c r="G4003" s="41">
        <v>6560.0749999999998</v>
      </c>
      <c r="H4003" s="41">
        <v>968071997.17999995</v>
      </c>
      <c r="I4003" s="42">
        <v>2950</v>
      </c>
    </row>
    <row r="4004" spans="1:9" x14ac:dyDescent="0.25">
      <c r="A4004" t="s">
        <v>9</v>
      </c>
      <c r="B4004" s="39">
        <v>45664</v>
      </c>
      <c r="C4004" s="40">
        <v>0.72916666666666663</v>
      </c>
      <c r="D4004" s="41">
        <v>6568.6360000000004</v>
      </c>
      <c r="E4004" s="41">
        <v>6569.1710000000003</v>
      </c>
      <c r="F4004" s="41">
        <v>6555.259</v>
      </c>
      <c r="G4004" s="41">
        <v>6559.0050000000001</v>
      </c>
      <c r="H4004" s="41">
        <v>1525405059.3900001</v>
      </c>
      <c r="I4004" s="42">
        <v>4650</v>
      </c>
    </row>
    <row r="4005" spans="1:9" x14ac:dyDescent="0.25">
      <c r="A4005" t="s">
        <v>9</v>
      </c>
      <c r="B4005" s="39">
        <v>45664</v>
      </c>
      <c r="C4005" s="40">
        <v>0.70833333333333337</v>
      </c>
      <c r="D4005" s="41">
        <v>6561.68</v>
      </c>
      <c r="E4005" s="41">
        <v>6569.1710000000003</v>
      </c>
      <c r="F4005" s="41">
        <v>6560.61</v>
      </c>
      <c r="G4005" s="41">
        <v>6568.6360000000004</v>
      </c>
      <c r="H4005" s="41">
        <v>2166904790.3299999</v>
      </c>
      <c r="I4005" s="42">
        <v>6600</v>
      </c>
    </row>
    <row r="4006" spans="1:9" x14ac:dyDescent="0.25">
      <c r="A4006" t="s">
        <v>9</v>
      </c>
      <c r="B4006" s="39">
        <v>45664</v>
      </c>
      <c r="C4006" s="40">
        <v>0.6875</v>
      </c>
      <c r="D4006" s="41">
        <v>6572.9170000000004</v>
      </c>
      <c r="E4006" s="41">
        <v>6572.9170000000004</v>
      </c>
      <c r="F4006" s="41">
        <v>6561.1450000000004</v>
      </c>
      <c r="G4006" s="41">
        <v>6562.2150000000001</v>
      </c>
      <c r="H4006" s="41">
        <v>2508157899.23</v>
      </c>
      <c r="I4006" s="42">
        <v>7640</v>
      </c>
    </row>
    <row r="4007" spans="1:9" x14ac:dyDescent="0.25">
      <c r="A4007" t="s">
        <v>9</v>
      </c>
      <c r="B4007" s="39">
        <v>45664</v>
      </c>
      <c r="C4007" s="40">
        <v>0.66666666666666663</v>
      </c>
      <c r="D4007" s="41">
        <v>6562.75</v>
      </c>
      <c r="E4007" s="41">
        <v>6576.1270000000004</v>
      </c>
      <c r="F4007" s="41">
        <v>6560.61</v>
      </c>
      <c r="G4007" s="41">
        <v>6572.9170000000004</v>
      </c>
      <c r="H4007" s="41">
        <v>4331567865.0799999</v>
      </c>
      <c r="I4007" s="42">
        <v>13190</v>
      </c>
    </row>
    <row r="4008" spans="1:9" x14ac:dyDescent="0.25">
      <c r="A4008" t="s">
        <v>9</v>
      </c>
      <c r="B4008" s="39">
        <v>45664</v>
      </c>
      <c r="C4008" s="40">
        <v>0.64583333333333337</v>
      </c>
      <c r="D4008" s="41">
        <v>6544.0219999999999</v>
      </c>
      <c r="E4008" s="41">
        <v>6565.4260000000004</v>
      </c>
      <c r="F4008" s="41">
        <v>6544.0219999999999</v>
      </c>
      <c r="G4008" s="41">
        <v>6563.2849999999999</v>
      </c>
      <c r="H4008" s="41">
        <v>4123916751.6900001</v>
      </c>
      <c r="I4008" s="42">
        <v>12580</v>
      </c>
    </row>
    <row r="4009" spans="1:9" x14ac:dyDescent="0.25">
      <c r="A4009" t="s">
        <v>9</v>
      </c>
      <c r="B4009" s="39">
        <v>45664</v>
      </c>
      <c r="C4009" s="40">
        <v>0.625</v>
      </c>
      <c r="D4009" s="41">
        <v>6530.6450000000004</v>
      </c>
      <c r="E4009" s="41">
        <v>6544.5569999999998</v>
      </c>
      <c r="F4009" s="41">
        <v>6530.11</v>
      </c>
      <c r="G4009" s="41">
        <v>6544.5569999999998</v>
      </c>
      <c r="H4009" s="41">
        <v>3666872972.5900002</v>
      </c>
      <c r="I4009" s="42">
        <v>11215</v>
      </c>
    </row>
    <row r="4010" spans="1:9" x14ac:dyDescent="0.25">
      <c r="A4010" t="s">
        <v>9</v>
      </c>
      <c r="B4010" s="39">
        <v>45664</v>
      </c>
      <c r="C4010" s="40">
        <v>0.60416666666666663</v>
      </c>
      <c r="D4010" s="41">
        <v>6529.04</v>
      </c>
      <c r="E4010" s="41">
        <v>6538.1360000000004</v>
      </c>
      <c r="F4010" s="41">
        <v>6525.83</v>
      </c>
      <c r="G4010" s="41">
        <v>6530.11</v>
      </c>
      <c r="H4010" s="41">
        <v>3562013976.7199998</v>
      </c>
      <c r="I4010" s="42">
        <v>10905</v>
      </c>
    </row>
    <row r="4011" spans="1:9" x14ac:dyDescent="0.25">
      <c r="A4011" t="s">
        <v>9</v>
      </c>
      <c r="B4011" s="39">
        <v>45664</v>
      </c>
      <c r="C4011" s="40">
        <v>0.58333333333333337</v>
      </c>
      <c r="D4011" s="41">
        <v>6519.9440000000004</v>
      </c>
      <c r="E4011" s="41">
        <v>6531.18</v>
      </c>
      <c r="F4011" s="41">
        <v>6511.9179999999997</v>
      </c>
      <c r="G4011" s="41">
        <v>6528.5050000000001</v>
      </c>
      <c r="H4011" s="41">
        <v>3049989039.2800002</v>
      </c>
      <c r="I4011" s="42">
        <v>9355</v>
      </c>
    </row>
    <row r="4012" spans="1:9" x14ac:dyDescent="0.25">
      <c r="A4012" t="s">
        <v>9</v>
      </c>
      <c r="B4012" s="39">
        <v>45664</v>
      </c>
      <c r="C4012" s="40">
        <v>0.5625</v>
      </c>
      <c r="D4012" s="41">
        <v>6526.3649999999998</v>
      </c>
      <c r="E4012" s="41">
        <v>6530.6450000000004</v>
      </c>
      <c r="F4012" s="41">
        <v>6513.5230000000001</v>
      </c>
      <c r="G4012" s="41">
        <v>6518.8739999999998</v>
      </c>
      <c r="H4012" s="41">
        <v>3082755167.9699998</v>
      </c>
      <c r="I4012" s="42">
        <v>9455</v>
      </c>
    </row>
    <row r="4013" spans="1:9" x14ac:dyDescent="0.25">
      <c r="A4013" t="s">
        <v>9</v>
      </c>
      <c r="B4013" s="39">
        <v>45664</v>
      </c>
      <c r="C4013" s="40">
        <v>0.54166666666666663</v>
      </c>
      <c r="D4013" s="41">
        <v>6518.3389999999999</v>
      </c>
      <c r="E4013" s="41">
        <v>6530.6450000000004</v>
      </c>
      <c r="F4013" s="41">
        <v>6507.6369999999997</v>
      </c>
      <c r="G4013" s="41">
        <v>6526.9</v>
      </c>
      <c r="H4013" s="41">
        <v>2325872497.4099998</v>
      </c>
      <c r="I4013" s="42">
        <v>7135</v>
      </c>
    </row>
    <row r="4014" spans="1:9" x14ac:dyDescent="0.25">
      <c r="A4014" t="s">
        <v>9</v>
      </c>
      <c r="B4014" s="39">
        <v>45664</v>
      </c>
      <c r="C4014" s="40">
        <v>0.52083333333333337</v>
      </c>
      <c r="D4014" s="41">
        <v>6510.8469999999998</v>
      </c>
      <c r="E4014" s="41">
        <v>6522.6189999999997</v>
      </c>
      <c r="F4014" s="41">
        <v>6509.777</v>
      </c>
      <c r="G4014" s="41">
        <v>6518.3389999999999</v>
      </c>
      <c r="H4014" s="41">
        <v>4143814485.77</v>
      </c>
      <c r="I4014" s="42">
        <v>12720</v>
      </c>
    </row>
    <row r="4015" spans="1:9" x14ac:dyDescent="0.25">
      <c r="A4015" t="s">
        <v>9</v>
      </c>
      <c r="B4015" s="39">
        <v>45664</v>
      </c>
      <c r="C4015" s="40">
        <v>0.5</v>
      </c>
      <c r="D4015" s="41">
        <v>6525.83</v>
      </c>
      <c r="E4015" s="41">
        <v>6541.3469999999998</v>
      </c>
      <c r="F4015" s="41">
        <v>6510.3119999999999</v>
      </c>
      <c r="G4015" s="41">
        <v>6511.3829999999998</v>
      </c>
      <c r="H4015" s="41">
        <v>6475438954.1099997</v>
      </c>
      <c r="I4015" s="42">
        <v>19840</v>
      </c>
    </row>
    <row r="4016" spans="1:9" x14ac:dyDescent="0.25">
      <c r="A4016" t="s">
        <v>9</v>
      </c>
      <c r="B4016" s="39">
        <v>45664</v>
      </c>
      <c r="C4016" s="40">
        <v>0.47916666666666669</v>
      </c>
      <c r="D4016" s="41">
        <v>6531.18</v>
      </c>
      <c r="E4016" s="41">
        <v>6545.6279999999997</v>
      </c>
      <c r="F4016" s="41">
        <v>6523.1540000000005</v>
      </c>
      <c r="G4016" s="41">
        <v>6525.2950000000001</v>
      </c>
      <c r="H4016" s="41">
        <v>4156160375.23</v>
      </c>
      <c r="I4016" s="42">
        <v>12725</v>
      </c>
    </row>
    <row r="4017" spans="1:9" x14ac:dyDescent="0.25">
      <c r="A4017" t="s">
        <v>9</v>
      </c>
      <c r="B4017" s="39">
        <v>45664</v>
      </c>
      <c r="C4017" s="40">
        <v>0.45833333333333331</v>
      </c>
      <c r="D4017" s="41">
        <v>6517.8029999999999</v>
      </c>
      <c r="E4017" s="41">
        <v>6534.9260000000004</v>
      </c>
      <c r="F4017" s="41">
        <v>6517.268</v>
      </c>
      <c r="G4017" s="41">
        <v>6530.6450000000004</v>
      </c>
      <c r="H4017" s="41">
        <v>3696327895.52</v>
      </c>
      <c r="I4017" s="42">
        <v>11330</v>
      </c>
    </row>
    <row r="4018" spans="1:9" x14ac:dyDescent="0.25">
      <c r="A4018" t="s">
        <v>9</v>
      </c>
      <c r="B4018" s="39">
        <v>45664</v>
      </c>
      <c r="C4018" s="40">
        <v>0.4375</v>
      </c>
      <c r="D4018" s="41">
        <v>6527.97</v>
      </c>
      <c r="E4018" s="41">
        <v>6535.9960000000001</v>
      </c>
      <c r="F4018" s="41">
        <v>6516.7330000000002</v>
      </c>
      <c r="G4018" s="41">
        <v>6518.3389999999999</v>
      </c>
      <c r="H4018" s="41">
        <v>4355837466.2700005</v>
      </c>
      <c r="I4018" s="42">
        <v>13345</v>
      </c>
    </row>
    <row r="4019" spans="1:9" x14ac:dyDescent="0.25">
      <c r="A4019" t="s">
        <v>9</v>
      </c>
      <c r="B4019" s="39">
        <v>45664</v>
      </c>
      <c r="C4019" s="40">
        <v>0.41666666666666669</v>
      </c>
      <c r="D4019" s="41">
        <v>6556.8639999999996</v>
      </c>
      <c r="E4019" s="41">
        <v>6556.8639999999996</v>
      </c>
      <c r="F4019" s="41">
        <v>6521.549</v>
      </c>
      <c r="G4019" s="41">
        <v>6529.04</v>
      </c>
      <c r="H4019" s="41">
        <v>5885525970.8800001</v>
      </c>
      <c r="I4019" s="42">
        <v>18015</v>
      </c>
    </row>
    <row r="4020" spans="1:9" x14ac:dyDescent="0.25">
      <c r="A4020" t="s">
        <v>9</v>
      </c>
      <c r="B4020" s="39">
        <v>45664</v>
      </c>
      <c r="C4020" s="40">
        <v>0.39583333333333331</v>
      </c>
      <c r="D4020" s="41">
        <v>6546.1629999999996</v>
      </c>
      <c r="E4020" s="41">
        <v>6557.3990000000003</v>
      </c>
      <c r="F4020" s="41">
        <v>6537.6009999999997</v>
      </c>
      <c r="G4020" s="41">
        <v>6556.3289999999997</v>
      </c>
      <c r="H4020" s="41">
        <v>3708559010.4200001</v>
      </c>
      <c r="I4020" s="42">
        <v>11325</v>
      </c>
    </row>
    <row r="4021" spans="1:9" x14ac:dyDescent="0.25">
      <c r="A4021" t="s">
        <v>9</v>
      </c>
      <c r="B4021" s="39">
        <v>45664</v>
      </c>
      <c r="C4021" s="40">
        <v>0.375</v>
      </c>
      <c r="D4021" s="41">
        <v>6571.3109999999997</v>
      </c>
      <c r="E4021" s="41">
        <v>6577.1970000000001</v>
      </c>
      <c r="F4021" s="41">
        <v>6535.9960000000001</v>
      </c>
      <c r="G4021" s="41">
        <v>6546.1629999999996</v>
      </c>
      <c r="H4021" s="41">
        <v>6811692948.9499998</v>
      </c>
      <c r="I4021" s="42">
        <v>20800</v>
      </c>
    </row>
    <row r="4022" spans="1:9" x14ac:dyDescent="0.25">
      <c r="A4022" t="s">
        <v>9</v>
      </c>
      <c r="B4022" s="39">
        <v>45663</v>
      </c>
      <c r="C4022" s="40">
        <v>0.75</v>
      </c>
      <c r="D4022" s="41">
        <v>6576.1270000000004</v>
      </c>
      <c r="E4022" s="41">
        <v>6577.732</v>
      </c>
      <c r="F4022" s="41">
        <v>6568.1009999999997</v>
      </c>
      <c r="G4022" s="41">
        <v>6572.3819999999996</v>
      </c>
      <c r="H4022" s="41">
        <v>847702384.10000002</v>
      </c>
      <c r="I4022" s="42">
        <v>2580</v>
      </c>
    </row>
    <row r="4023" spans="1:9" x14ac:dyDescent="0.25">
      <c r="A4023" t="s">
        <v>9</v>
      </c>
      <c r="B4023" s="39">
        <v>45663</v>
      </c>
      <c r="C4023" s="40">
        <v>0.72916666666666663</v>
      </c>
      <c r="D4023" s="41">
        <v>6572.3819999999996</v>
      </c>
      <c r="E4023" s="41">
        <v>6577.732</v>
      </c>
      <c r="F4023" s="41">
        <v>6567.5659999999998</v>
      </c>
      <c r="G4023" s="41">
        <v>6576.1270000000004</v>
      </c>
      <c r="H4023" s="41">
        <v>806934408.92999995</v>
      </c>
      <c r="I4023" s="42">
        <v>2455</v>
      </c>
    </row>
    <row r="4024" spans="1:9" x14ac:dyDescent="0.25">
      <c r="A4024" t="s">
        <v>9</v>
      </c>
      <c r="B4024" s="39">
        <v>45663</v>
      </c>
      <c r="C4024" s="40">
        <v>0.70833333333333337</v>
      </c>
      <c r="D4024" s="41">
        <v>6573.9870000000001</v>
      </c>
      <c r="E4024" s="41">
        <v>6575.0569999999998</v>
      </c>
      <c r="F4024" s="41">
        <v>6565.9610000000002</v>
      </c>
      <c r="G4024" s="41">
        <v>6572.3819999999996</v>
      </c>
      <c r="H4024" s="41">
        <v>5790799775.6300001</v>
      </c>
      <c r="I4024" s="42">
        <v>17630</v>
      </c>
    </row>
    <row r="4025" spans="1:9" x14ac:dyDescent="0.25">
      <c r="A4025" t="s">
        <v>9</v>
      </c>
      <c r="B4025" s="39">
        <v>45663</v>
      </c>
      <c r="C4025" s="40">
        <v>0.6875</v>
      </c>
      <c r="D4025" s="41">
        <v>6571.8469999999998</v>
      </c>
      <c r="E4025" s="41">
        <v>6574.5219999999999</v>
      </c>
      <c r="F4025" s="41">
        <v>6569.1710000000003</v>
      </c>
      <c r="G4025" s="41">
        <v>6573.4520000000002</v>
      </c>
      <c r="H4025" s="41">
        <v>854402649.67999995</v>
      </c>
      <c r="I4025" s="42">
        <v>2600</v>
      </c>
    </row>
    <row r="4026" spans="1:9" x14ac:dyDescent="0.25">
      <c r="A4026" t="s">
        <v>9</v>
      </c>
      <c r="B4026" s="39">
        <v>45663</v>
      </c>
      <c r="C4026" s="40">
        <v>0.66666666666666663</v>
      </c>
      <c r="D4026" s="41">
        <v>6571.3109999999997</v>
      </c>
      <c r="E4026" s="41">
        <v>6575.5919999999996</v>
      </c>
      <c r="F4026" s="41">
        <v>6568.1009999999997</v>
      </c>
      <c r="G4026" s="41">
        <v>6571.3109999999997</v>
      </c>
      <c r="H4026" s="41">
        <v>4856454909.9200001</v>
      </c>
      <c r="I4026" s="42">
        <v>14780</v>
      </c>
    </row>
    <row r="4027" spans="1:9" x14ac:dyDescent="0.25">
      <c r="A4027" t="s">
        <v>9</v>
      </c>
      <c r="B4027" s="39">
        <v>45663</v>
      </c>
      <c r="C4027" s="40">
        <v>0.64583333333333337</v>
      </c>
      <c r="D4027" s="41">
        <v>6583.6180000000004</v>
      </c>
      <c r="E4027" s="41">
        <v>6585.759</v>
      </c>
      <c r="F4027" s="41">
        <v>6569.7060000000001</v>
      </c>
      <c r="G4027" s="41">
        <v>6571.3109999999997</v>
      </c>
      <c r="H4027" s="41">
        <v>2155688721.25</v>
      </c>
      <c r="I4027" s="42">
        <v>6555</v>
      </c>
    </row>
    <row r="4028" spans="1:9" x14ac:dyDescent="0.25">
      <c r="A4028" t="s">
        <v>9</v>
      </c>
      <c r="B4028" s="39">
        <v>45663</v>
      </c>
      <c r="C4028" s="40">
        <v>0.625</v>
      </c>
      <c r="D4028" s="41">
        <v>6580.4080000000004</v>
      </c>
      <c r="E4028" s="41">
        <v>6586.8289999999997</v>
      </c>
      <c r="F4028" s="41">
        <v>6577.732</v>
      </c>
      <c r="G4028" s="41">
        <v>6584.1530000000002</v>
      </c>
      <c r="H4028" s="41">
        <v>3459223196.9099998</v>
      </c>
      <c r="I4028" s="42">
        <v>10510</v>
      </c>
    </row>
    <row r="4029" spans="1:9" x14ac:dyDescent="0.25">
      <c r="A4029" t="s">
        <v>9</v>
      </c>
      <c r="B4029" s="39">
        <v>45663</v>
      </c>
      <c r="C4029" s="40">
        <v>0.60416666666666663</v>
      </c>
      <c r="D4029" s="41">
        <v>6577.732</v>
      </c>
      <c r="E4029" s="41">
        <v>6588.9690000000001</v>
      </c>
      <c r="F4029" s="41">
        <v>6576.6620000000003</v>
      </c>
      <c r="G4029" s="41">
        <v>6579.3379999999997</v>
      </c>
      <c r="H4029" s="41">
        <v>2526057780.21</v>
      </c>
      <c r="I4029" s="42">
        <v>7675</v>
      </c>
    </row>
    <row r="4030" spans="1:9" x14ac:dyDescent="0.25">
      <c r="A4030" t="s">
        <v>9</v>
      </c>
      <c r="B4030" s="39">
        <v>45663</v>
      </c>
      <c r="C4030" s="40">
        <v>0.58333333333333337</v>
      </c>
      <c r="D4030" s="41">
        <v>6569.7060000000001</v>
      </c>
      <c r="E4030" s="41">
        <v>6578.8029999999999</v>
      </c>
      <c r="F4030" s="41">
        <v>6561.1450000000004</v>
      </c>
      <c r="G4030" s="41">
        <v>6576.6620000000003</v>
      </c>
      <c r="H4030" s="41">
        <v>2181916178.3600001</v>
      </c>
      <c r="I4030" s="42">
        <v>6640</v>
      </c>
    </row>
    <row r="4031" spans="1:9" x14ac:dyDescent="0.25">
      <c r="A4031" t="s">
        <v>9</v>
      </c>
      <c r="B4031" s="39">
        <v>45663</v>
      </c>
      <c r="C4031" s="40">
        <v>0.5625</v>
      </c>
      <c r="D4031" s="41">
        <v>6567.0309999999999</v>
      </c>
      <c r="E4031" s="41">
        <v>6570.7759999999998</v>
      </c>
      <c r="F4031" s="41">
        <v>6559.0050000000001</v>
      </c>
      <c r="G4031" s="41">
        <v>6569.7060000000001</v>
      </c>
      <c r="H4031" s="41">
        <v>2237236175.79</v>
      </c>
      <c r="I4031" s="42">
        <v>6815</v>
      </c>
    </row>
    <row r="4032" spans="1:9" x14ac:dyDescent="0.25">
      <c r="A4032" t="s">
        <v>9</v>
      </c>
      <c r="B4032" s="39">
        <v>45663</v>
      </c>
      <c r="C4032" s="40">
        <v>0.54166666666666663</v>
      </c>
      <c r="D4032" s="41">
        <v>6573.9870000000001</v>
      </c>
      <c r="E4032" s="41">
        <v>6578.2669999999998</v>
      </c>
      <c r="F4032" s="41">
        <v>6564.3549999999996</v>
      </c>
      <c r="G4032" s="41">
        <v>6567.0309999999999</v>
      </c>
      <c r="H4032" s="41">
        <v>2714558799.3499999</v>
      </c>
      <c r="I4032" s="42">
        <v>8260</v>
      </c>
    </row>
    <row r="4033" spans="1:9" x14ac:dyDescent="0.25">
      <c r="A4033" t="s">
        <v>9</v>
      </c>
      <c r="B4033" s="39">
        <v>45663</v>
      </c>
      <c r="C4033" s="40">
        <v>0.52083333333333337</v>
      </c>
      <c r="D4033" s="41">
        <v>6563.82</v>
      </c>
      <c r="E4033" s="41">
        <v>6575.5919999999996</v>
      </c>
      <c r="F4033" s="41">
        <v>6562.2150000000001</v>
      </c>
      <c r="G4033" s="41">
        <v>6574.5219999999999</v>
      </c>
      <c r="H4033" s="41">
        <v>5850204837.5600004</v>
      </c>
      <c r="I4033" s="42">
        <v>17805</v>
      </c>
    </row>
    <row r="4034" spans="1:9" x14ac:dyDescent="0.25">
      <c r="A4034" t="s">
        <v>9</v>
      </c>
      <c r="B4034" s="39">
        <v>45663</v>
      </c>
      <c r="C4034" s="40">
        <v>0.5</v>
      </c>
      <c r="D4034" s="41">
        <v>6575.5919999999996</v>
      </c>
      <c r="E4034" s="41">
        <v>6579.8729999999996</v>
      </c>
      <c r="F4034" s="41">
        <v>6557.3990000000003</v>
      </c>
      <c r="G4034" s="41">
        <v>6564.3549999999996</v>
      </c>
      <c r="H4034" s="41">
        <v>4160817038.4099998</v>
      </c>
      <c r="I4034" s="42">
        <v>12670</v>
      </c>
    </row>
    <row r="4035" spans="1:9" x14ac:dyDescent="0.25">
      <c r="A4035" t="s">
        <v>9</v>
      </c>
      <c r="B4035" s="39">
        <v>45663</v>
      </c>
      <c r="C4035" s="40">
        <v>0.47916666666666669</v>
      </c>
      <c r="D4035" s="41">
        <v>6601.2759999999998</v>
      </c>
      <c r="E4035" s="41">
        <v>6610.9070000000002</v>
      </c>
      <c r="F4035" s="41">
        <v>6575.0569999999998</v>
      </c>
      <c r="G4035" s="41">
        <v>6576.1270000000004</v>
      </c>
      <c r="H4035" s="41">
        <v>4009792185.3099999</v>
      </c>
      <c r="I4035" s="42">
        <v>12165</v>
      </c>
    </row>
    <row r="4036" spans="1:9" x14ac:dyDescent="0.25">
      <c r="A4036" t="s">
        <v>9</v>
      </c>
      <c r="B4036" s="39">
        <v>45663</v>
      </c>
      <c r="C4036" s="40">
        <v>0.45833333333333331</v>
      </c>
      <c r="D4036" s="41">
        <v>6566.4960000000001</v>
      </c>
      <c r="E4036" s="41">
        <v>6616.7929999999997</v>
      </c>
      <c r="F4036" s="41">
        <v>6563.2849999999999</v>
      </c>
      <c r="G4036" s="41">
        <v>6600.2060000000001</v>
      </c>
      <c r="H4036" s="41">
        <v>6547932729.6199999</v>
      </c>
      <c r="I4036" s="42">
        <v>19870</v>
      </c>
    </row>
    <row r="4037" spans="1:9" x14ac:dyDescent="0.25">
      <c r="A4037" t="s">
        <v>9</v>
      </c>
      <c r="B4037" s="39">
        <v>45663</v>
      </c>
      <c r="C4037" s="40">
        <v>0.4375</v>
      </c>
      <c r="D4037" s="41">
        <v>6557.9340000000002</v>
      </c>
      <c r="E4037" s="41">
        <v>6571.8469999999998</v>
      </c>
      <c r="F4037" s="41">
        <v>6550.9780000000001</v>
      </c>
      <c r="G4037" s="41">
        <v>6566.4960000000001</v>
      </c>
      <c r="H4037" s="41">
        <v>6082333965.6000004</v>
      </c>
      <c r="I4037" s="42">
        <v>18540</v>
      </c>
    </row>
    <row r="4038" spans="1:9" x14ac:dyDescent="0.25">
      <c r="A4038" t="s">
        <v>9</v>
      </c>
      <c r="B4038" s="39">
        <v>45663</v>
      </c>
      <c r="C4038" s="40">
        <v>0.41666666666666669</v>
      </c>
      <c r="D4038" s="41">
        <v>6583.6180000000004</v>
      </c>
      <c r="E4038" s="41">
        <v>6584.1530000000002</v>
      </c>
      <c r="F4038" s="41">
        <v>6553.6540000000005</v>
      </c>
      <c r="G4038" s="41">
        <v>6557.9340000000002</v>
      </c>
      <c r="H4038" s="41">
        <v>8248076697.0200005</v>
      </c>
      <c r="I4038" s="42">
        <v>25125</v>
      </c>
    </row>
    <row r="4039" spans="1:9" x14ac:dyDescent="0.25">
      <c r="A4039" t="s">
        <v>9</v>
      </c>
      <c r="B4039" s="39">
        <v>45663</v>
      </c>
      <c r="C4039" s="40">
        <v>0.39583333333333331</v>
      </c>
      <c r="D4039" s="41">
        <v>6601.2759999999998</v>
      </c>
      <c r="E4039" s="41">
        <v>6612.5129999999999</v>
      </c>
      <c r="F4039" s="41">
        <v>6582.0129999999999</v>
      </c>
      <c r="G4039" s="41">
        <v>6583.6180000000004</v>
      </c>
      <c r="H4039" s="41">
        <v>5244900158.5500002</v>
      </c>
      <c r="I4039" s="42">
        <v>15910</v>
      </c>
    </row>
    <row r="4040" spans="1:9" x14ac:dyDescent="0.25">
      <c r="A4040" t="s">
        <v>9</v>
      </c>
      <c r="B4040" s="39">
        <v>45663</v>
      </c>
      <c r="C4040" s="40">
        <v>0.375</v>
      </c>
      <c r="D4040" s="41">
        <v>6605.5569999999998</v>
      </c>
      <c r="E4040" s="41">
        <v>6611.442</v>
      </c>
      <c r="F4040" s="41">
        <v>6584.1530000000002</v>
      </c>
      <c r="G4040" s="41">
        <v>6601.8109999999997</v>
      </c>
      <c r="H4040" s="41">
        <v>6483092463.8400002</v>
      </c>
      <c r="I4040" s="42">
        <v>19660</v>
      </c>
    </row>
    <row r="4041" spans="1:9" x14ac:dyDescent="0.25">
      <c r="A4041" t="s">
        <v>9</v>
      </c>
      <c r="B4041" s="39">
        <v>45660</v>
      </c>
      <c r="C4041" s="40">
        <v>0.75</v>
      </c>
      <c r="D4041" s="41">
        <v>6652.6440000000002</v>
      </c>
      <c r="E4041" s="41">
        <v>6654.2489999999998</v>
      </c>
      <c r="F4041" s="41">
        <v>6633.3810000000003</v>
      </c>
      <c r="G4041" s="41">
        <v>6651.0379999999996</v>
      </c>
      <c r="H4041" s="41">
        <v>1204794247.71</v>
      </c>
      <c r="I4041" s="42">
        <v>3625</v>
      </c>
    </row>
    <row r="4042" spans="1:9" x14ac:dyDescent="0.25">
      <c r="A4042" t="s">
        <v>9</v>
      </c>
      <c r="B4042" s="39">
        <v>45660</v>
      </c>
      <c r="C4042" s="40">
        <v>0.72916666666666663</v>
      </c>
      <c r="D4042" s="41">
        <v>6646.7579999999998</v>
      </c>
      <c r="E4042" s="41">
        <v>6653.1790000000001</v>
      </c>
      <c r="F4042" s="41">
        <v>6644.0820000000003</v>
      </c>
      <c r="G4042" s="41">
        <v>6652.1080000000002</v>
      </c>
      <c r="H4042" s="41">
        <v>952303471.64999998</v>
      </c>
      <c r="I4042" s="42">
        <v>2865</v>
      </c>
    </row>
    <row r="4043" spans="1:9" x14ac:dyDescent="0.25">
      <c r="A4043" t="s">
        <v>9</v>
      </c>
      <c r="B4043" s="39">
        <v>45660</v>
      </c>
      <c r="C4043" s="40">
        <v>0.70833333333333337</v>
      </c>
      <c r="D4043" s="41">
        <v>6649.433</v>
      </c>
      <c r="E4043" s="41">
        <v>6649.9679999999998</v>
      </c>
      <c r="F4043" s="41">
        <v>6644.6170000000002</v>
      </c>
      <c r="G4043" s="41">
        <v>6647.2929999999997</v>
      </c>
      <c r="H4043" s="41">
        <v>2745071440.6900001</v>
      </c>
      <c r="I4043" s="42">
        <v>8260</v>
      </c>
    </row>
    <row r="4044" spans="1:9" x14ac:dyDescent="0.25">
      <c r="A4044" t="s">
        <v>9</v>
      </c>
      <c r="B4044" s="39">
        <v>45660</v>
      </c>
      <c r="C4044" s="40">
        <v>0.6875</v>
      </c>
      <c r="D4044" s="41">
        <v>6648.8980000000001</v>
      </c>
      <c r="E4044" s="41">
        <v>6649.9679999999998</v>
      </c>
      <c r="F4044" s="41">
        <v>6640.8720000000003</v>
      </c>
      <c r="G4044" s="41">
        <v>6649.433</v>
      </c>
      <c r="H4044" s="41">
        <v>1583358584.3900001</v>
      </c>
      <c r="I4044" s="42">
        <v>4765</v>
      </c>
    </row>
    <row r="4045" spans="1:9" x14ac:dyDescent="0.25">
      <c r="A4045" t="s">
        <v>9</v>
      </c>
      <c r="B4045" s="39">
        <v>45660</v>
      </c>
      <c r="C4045" s="40">
        <v>0.66666666666666663</v>
      </c>
      <c r="D4045" s="41">
        <v>6653.1790000000001</v>
      </c>
      <c r="E4045" s="41">
        <v>6653.1790000000001</v>
      </c>
      <c r="F4045" s="41">
        <v>6641.942</v>
      </c>
      <c r="G4045" s="41">
        <v>6648.8980000000001</v>
      </c>
      <c r="H4045" s="41">
        <v>2725307610.25</v>
      </c>
      <c r="I4045" s="42">
        <v>8200</v>
      </c>
    </row>
    <row r="4046" spans="1:9" x14ac:dyDescent="0.25">
      <c r="A4046" t="s">
        <v>9</v>
      </c>
      <c r="B4046" s="39">
        <v>45660</v>
      </c>
      <c r="C4046" s="40">
        <v>0.64583333333333337</v>
      </c>
      <c r="D4046" s="41">
        <v>6646.223</v>
      </c>
      <c r="E4046" s="41">
        <v>6653.7139999999999</v>
      </c>
      <c r="F4046" s="41">
        <v>6645.152</v>
      </c>
      <c r="G4046" s="41">
        <v>6653.1790000000001</v>
      </c>
      <c r="H4046" s="41">
        <v>4187094391.6799998</v>
      </c>
      <c r="I4046" s="42">
        <v>12595</v>
      </c>
    </row>
    <row r="4047" spans="1:9" x14ac:dyDescent="0.25">
      <c r="A4047" t="s">
        <v>9</v>
      </c>
      <c r="B4047" s="39">
        <v>45660</v>
      </c>
      <c r="C4047" s="40">
        <v>0.625</v>
      </c>
      <c r="D4047" s="41">
        <v>6653.7139999999999</v>
      </c>
      <c r="E4047" s="41">
        <v>6657.4589999999998</v>
      </c>
      <c r="F4047" s="41">
        <v>6645.6869999999999</v>
      </c>
      <c r="G4047" s="41">
        <v>6647.8280000000004</v>
      </c>
      <c r="H4047" s="41">
        <v>4436758610.2399998</v>
      </c>
      <c r="I4047" s="42">
        <v>13340</v>
      </c>
    </row>
    <row r="4048" spans="1:9" x14ac:dyDescent="0.25">
      <c r="A4048" t="s">
        <v>9</v>
      </c>
      <c r="B4048" s="39">
        <v>45660</v>
      </c>
      <c r="C4048" s="40">
        <v>0.60416666666666663</v>
      </c>
      <c r="D4048" s="41">
        <v>6643.0119999999997</v>
      </c>
      <c r="E4048" s="41">
        <v>6656.3890000000001</v>
      </c>
      <c r="F4048" s="41">
        <v>6641.4070000000002</v>
      </c>
      <c r="G4048" s="41">
        <v>6653.7139999999999</v>
      </c>
      <c r="H4048" s="41">
        <v>3930077378.0799999</v>
      </c>
      <c r="I4048" s="42">
        <v>11820</v>
      </c>
    </row>
    <row r="4049" spans="1:9" x14ac:dyDescent="0.25">
      <c r="A4049" t="s">
        <v>9</v>
      </c>
      <c r="B4049" s="39">
        <v>45660</v>
      </c>
      <c r="C4049" s="40">
        <v>0.58333333333333337</v>
      </c>
      <c r="D4049" s="41">
        <v>6643.5469999999996</v>
      </c>
      <c r="E4049" s="41">
        <v>6648.3630000000003</v>
      </c>
      <c r="F4049" s="41">
        <v>6631.7749999999996</v>
      </c>
      <c r="G4049" s="41">
        <v>6643.0119999999997</v>
      </c>
      <c r="H4049" s="41">
        <v>4274715266.1599998</v>
      </c>
      <c r="I4049" s="42">
        <v>12875</v>
      </c>
    </row>
    <row r="4050" spans="1:9" x14ac:dyDescent="0.25">
      <c r="A4050" t="s">
        <v>9</v>
      </c>
      <c r="B4050" s="39">
        <v>45660</v>
      </c>
      <c r="C4050" s="40">
        <v>0.5625</v>
      </c>
      <c r="D4050" s="41">
        <v>6629.6350000000002</v>
      </c>
      <c r="E4050" s="41">
        <v>6645.6869999999999</v>
      </c>
      <c r="F4050" s="41">
        <v>6629.1</v>
      </c>
      <c r="G4050" s="41">
        <v>6642.4769999999999</v>
      </c>
      <c r="H4050" s="41">
        <v>2694435395.4899998</v>
      </c>
      <c r="I4050" s="42">
        <v>8120</v>
      </c>
    </row>
    <row r="4051" spans="1:9" x14ac:dyDescent="0.25">
      <c r="A4051" t="s">
        <v>9</v>
      </c>
      <c r="B4051" s="39">
        <v>45660</v>
      </c>
      <c r="C4051" s="40">
        <v>0.54166666666666663</v>
      </c>
      <c r="D4051" s="41">
        <v>6623.2139999999999</v>
      </c>
      <c r="E4051" s="41">
        <v>6631.24</v>
      </c>
      <c r="F4051" s="41">
        <v>6617.3280000000004</v>
      </c>
      <c r="G4051" s="41">
        <v>6629.1</v>
      </c>
      <c r="H4051" s="41">
        <v>3090636621.5599999</v>
      </c>
      <c r="I4051" s="42">
        <v>9330</v>
      </c>
    </row>
    <row r="4052" spans="1:9" x14ac:dyDescent="0.25">
      <c r="A4052" t="s">
        <v>9</v>
      </c>
      <c r="B4052" s="39">
        <v>45660</v>
      </c>
      <c r="C4052" s="40">
        <v>0.52083333333333337</v>
      </c>
      <c r="D4052" s="41">
        <v>6630.17</v>
      </c>
      <c r="E4052" s="41">
        <v>6631.7749999999996</v>
      </c>
      <c r="F4052" s="41">
        <v>6620.5389999999998</v>
      </c>
      <c r="G4052" s="41">
        <v>6623.2139999999999</v>
      </c>
      <c r="H4052" s="41">
        <v>3123303626.7600002</v>
      </c>
      <c r="I4052" s="42">
        <v>9425</v>
      </c>
    </row>
    <row r="4053" spans="1:9" x14ac:dyDescent="0.25">
      <c r="A4053" t="s">
        <v>9</v>
      </c>
      <c r="B4053" s="39">
        <v>45660</v>
      </c>
      <c r="C4053" s="40">
        <v>0.5</v>
      </c>
      <c r="D4053" s="41">
        <v>6621.6090000000004</v>
      </c>
      <c r="E4053" s="41">
        <v>6642.4769999999999</v>
      </c>
      <c r="F4053" s="41">
        <v>6620.5389999999998</v>
      </c>
      <c r="G4053" s="41">
        <v>6630.7049999999999</v>
      </c>
      <c r="H4053" s="41">
        <v>4525923590.4099998</v>
      </c>
      <c r="I4053" s="42">
        <v>13650</v>
      </c>
    </row>
    <row r="4054" spans="1:9" x14ac:dyDescent="0.25">
      <c r="A4054" t="s">
        <v>9</v>
      </c>
      <c r="B4054" s="39">
        <v>45660</v>
      </c>
      <c r="C4054" s="40">
        <v>0.47916666666666669</v>
      </c>
      <c r="D4054" s="41">
        <v>6610.3720000000003</v>
      </c>
      <c r="E4054" s="41">
        <v>6624.2839999999997</v>
      </c>
      <c r="F4054" s="41">
        <v>6608.7669999999998</v>
      </c>
      <c r="G4054" s="41">
        <v>6620.5389999999998</v>
      </c>
      <c r="H4054" s="41">
        <v>2781644526.29</v>
      </c>
      <c r="I4054" s="42">
        <v>8410</v>
      </c>
    </row>
    <row r="4055" spans="1:9" x14ac:dyDescent="0.25">
      <c r="A4055" t="s">
        <v>9</v>
      </c>
      <c r="B4055" s="39">
        <v>45660</v>
      </c>
      <c r="C4055" s="40">
        <v>0.45833333333333331</v>
      </c>
      <c r="D4055" s="41">
        <v>6608.232</v>
      </c>
      <c r="E4055" s="41">
        <v>6621.0739999999996</v>
      </c>
      <c r="F4055" s="41">
        <v>6601.2759999999998</v>
      </c>
      <c r="G4055" s="41">
        <v>6610.3720000000003</v>
      </c>
      <c r="H4055" s="41">
        <v>3964894600.2800002</v>
      </c>
      <c r="I4055" s="42">
        <v>11995</v>
      </c>
    </row>
    <row r="4056" spans="1:9" x14ac:dyDescent="0.25">
      <c r="A4056" t="s">
        <v>9</v>
      </c>
      <c r="B4056" s="39">
        <v>45660</v>
      </c>
      <c r="C4056" s="40">
        <v>0.4375</v>
      </c>
      <c r="D4056" s="41">
        <v>6600.741</v>
      </c>
      <c r="E4056" s="41">
        <v>6626.4250000000002</v>
      </c>
      <c r="F4056" s="41">
        <v>6599.6710000000003</v>
      </c>
      <c r="G4056" s="41">
        <v>6608.232</v>
      </c>
      <c r="H4056" s="41">
        <v>7288471396.6400003</v>
      </c>
      <c r="I4056" s="42">
        <v>22035</v>
      </c>
    </row>
    <row r="4057" spans="1:9" x14ac:dyDescent="0.25">
      <c r="A4057" t="s">
        <v>9</v>
      </c>
      <c r="B4057" s="39">
        <v>45660</v>
      </c>
      <c r="C4057" s="40">
        <v>0.41666666666666669</v>
      </c>
      <c r="D4057" s="41">
        <v>6654.7839999999997</v>
      </c>
      <c r="E4057" s="41">
        <v>6657.9939999999997</v>
      </c>
      <c r="F4057" s="41">
        <v>6600.741</v>
      </c>
      <c r="G4057" s="41">
        <v>6600.741</v>
      </c>
      <c r="H4057" s="41">
        <v>7146605900.7700005</v>
      </c>
      <c r="I4057" s="42">
        <v>21560</v>
      </c>
    </row>
    <row r="4058" spans="1:9" x14ac:dyDescent="0.25">
      <c r="A4058" t="s">
        <v>9</v>
      </c>
      <c r="B4058" s="39">
        <v>45660</v>
      </c>
      <c r="C4058" s="40">
        <v>0.39583333333333331</v>
      </c>
      <c r="D4058" s="41">
        <v>6654.2489999999998</v>
      </c>
      <c r="E4058" s="41">
        <v>6669.2309999999998</v>
      </c>
      <c r="F4058" s="41">
        <v>6653.7139999999999</v>
      </c>
      <c r="G4058" s="41">
        <v>6654.2489999999998</v>
      </c>
      <c r="H4058" s="41">
        <v>7335797440.0200005</v>
      </c>
      <c r="I4058" s="42">
        <v>22025</v>
      </c>
    </row>
    <row r="4059" spans="1:9" x14ac:dyDescent="0.25">
      <c r="A4059" t="s">
        <v>9</v>
      </c>
      <c r="B4059" s="39">
        <v>45660</v>
      </c>
      <c r="C4059" s="40">
        <v>0.375</v>
      </c>
      <c r="D4059" s="41">
        <v>6613.5829999999996</v>
      </c>
      <c r="E4059" s="41">
        <v>6663.3450000000003</v>
      </c>
      <c r="F4059" s="41">
        <v>6613.0479999999998</v>
      </c>
      <c r="G4059" s="41">
        <v>6654.2489999999998</v>
      </c>
      <c r="H4059" s="41">
        <v>7302982752.8699999</v>
      </c>
      <c r="I4059" s="42">
        <v>21980</v>
      </c>
    </row>
    <row r="4060" spans="1:9" x14ac:dyDescent="0.25">
      <c r="A4060" t="s">
        <v>9</v>
      </c>
      <c r="B4060" s="39">
        <v>45659</v>
      </c>
      <c r="C4060" s="40">
        <v>0.75</v>
      </c>
      <c r="D4060" s="41">
        <v>6618.3980000000001</v>
      </c>
      <c r="E4060" s="41">
        <v>6624.8190000000004</v>
      </c>
      <c r="F4060" s="41">
        <v>6615.723</v>
      </c>
      <c r="G4060" s="41">
        <v>6623.2139999999999</v>
      </c>
      <c r="H4060" s="41">
        <v>666930454.65999997</v>
      </c>
      <c r="I4060" s="42">
        <v>2015</v>
      </c>
    </row>
    <row r="4061" spans="1:9" x14ac:dyDescent="0.25">
      <c r="A4061" t="s">
        <v>9</v>
      </c>
      <c r="B4061" s="39">
        <v>45659</v>
      </c>
      <c r="C4061" s="40">
        <v>0.72916666666666663</v>
      </c>
      <c r="D4061" s="41">
        <v>6615.723</v>
      </c>
      <c r="E4061" s="41">
        <v>6618.933</v>
      </c>
      <c r="F4061" s="41">
        <v>6614.1180000000004</v>
      </c>
      <c r="G4061" s="41">
        <v>6618.3980000000001</v>
      </c>
      <c r="H4061" s="41">
        <v>3419767504.23</v>
      </c>
      <c r="I4061" s="42">
        <v>10335</v>
      </c>
    </row>
    <row r="4062" spans="1:9" x14ac:dyDescent="0.25">
      <c r="A4062" t="s">
        <v>9</v>
      </c>
      <c r="B4062" s="39">
        <v>45659</v>
      </c>
      <c r="C4062" s="40">
        <v>0.70833333333333337</v>
      </c>
      <c r="D4062" s="41">
        <v>6631.24</v>
      </c>
      <c r="E4062" s="41">
        <v>6634.9859999999999</v>
      </c>
      <c r="F4062" s="41">
        <v>6611.9769999999999</v>
      </c>
      <c r="G4062" s="41">
        <v>6615.1880000000001</v>
      </c>
      <c r="H4062" s="41">
        <v>1937019785.74</v>
      </c>
      <c r="I4062" s="42">
        <v>5850</v>
      </c>
    </row>
    <row r="4063" spans="1:9" x14ac:dyDescent="0.25">
      <c r="A4063" t="s">
        <v>9</v>
      </c>
      <c r="B4063" s="39">
        <v>45659</v>
      </c>
      <c r="C4063" s="40">
        <v>0.6875</v>
      </c>
      <c r="D4063" s="41">
        <v>6632.8459999999995</v>
      </c>
      <c r="E4063" s="41">
        <v>6635.5209999999997</v>
      </c>
      <c r="F4063" s="41">
        <v>6628.03</v>
      </c>
      <c r="G4063" s="41">
        <v>6631.24</v>
      </c>
      <c r="H4063" s="41">
        <v>7663801177.6999998</v>
      </c>
      <c r="I4063" s="42">
        <v>23120</v>
      </c>
    </row>
    <row r="4064" spans="1:9" x14ac:dyDescent="0.25">
      <c r="A4064" t="s">
        <v>9</v>
      </c>
      <c r="B4064" s="39">
        <v>45659</v>
      </c>
      <c r="C4064" s="40">
        <v>0.66666666666666663</v>
      </c>
      <c r="D4064" s="41">
        <v>6624.8190000000004</v>
      </c>
      <c r="E4064" s="41">
        <v>6641.4070000000002</v>
      </c>
      <c r="F4064" s="41">
        <v>6622.1440000000002</v>
      </c>
      <c r="G4064" s="41">
        <v>6631.24</v>
      </c>
      <c r="H4064" s="41">
        <v>1954103135.3900001</v>
      </c>
      <c r="I4064" s="42">
        <v>5890</v>
      </c>
    </row>
    <row r="4065" spans="1:9" x14ac:dyDescent="0.25">
      <c r="A4065" t="s">
        <v>9</v>
      </c>
      <c r="B4065" s="39">
        <v>45659</v>
      </c>
      <c r="C4065" s="40">
        <v>0.64583333333333337</v>
      </c>
      <c r="D4065" s="41">
        <v>6640.8720000000003</v>
      </c>
      <c r="E4065" s="41">
        <v>6645.6869999999999</v>
      </c>
      <c r="F4065" s="41">
        <v>6623.7489999999998</v>
      </c>
      <c r="G4065" s="41">
        <v>6624.2839999999997</v>
      </c>
      <c r="H4065" s="41">
        <v>3474489684.0900002</v>
      </c>
      <c r="I4065" s="42">
        <v>10475</v>
      </c>
    </row>
    <row r="4066" spans="1:9" x14ac:dyDescent="0.25">
      <c r="A4066" t="s">
        <v>9</v>
      </c>
      <c r="B4066" s="39">
        <v>45659</v>
      </c>
      <c r="C4066" s="40">
        <v>0.625</v>
      </c>
      <c r="D4066" s="41">
        <v>6633.9160000000002</v>
      </c>
      <c r="E4066" s="41">
        <v>6644.0820000000003</v>
      </c>
      <c r="F4066" s="41">
        <v>6633.3810000000003</v>
      </c>
      <c r="G4066" s="41">
        <v>6640.3370000000004</v>
      </c>
      <c r="H4066" s="41">
        <v>3026179338.9299998</v>
      </c>
      <c r="I4066" s="42">
        <v>9115</v>
      </c>
    </row>
    <row r="4067" spans="1:9" x14ac:dyDescent="0.25">
      <c r="A4067" t="s">
        <v>9</v>
      </c>
      <c r="B4067" s="39">
        <v>45659</v>
      </c>
      <c r="C4067" s="40">
        <v>0.60416666666666663</v>
      </c>
      <c r="D4067" s="41">
        <v>6638.7309999999998</v>
      </c>
      <c r="E4067" s="41">
        <v>6647.2929999999997</v>
      </c>
      <c r="F4067" s="41">
        <v>6629.6350000000002</v>
      </c>
      <c r="G4067" s="41">
        <v>6632.8459999999995</v>
      </c>
      <c r="H4067" s="41">
        <v>5517375886.6400003</v>
      </c>
      <c r="I4067" s="42">
        <v>16620</v>
      </c>
    </row>
    <row r="4068" spans="1:9" x14ac:dyDescent="0.25">
      <c r="A4068" t="s">
        <v>9</v>
      </c>
      <c r="B4068" s="39">
        <v>45659</v>
      </c>
      <c r="C4068" s="40">
        <v>0.58333333333333337</v>
      </c>
      <c r="D4068" s="41">
        <v>6621.6090000000004</v>
      </c>
      <c r="E4068" s="41">
        <v>6639.8019999999997</v>
      </c>
      <c r="F4068" s="41">
        <v>6620.5389999999998</v>
      </c>
      <c r="G4068" s="41">
        <v>6638.7309999999998</v>
      </c>
      <c r="H4068" s="41">
        <v>3558001147.96</v>
      </c>
      <c r="I4068" s="42">
        <v>10735</v>
      </c>
    </row>
    <row r="4069" spans="1:9" x14ac:dyDescent="0.25">
      <c r="A4069" t="s">
        <v>9</v>
      </c>
      <c r="B4069" s="39">
        <v>45659</v>
      </c>
      <c r="C4069" s="40">
        <v>0.5625</v>
      </c>
      <c r="D4069" s="41">
        <v>6623.7489999999998</v>
      </c>
      <c r="E4069" s="41">
        <v>6631.24</v>
      </c>
      <c r="F4069" s="41">
        <v>6617.8630000000003</v>
      </c>
      <c r="G4069" s="41">
        <v>6622.1440000000002</v>
      </c>
      <c r="H4069" s="41">
        <v>5178937964.8000002</v>
      </c>
      <c r="I4069" s="42">
        <v>15630</v>
      </c>
    </row>
    <row r="4070" spans="1:9" x14ac:dyDescent="0.25">
      <c r="A4070" t="s">
        <v>9</v>
      </c>
      <c r="B4070" s="39">
        <v>45659</v>
      </c>
      <c r="C4070" s="40">
        <v>0.54166666666666663</v>
      </c>
      <c r="D4070" s="41">
        <v>6656.3890000000001</v>
      </c>
      <c r="E4070" s="41">
        <v>6663.3450000000003</v>
      </c>
      <c r="F4070" s="41">
        <v>6618.933</v>
      </c>
      <c r="G4070" s="41">
        <v>6622.6790000000001</v>
      </c>
      <c r="H4070" s="41">
        <v>8649737071.7600002</v>
      </c>
      <c r="I4070" s="42">
        <v>26070</v>
      </c>
    </row>
    <row r="4071" spans="1:9" x14ac:dyDescent="0.25">
      <c r="A4071" t="s">
        <v>9</v>
      </c>
      <c r="B4071" s="39">
        <v>45659</v>
      </c>
      <c r="C4071" s="40">
        <v>0.52083333333333337</v>
      </c>
      <c r="D4071" s="41">
        <v>6670.8360000000002</v>
      </c>
      <c r="E4071" s="41">
        <v>6674.0469999999996</v>
      </c>
      <c r="F4071" s="41">
        <v>6653.1790000000001</v>
      </c>
      <c r="G4071" s="41">
        <v>6655.8540000000003</v>
      </c>
      <c r="H4071" s="41">
        <v>3762002484.0300002</v>
      </c>
      <c r="I4071" s="42">
        <v>11290</v>
      </c>
    </row>
    <row r="4072" spans="1:9" x14ac:dyDescent="0.25">
      <c r="A4072" t="s">
        <v>9</v>
      </c>
      <c r="B4072" s="39">
        <v>45659</v>
      </c>
      <c r="C4072" s="40">
        <v>0.5</v>
      </c>
      <c r="D4072" s="41">
        <v>6674.5820000000003</v>
      </c>
      <c r="E4072" s="41">
        <v>6682.0730000000003</v>
      </c>
      <c r="F4072" s="41">
        <v>6668.1610000000001</v>
      </c>
      <c r="G4072" s="41">
        <v>6670.8360000000002</v>
      </c>
      <c r="H4072" s="41">
        <v>5069029958.6999998</v>
      </c>
      <c r="I4072" s="42">
        <v>15190</v>
      </c>
    </row>
    <row r="4073" spans="1:9" x14ac:dyDescent="0.25">
      <c r="A4073" t="s">
        <v>9</v>
      </c>
      <c r="B4073" s="39">
        <v>45659</v>
      </c>
      <c r="C4073" s="40">
        <v>0.47916666666666669</v>
      </c>
      <c r="D4073" s="41">
        <v>6687.9589999999998</v>
      </c>
      <c r="E4073" s="41">
        <v>6688.4939999999997</v>
      </c>
      <c r="F4073" s="41">
        <v>6666.02</v>
      </c>
      <c r="G4073" s="41">
        <v>6674.5820000000003</v>
      </c>
      <c r="H4073" s="41">
        <v>3375507600.1999998</v>
      </c>
      <c r="I4073" s="42">
        <v>10115</v>
      </c>
    </row>
    <row r="4074" spans="1:9" x14ac:dyDescent="0.25">
      <c r="A4074" t="s">
        <v>9</v>
      </c>
      <c r="B4074" s="39">
        <v>45659</v>
      </c>
      <c r="C4074" s="40">
        <v>0.45833333333333331</v>
      </c>
      <c r="D4074" s="41">
        <v>6679.933</v>
      </c>
      <c r="E4074" s="41">
        <v>6691.1689999999999</v>
      </c>
      <c r="F4074" s="41">
        <v>6674.0469999999996</v>
      </c>
      <c r="G4074" s="41">
        <v>6687.9589999999998</v>
      </c>
      <c r="H4074" s="41">
        <v>4153373279.8499999</v>
      </c>
      <c r="I4074" s="42">
        <v>12430</v>
      </c>
    </row>
    <row r="4075" spans="1:9" x14ac:dyDescent="0.25">
      <c r="A4075" t="s">
        <v>9</v>
      </c>
      <c r="B4075" s="39">
        <v>45659</v>
      </c>
      <c r="C4075" s="40">
        <v>0.4375</v>
      </c>
      <c r="D4075" s="41">
        <v>6689.0290000000005</v>
      </c>
      <c r="E4075" s="41">
        <v>6690.634</v>
      </c>
      <c r="F4075" s="41">
        <v>6674.5820000000003</v>
      </c>
      <c r="G4075" s="41">
        <v>6679.933</v>
      </c>
      <c r="H4075" s="41">
        <v>3816404418.79</v>
      </c>
      <c r="I4075" s="42">
        <v>11425</v>
      </c>
    </row>
    <row r="4076" spans="1:9" x14ac:dyDescent="0.25">
      <c r="A4076" t="s">
        <v>9</v>
      </c>
      <c r="B4076" s="39">
        <v>45659</v>
      </c>
      <c r="C4076" s="40">
        <v>0.41666666666666669</v>
      </c>
      <c r="D4076" s="41">
        <v>6686.8890000000001</v>
      </c>
      <c r="E4076" s="41">
        <v>6698.66</v>
      </c>
      <c r="F4076" s="41">
        <v>6680.4679999999998</v>
      </c>
      <c r="G4076" s="41">
        <v>6687.9589999999998</v>
      </c>
      <c r="H4076" s="41">
        <v>4917372106.54</v>
      </c>
      <c r="I4076" s="42">
        <v>14700</v>
      </c>
    </row>
    <row r="4077" spans="1:9" x14ac:dyDescent="0.25">
      <c r="A4077" t="s">
        <v>9</v>
      </c>
      <c r="B4077" s="39">
        <v>45659</v>
      </c>
      <c r="C4077" s="40">
        <v>0.39583333333333331</v>
      </c>
      <c r="D4077" s="41">
        <v>6686.3540000000003</v>
      </c>
      <c r="E4077" s="41">
        <v>6699.7309999999998</v>
      </c>
      <c r="F4077" s="41">
        <v>6682.6080000000002</v>
      </c>
      <c r="G4077" s="41">
        <v>6686.8890000000001</v>
      </c>
      <c r="H4077" s="41">
        <v>6097200347.0799999</v>
      </c>
      <c r="I4077" s="42">
        <v>18220</v>
      </c>
    </row>
    <row r="4078" spans="1:9" x14ac:dyDescent="0.25">
      <c r="A4078" t="s">
        <v>9</v>
      </c>
      <c r="B4078" s="39">
        <v>45659</v>
      </c>
      <c r="C4078" s="40">
        <v>0.375</v>
      </c>
      <c r="D4078" s="41">
        <v>6647.8280000000004</v>
      </c>
      <c r="E4078" s="41">
        <v>6686.3540000000003</v>
      </c>
      <c r="F4078" s="41">
        <v>6637.6610000000001</v>
      </c>
      <c r="G4078" s="41">
        <v>6686.3540000000003</v>
      </c>
      <c r="H4078" s="41">
        <v>6571932516.9700003</v>
      </c>
      <c r="I4078" s="42">
        <v>19720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DC47-7728-4A48-9139-E87EB7A3B0F6}">
  <sheetPr codeName="Planilha1"/>
  <dimension ref="A1:B2059"/>
  <sheetViews>
    <sheetView workbookViewId="0">
      <selection activeCell="B4" sqref="B4"/>
    </sheetView>
  </sheetViews>
  <sheetFormatPr defaultRowHeight="15" x14ac:dyDescent="0.25"/>
  <cols>
    <col min="1" max="1" width="24.5703125" bestFit="1" customWidth="1"/>
    <col min="2" max="2" width="27.140625" bestFit="1" customWidth="1"/>
    <col min="3" max="3" width="10.42578125" customWidth="1"/>
    <col min="4" max="4" width="11.140625" bestFit="1" customWidth="1"/>
    <col min="5" max="5" width="10.7109375" bestFit="1" customWidth="1"/>
  </cols>
  <sheetData>
    <row r="1" spans="1:2" x14ac:dyDescent="0.25">
      <c r="A1" t="s">
        <v>23</v>
      </c>
      <c r="B1" t="s">
        <v>24</v>
      </c>
    </row>
    <row r="2" spans="1:2" x14ac:dyDescent="0.25">
      <c r="A2" s="38">
        <v>5.1833</v>
      </c>
      <c r="B2" s="21">
        <v>46266.420301458333</v>
      </c>
    </row>
    <row r="3" spans="1:2" x14ac:dyDescent="0.25">
      <c r="A3" s="38">
        <v>5.1816000000000004</v>
      </c>
      <c r="B3" s="21">
        <v>46265.547884259257</v>
      </c>
    </row>
    <row r="4" spans="1:2" x14ac:dyDescent="0.25">
      <c r="A4" s="38">
        <v>5.1810999999999998</v>
      </c>
      <c r="B4" s="21">
        <v>46265.547881967592</v>
      </c>
    </row>
    <row r="5" spans="1:2" x14ac:dyDescent="0.25">
      <c r="A5" s="38">
        <v>5.1829999999999998</v>
      </c>
      <c r="B5" s="21">
        <v>46265.507795798614</v>
      </c>
    </row>
    <row r="6" spans="1:2" x14ac:dyDescent="0.25">
      <c r="A6" s="38">
        <v>5.181</v>
      </c>
      <c r="B6" s="21">
        <v>46265.462651122682</v>
      </c>
    </row>
    <row r="7" spans="1:2" x14ac:dyDescent="0.25">
      <c r="A7" s="38">
        <v>5.1814</v>
      </c>
      <c r="B7" s="21">
        <v>46265.423791111112</v>
      </c>
    </row>
    <row r="8" spans="1:2" x14ac:dyDescent="0.25">
      <c r="A8" s="38">
        <v>5.2004999999999999</v>
      </c>
      <c r="B8" s="21">
        <v>46262.5495366088</v>
      </c>
    </row>
    <row r="9" spans="1:2" x14ac:dyDescent="0.25">
      <c r="A9" s="38">
        <v>5.2255000000000003</v>
      </c>
      <c r="B9" s="21">
        <v>46262.549536423612</v>
      </c>
    </row>
    <row r="10" spans="1:2" x14ac:dyDescent="0.25">
      <c r="A10" s="38">
        <v>5.2087000000000003</v>
      </c>
      <c r="B10" s="21">
        <v>46262.506433449074</v>
      </c>
    </row>
    <row r="11" spans="1:2" x14ac:dyDescent="0.25">
      <c r="A11" s="38">
        <v>5.1920999999999999</v>
      </c>
      <c r="B11" s="21">
        <v>46262.4626575</v>
      </c>
    </row>
    <row r="12" spans="1:2" x14ac:dyDescent="0.25">
      <c r="A12" s="38">
        <v>5.1757999999999997</v>
      </c>
      <c r="B12" s="21">
        <v>46262.424022743056</v>
      </c>
    </row>
    <row r="13" spans="1:2" x14ac:dyDescent="0.25">
      <c r="A13" s="38">
        <v>5.1642000000000001</v>
      </c>
      <c r="B13" s="21">
        <v>46261.548872083331</v>
      </c>
    </row>
    <row r="14" spans="1:2" x14ac:dyDescent="0.25">
      <c r="A14" s="38">
        <v>5.1721000000000004</v>
      </c>
      <c r="B14" s="21">
        <v>46261.548868587961</v>
      </c>
    </row>
    <row r="15" spans="1:2" x14ac:dyDescent="0.25">
      <c r="A15" s="38">
        <v>5.1707999999999998</v>
      </c>
      <c r="B15" s="21">
        <v>46261.50160009259</v>
      </c>
    </row>
    <row r="16" spans="1:2" x14ac:dyDescent="0.25">
      <c r="A16" s="38">
        <v>5.157</v>
      </c>
      <c r="B16" s="21">
        <v>46261.461956817133</v>
      </c>
    </row>
    <row r="17" spans="1:2" x14ac:dyDescent="0.25">
      <c r="A17" s="38">
        <v>5.157</v>
      </c>
      <c r="B17" s="21">
        <v>46261.418875567128</v>
      </c>
    </row>
    <row r="18" spans="1:2" x14ac:dyDescent="0.25">
      <c r="A18" s="38">
        <v>5.1604000000000001</v>
      </c>
      <c r="B18" s="21">
        <v>46260.545380173608</v>
      </c>
    </row>
    <row r="19" spans="1:2" x14ac:dyDescent="0.25">
      <c r="A19" s="38">
        <v>5.1619000000000002</v>
      </c>
      <c r="B19" s="21">
        <v>46260.545377881943</v>
      </c>
    </row>
    <row r="20" spans="1:2" x14ac:dyDescent="0.25">
      <c r="A20" s="38">
        <v>5.1619000000000002</v>
      </c>
      <c r="B20" s="21">
        <v>46260.501579282405</v>
      </c>
    </row>
    <row r="21" spans="1:2" x14ac:dyDescent="0.25">
      <c r="A21" s="38">
        <v>5.1548999999999996</v>
      </c>
      <c r="B21" s="21">
        <v>46260.463331620369</v>
      </c>
    </row>
    <row r="22" spans="1:2" x14ac:dyDescent="0.25">
      <c r="A22" s="38">
        <v>5.1627999999999998</v>
      </c>
      <c r="B22" s="21">
        <v>46260.418264571759</v>
      </c>
    </row>
    <row r="23" spans="1:2" x14ac:dyDescent="0.25">
      <c r="A23" s="38">
        <v>5.149</v>
      </c>
      <c r="B23" s="21">
        <v>46259.54496230324</v>
      </c>
    </row>
    <row r="24" spans="1:2" x14ac:dyDescent="0.25">
      <c r="A24" s="38">
        <v>5.1463999999999999</v>
      </c>
      <c r="B24" s="21">
        <v>46259.544960023151</v>
      </c>
    </row>
    <row r="25" spans="1:2" x14ac:dyDescent="0.25">
      <c r="A25" s="38">
        <v>5.1479999999999997</v>
      </c>
      <c r="B25" s="21">
        <v>46259.505693796295</v>
      </c>
    </row>
    <row r="26" spans="1:2" x14ac:dyDescent="0.25">
      <c r="A26" s="38">
        <v>5.1486999999999998</v>
      </c>
      <c r="B26" s="21">
        <v>46259.465431192133</v>
      </c>
    </row>
    <row r="27" spans="1:2" x14ac:dyDescent="0.25">
      <c r="A27" s="38">
        <v>5.1529999999999996</v>
      </c>
      <c r="B27" s="21">
        <v>46259.42098210648</v>
      </c>
    </row>
    <row r="28" spans="1:2" x14ac:dyDescent="0.25">
      <c r="A28" s="38">
        <v>5.1512000000000002</v>
      </c>
      <c r="B28" s="21">
        <v>46258.54460898148</v>
      </c>
    </row>
    <row r="29" spans="1:2" x14ac:dyDescent="0.25">
      <c r="A29" s="38">
        <v>5.1490999999999998</v>
      </c>
      <c r="B29" s="21">
        <v>46258.544607696756</v>
      </c>
    </row>
    <row r="30" spans="1:2" x14ac:dyDescent="0.25">
      <c r="A30" s="38">
        <v>5.1467999999999998</v>
      </c>
      <c r="B30" s="21">
        <v>46258.503645231482</v>
      </c>
    </row>
    <row r="31" spans="1:2" x14ac:dyDescent="0.25">
      <c r="A31" s="38">
        <v>5.1529999999999996</v>
      </c>
      <c r="B31" s="21">
        <v>46258.461972766207</v>
      </c>
    </row>
    <row r="32" spans="1:2" x14ac:dyDescent="0.25">
      <c r="A32" s="38">
        <v>5.1557000000000004</v>
      </c>
      <c r="B32" s="21">
        <v>46258.423760949074</v>
      </c>
    </row>
    <row r="33" spans="1:2" x14ac:dyDescent="0.25">
      <c r="A33" s="38">
        <v>5.1624999999999996</v>
      </c>
      <c r="B33" s="21">
        <v>46255.546854178239</v>
      </c>
    </row>
    <row r="34" spans="1:2" x14ac:dyDescent="0.25">
      <c r="A34" s="38">
        <v>5.1474000000000002</v>
      </c>
      <c r="B34" s="21">
        <v>46255.546851909719</v>
      </c>
    </row>
    <row r="35" spans="1:2" x14ac:dyDescent="0.25">
      <c r="A35" s="38">
        <v>5.1608999999999998</v>
      </c>
      <c r="B35" s="21">
        <v>46255.50430158565</v>
      </c>
    </row>
    <row r="36" spans="1:2" x14ac:dyDescent="0.25">
      <c r="A36" s="38">
        <v>5.1684000000000001</v>
      </c>
      <c r="B36" s="21">
        <v>46255.465419756947</v>
      </c>
    </row>
    <row r="37" spans="1:2" x14ac:dyDescent="0.25">
      <c r="A37" s="38">
        <v>5.1734</v>
      </c>
      <c r="B37" s="21">
        <v>46255.420973993052</v>
      </c>
    </row>
    <row r="38" spans="1:2" x14ac:dyDescent="0.25">
      <c r="A38" s="38">
        <v>5.1862000000000004</v>
      </c>
      <c r="B38" s="21">
        <v>46254.546024930554</v>
      </c>
    </row>
    <row r="39" spans="1:2" x14ac:dyDescent="0.25">
      <c r="A39" s="38">
        <v>5.1843000000000004</v>
      </c>
      <c r="B39" s="21">
        <v>46254.54602371528</v>
      </c>
    </row>
    <row r="40" spans="1:2" x14ac:dyDescent="0.25">
      <c r="A40" s="38">
        <v>5.1837999999999997</v>
      </c>
      <c r="B40" s="21">
        <v>46254.505697881941</v>
      </c>
    </row>
    <row r="41" spans="1:2" x14ac:dyDescent="0.25">
      <c r="A41" s="38">
        <v>5.1935000000000002</v>
      </c>
      <c r="B41" s="21">
        <v>46254.462651678237</v>
      </c>
    </row>
    <row r="42" spans="1:2" x14ac:dyDescent="0.25">
      <c r="A42" s="38">
        <v>5.1832000000000003</v>
      </c>
      <c r="B42" s="21">
        <v>46254.423086921299</v>
      </c>
    </row>
    <row r="43" spans="1:2" x14ac:dyDescent="0.25">
      <c r="A43" s="38">
        <v>5.1714000000000002</v>
      </c>
      <c r="B43" s="21">
        <v>46253.546783124999</v>
      </c>
    </row>
    <row r="44" spans="1:2" x14ac:dyDescent="0.25">
      <c r="A44" s="38">
        <v>5.1689999999999996</v>
      </c>
      <c r="B44" s="21">
        <v>46253.546781909725</v>
      </c>
    </row>
    <row r="45" spans="1:2" x14ac:dyDescent="0.25">
      <c r="A45" s="38">
        <v>5.1734999999999998</v>
      </c>
      <c r="B45" s="21">
        <v>46253.505003009261</v>
      </c>
    </row>
    <row r="46" spans="1:2" x14ac:dyDescent="0.25">
      <c r="A46" s="38">
        <v>5.1718999999999999</v>
      </c>
      <c r="B46" s="21">
        <v>46253.464022673608</v>
      </c>
    </row>
    <row r="47" spans="1:2" x14ac:dyDescent="0.25">
      <c r="A47" s="38">
        <v>5.1711999999999998</v>
      </c>
      <c r="B47" s="21">
        <v>46253.418896504627</v>
      </c>
    </row>
    <row r="48" spans="1:2" x14ac:dyDescent="0.25">
      <c r="A48" s="38">
        <v>5.2042999999999999</v>
      </c>
      <c r="B48" s="21">
        <v>46252.549068865737</v>
      </c>
    </row>
    <row r="49" spans="1:2" x14ac:dyDescent="0.25">
      <c r="A49" s="38">
        <v>5.2072000000000003</v>
      </c>
      <c r="B49" s="21">
        <v>46252.549068298613</v>
      </c>
    </row>
    <row r="50" spans="1:2" x14ac:dyDescent="0.25">
      <c r="A50" s="38">
        <v>5.2065999999999999</v>
      </c>
      <c r="B50" s="21">
        <v>46252.506389062502</v>
      </c>
    </row>
    <row r="51" spans="1:2" x14ac:dyDescent="0.25">
      <c r="A51" s="38">
        <v>5.1959999999999997</v>
      </c>
      <c r="B51" s="21">
        <v>46252.45998266204</v>
      </c>
    </row>
    <row r="52" spans="1:2" x14ac:dyDescent="0.25">
      <c r="A52" s="38">
        <v>5.2073</v>
      </c>
      <c r="B52" s="21">
        <v>46252.418303379629</v>
      </c>
    </row>
    <row r="53" spans="1:2" x14ac:dyDescent="0.25">
      <c r="A53" s="38">
        <v>5.2013999999999996</v>
      </c>
      <c r="B53" s="21">
        <v>46251.545008622685</v>
      </c>
    </row>
    <row r="54" spans="1:2" x14ac:dyDescent="0.25">
      <c r="A54" s="38">
        <v>5.1867999999999999</v>
      </c>
      <c r="B54" s="21">
        <v>46251.545006446759</v>
      </c>
    </row>
    <row r="55" spans="1:2" x14ac:dyDescent="0.25">
      <c r="A55" s="38">
        <v>5.1906999999999996</v>
      </c>
      <c r="B55" s="21">
        <v>46251.507782488428</v>
      </c>
    </row>
    <row r="56" spans="1:2" x14ac:dyDescent="0.25">
      <c r="A56" s="38">
        <v>5.2084000000000001</v>
      </c>
      <c r="B56" s="21">
        <v>46251.460555138889</v>
      </c>
    </row>
    <row r="57" spans="1:2" x14ac:dyDescent="0.25">
      <c r="A57" s="38">
        <v>5.2195</v>
      </c>
      <c r="B57" s="21">
        <v>46251.420972905093</v>
      </c>
    </row>
    <row r="58" spans="1:2" x14ac:dyDescent="0.25">
      <c r="A58" s="38">
        <v>5.2236000000000002</v>
      </c>
      <c r="B58" s="21">
        <v>46248.548876631947</v>
      </c>
    </row>
    <row r="59" spans="1:2" x14ac:dyDescent="0.25">
      <c r="A59" s="38">
        <v>5.2458999999999998</v>
      </c>
      <c r="B59" s="21">
        <v>46248.548875405089</v>
      </c>
    </row>
    <row r="60" spans="1:2" x14ac:dyDescent="0.25">
      <c r="A60" s="38">
        <v>5.2237999999999998</v>
      </c>
      <c r="B60" s="21">
        <v>46248.505728067132</v>
      </c>
    </row>
    <row r="61" spans="1:2" x14ac:dyDescent="0.25">
      <c r="A61" s="38">
        <v>5.2253999999999996</v>
      </c>
      <c r="B61" s="21">
        <v>46248.461251203706</v>
      </c>
    </row>
    <row r="62" spans="1:2" x14ac:dyDescent="0.25">
      <c r="A62" s="38">
        <v>5.1990999999999996</v>
      </c>
      <c r="B62" s="21">
        <v>46248.420989699072</v>
      </c>
    </row>
    <row r="63" spans="1:2" x14ac:dyDescent="0.25">
      <c r="A63" s="38">
        <v>5.1859000000000002</v>
      </c>
      <c r="B63" s="21">
        <v>46247.548096736115</v>
      </c>
    </row>
    <row r="64" spans="1:2" x14ac:dyDescent="0.25">
      <c r="A64" s="38">
        <v>5.1863999999999999</v>
      </c>
      <c r="B64" s="21">
        <v>46247.54809546296</v>
      </c>
    </row>
    <row r="65" spans="1:2" x14ac:dyDescent="0.25">
      <c r="A65" s="38">
        <v>5.1897000000000002</v>
      </c>
      <c r="B65" s="21">
        <v>46247.507778310188</v>
      </c>
    </row>
    <row r="66" spans="1:2" x14ac:dyDescent="0.25">
      <c r="A66" s="38">
        <v>5.1840000000000002</v>
      </c>
      <c r="B66" s="21">
        <v>46247.464710173612</v>
      </c>
    </row>
    <row r="67" spans="1:2" x14ac:dyDescent="0.25">
      <c r="A67" s="38">
        <v>5.1833999999999998</v>
      </c>
      <c r="B67" s="21">
        <v>46247.422350138891</v>
      </c>
    </row>
    <row r="68" spans="1:2" x14ac:dyDescent="0.25">
      <c r="A68" s="38">
        <v>5.1638999999999999</v>
      </c>
      <c r="B68" s="21">
        <v>46246.548247789353</v>
      </c>
    </row>
    <row r="69" spans="1:2" x14ac:dyDescent="0.25">
      <c r="A69" s="38">
        <v>5.1646999999999998</v>
      </c>
      <c r="B69" s="21">
        <v>46246.548247708335</v>
      </c>
    </row>
    <row r="70" spans="1:2" x14ac:dyDescent="0.25">
      <c r="A70" s="38">
        <v>5.1726000000000001</v>
      </c>
      <c r="B70" s="21">
        <v>46246.506414374999</v>
      </c>
    </row>
    <row r="71" spans="1:2" x14ac:dyDescent="0.25">
      <c r="A71" s="38">
        <v>5.1680999999999999</v>
      </c>
      <c r="B71" s="21">
        <v>46246.462633425923</v>
      </c>
    </row>
    <row r="72" spans="1:2" x14ac:dyDescent="0.25">
      <c r="A72" s="38">
        <v>5.15</v>
      </c>
      <c r="B72" s="21">
        <v>46246.422369305554</v>
      </c>
    </row>
    <row r="73" spans="1:2" x14ac:dyDescent="0.25">
      <c r="A73" s="38">
        <v>5.1284999999999998</v>
      </c>
      <c r="B73" s="21">
        <v>46245.545321851852</v>
      </c>
    </row>
    <row r="74" spans="1:2" x14ac:dyDescent="0.25">
      <c r="A74" s="38">
        <v>5.1628999999999996</v>
      </c>
      <c r="B74" s="21">
        <v>46245.545320578705</v>
      </c>
    </row>
    <row r="75" spans="1:2" x14ac:dyDescent="0.25">
      <c r="A75" s="38">
        <v>5.1395999999999997</v>
      </c>
      <c r="B75" s="21">
        <v>46245.50291732639</v>
      </c>
    </row>
    <row r="76" spans="1:2" x14ac:dyDescent="0.25">
      <c r="A76" s="38">
        <v>5.1116999999999999</v>
      </c>
      <c r="B76" s="21">
        <v>46245.465417222222</v>
      </c>
    </row>
    <row r="77" spans="1:2" x14ac:dyDescent="0.25">
      <c r="A77" s="38">
        <v>5.0998000000000001</v>
      </c>
      <c r="B77" s="21">
        <v>46245.420279444443</v>
      </c>
    </row>
    <row r="78" spans="1:2" x14ac:dyDescent="0.25">
      <c r="A78" s="38">
        <v>5.0963000000000003</v>
      </c>
      <c r="B78" s="21">
        <v>46244.548873171298</v>
      </c>
    </row>
    <row r="79" spans="1:2" x14ac:dyDescent="0.25">
      <c r="A79" s="38">
        <v>5.0982000000000003</v>
      </c>
      <c r="B79" s="21">
        <v>46244.548869733793</v>
      </c>
    </row>
    <row r="80" spans="1:2" x14ac:dyDescent="0.25">
      <c r="A80" s="38">
        <v>5.0999999999999996</v>
      </c>
      <c r="B80" s="21">
        <v>46244.503640613424</v>
      </c>
    </row>
    <row r="81" spans="1:2" x14ac:dyDescent="0.25">
      <c r="A81" s="38">
        <v>5.0970000000000004</v>
      </c>
      <c r="B81" s="21">
        <v>46244.465433437501</v>
      </c>
    </row>
    <row r="82" spans="1:2" x14ac:dyDescent="0.25">
      <c r="A82" s="38">
        <v>5.0898000000000003</v>
      </c>
      <c r="B82" s="21">
        <v>46244.418932291665</v>
      </c>
    </row>
    <row r="83" spans="1:2" x14ac:dyDescent="0.25">
      <c r="A83" s="38">
        <v>5.0907999999999998</v>
      </c>
      <c r="B83" s="21">
        <v>46241.544669618059</v>
      </c>
    </row>
    <row r="84" spans="1:2" x14ac:dyDescent="0.25">
      <c r="A84" s="38">
        <v>5.0884999999999998</v>
      </c>
      <c r="B84" s="21">
        <v>46241.544668472219</v>
      </c>
    </row>
    <row r="85" spans="1:2" x14ac:dyDescent="0.25">
      <c r="A85" s="38">
        <v>5.0918999999999999</v>
      </c>
      <c r="B85" s="21">
        <v>46241.506408009256</v>
      </c>
    </row>
    <row r="86" spans="1:2" x14ac:dyDescent="0.25">
      <c r="A86" s="38">
        <v>5.0940000000000003</v>
      </c>
      <c r="B86" s="21">
        <v>46241.464030625</v>
      </c>
    </row>
    <row r="87" spans="1:2" x14ac:dyDescent="0.25">
      <c r="A87" s="38">
        <v>5.0888999999999998</v>
      </c>
      <c r="B87" s="21">
        <v>46241.420254074073</v>
      </c>
    </row>
    <row r="88" spans="1:2" x14ac:dyDescent="0.25">
      <c r="A88" s="38">
        <v>5.1017000000000001</v>
      </c>
      <c r="B88" s="21">
        <v>46240.544993761578</v>
      </c>
    </row>
    <row r="89" spans="1:2" x14ac:dyDescent="0.25">
      <c r="A89" s="38">
        <v>5.1077000000000004</v>
      </c>
      <c r="B89" s="21">
        <v>46240.544992488423</v>
      </c>
    </row>
    <row r="90" spans="1:2" x14ac:dyDescent="0.25">
      <c r="A90" s="38">
        <v>5.0930999999999997</v>
      </c>
      <c r="B90" s="21">
        <v>46240.50710703704</v>
      </c>
    </row>
    <row r="91" spans="1:2" x14ac:dyDescent="0.25">
      <c r="A91" s="38">
        <v>5.0960999999999999</v>
      </c>
      <c r="B91" s="21">
        <v>46240.464744826386</v>
      </c>
    </row>
    <row r="92" spans="1:2" x14ac:dyDescent="0.25">
      <c r="A92" s="38">
        <v>5.1097999999999999</v>
      </c>
      <c r="B92" s="21">
        <v>46240.421708796297</v>
      </c>
    </row>
    <row r="93" spans="1:2" x14ac:dyDescent="0.25">
      <c r="A93" s="38">
        <v>5.1154000000000002</v>
      </c>
      <c r="B93" s="21">
        <v>46239.546332731479</v>
      </c>
    </row>
    <row r="94" spans="1:2" x14ac:dyDescent="0.25">
      <c r="A94" s="38">
        <v>5.1192000000000002</v>
      </c>
      <c r="B94" s="21">
        <v>46239.546331423611</v>
      </c>
    </row>
    <row r="95" spans="1:2" x14ac:dyDescent="0.25">
      <c r="A95" s="38">
        <v>5.1185</v>
      </c>
      <c r="B95" s="21">
        <v>46239.505706111115</v>
      </c>
    </row>
    <row r="96" spans="1:2" x14ac:dyDescent="0.25">
      <c r="A96" s="38">
        <v>5.1036000000000001</v>
      </c>
      <c r="B96" s="21">
        <v>46239.463361261573</v>
      </c>
    </row>
    <row r="97" spans="1:2" x14ac:dyDescent="0.25">
      <c r="A97" s="38">
        <v>5.1204000000000001</v>
      </c>
      <c r="B97" s="21">
        <v>46239.418282453706</v>
      </c>
    </row>
    <row r="98" spans="1:2" x14ac:dyDescent="0.25">
      <c r="A98" s="38">
        <v>5.1052999999999997</v>
      </c>
      <c r="B98" s="21">
        <v>46238.545265671295</v>
      </c>
    </row>
    <row r="99" spans="1:2" x14ac:dyDescent="0.25">
      <c r="A99" s="38">
        <v>5.1116999999999999</v>
      </c>
      <c r="B99" s="21">
        <v>46238.545265532404</v>
      </c>
    </row>
    <row r="100" spans="1:2" x14ac:dyDescent="0.25">
      <c r="A100" s="38">
        <v>5.1059000000000001</v>
      </c>
      <c r="B100" s="21">
        <v>46238.502910625</v>
      </c>
    </row>
    <row r="101" spans="1:2" x14ac:dyDescent="0.25">
      <c r="A101" s="38">
        <v>5.1070000000000002</v>
      </c>
      <c r="B101" s="21">
        <v>46238.467072743057</v>
      </c>
    </row>
    <row r="102" spans="1:2" x14ac:dyDescent="0.25">
      <c r="A102" s="38">
        <v>5.0964999999999998</v>
      </c>
      <c r="B102" s="21">
        <v>46238.429771493058</v>
      </c>
    </row>
    <row r="103" spans="1:2" x14ac:dyDescent="0.25">
      <c r="A103" s="38">
        <v>5.0791000000000004</v>
      </c>
      <c r="B103" s="21">
        <v>46237.584718923608</v>
      </c>
    </row>
    <row r="104" spans="1:2" x14ac:dyDescent="0.25">
      <c r="A104" s="38">
        <v>5.0723000000000003</v>
      </c>
      <c r="B104" s="21">
        <v>46237.547839664352</v>
      </c>
    </row>
    <row r="105" spans="1:2" x14ac:dyDescent="0.25">
      <c r="A105" s="38">
        <v>5.0796999999999999</v>
      </c>
      <c r="B105" s="21">
        <v>46237.51024959491</v>
      </c>
    </row>
    <row r="106" spans="1:2" x14ac:dyDescent="0.25">
      <c r="A106" s="38">
        <v>5.0742000000000003</v>
      </c>
      <c r="B106" s="21">
        <v>46237.469354849534</v>
      </c>
    </row>
    <row r="107" spans="1:2" x14ac:dyDescent="0.25">
      <c r="A107" s="38">
        <v>5.0560999999999998</v>
      </c>
      <c r="B107" s="21">
        <v>46237.425567812497</v>
      </c>
    </row>
    <row r="108" spans="1:2" x14ac:dyDescent="0.25">
      <c r="A108" s="38">
        <v>5.0773000000000001</v>
      </c>
      <c r="B108" s="21">
        <v>46234.548970613425</v>
      </c>
    </row>
    <row r="109" spans="1:2" x14ac:dyDescent="0.25">
      <c r="A109" s="38">
        <v>5.0754000000000001</v>
      </c>
      <c r="B109" s="21">
        <v>46234.548968263887</v>
      </c>
    </row>
    <row r="110" spans="1:2" x14ac:dyDescent="0.25">
      <c r="A110" s="38">
        <v>5.0801999999999996</v>
      </c>
      <c r="B110" s="21">
        <v>46234.50220657407</v>
      </c>
    </row>
    <row r="111" spans="1:2" x14ac:dyDescent="0.25">
      <c r="A111" s="38">
        <v>5.0831</v>
      </c>
      <c r="B111" s="21">
        <v>46234.461928842589</v>
      </c>
    </row>
    <row r="112" spans="1:2" x14ac:dyDescent="0.25">
      <c r="A112" s="38">
        <v>5.0704000000000002</v>
      </c>
      <c r="B112" s="21">
        <v>46234.419567766206</v>
      </c>
    </row>
    <row r="113" spans="1:2" x14ac:dyDescent="0.25">
      <c r="A113" s="38">
        <v>5.0739000000000001</v>
      </c>
      <c r="B113" s="21">
        <v>46233.54690212963</v>
      </c>
    </row>
    <row r="114" spans="1:2" x14ac:dyDescent="0.25">
      <c r="A114" s="38">
        <v>5.0670999999999999</v>
      </c>
      <c r="B114" s="21">
        <v>46233.546900983798</v>
      </c>
    </row>
    <row r="115" spans="1:2" x14ac:dyDescent="0.25">
      <c r="A115" s="38">
        <v>5.0681000000000003</v>
      </c>
      <c r="B115" s="21">
        <v>46233.507070023152</v>
      </c>
    </row>
    <row r="116" spans="1:2" x14ac:dyDescent="0.25">
      <c r="A116" s="38">
        <v>5.0667</v>
      </c>
      <c r="B116" s="21">
        <v>46233.461225057872</v>
      </c>
    </row>
    <row r="117" spans="1:2" x14ac:dyDescent="0.25">
      <c r="A117" s="38">
        <v>5.0937000000000001</v>
      </c>
      <c r="B117" s="21">
        <v>46233.422344398146</v>
      </c>
    </row>
    <row r="118" spans="1:2" x14ac:dyDescent="0.25">
      <c r="A118" s="38">
        <v>5.1216999999999997</v>
      </c>
      <c r="B118" s="21">
        <v>46232.547726087963</v>
      </c>
    </row>
    <row r="119" spans="1:2" x14ac:dyDescent="0.25">
      <c r="A119" s="38">
        <v>5.1276000000000002</v>
      </c>
      <c r="B119" s="21">
        <v>46232.547723900461</v>
      </c>
    </row>
    <row r="120" spans="1:2" x14ac:dyDescent="0.25">
      <c r="A120" s="38">
        <v>5.1359000000000004</v>
      </c>
      <c r="B120" s="21">
        <v>46232.502932962961</v>
      </c>
    </row>
    <row r="121" spans="1:2" x14ac:dyDescent="0.25">
      <c r="A121" s="38">
        <v>5.1090999999999998</v>
      </c>
      <c r="B121" s="21">
        <v>46232.462659791665</v>
      </c>
    </row>
    <row r="122" spans="1:2" x14ac:dyDescent="0.25">
      <c r="A122" s="38">
        <v>5.1140999999999996</v>
      </c>
      <c r="B122" s="21">
        <v>46232.421728020832</v>
      </c>
    </row>
    <row r="123" spans="1:2" x14ac:dyDescent="0.25">
      <c r="A123" s="38">
        <v>5.1177000000000001</v>
      </c>
      <c r="B123" s="21">
        <v>46231.559388310183</v>
      </c>
    </row>
    <row r="124" spans="1:2" x14ac:dyDescent="0.25">
      <c r="A124" s="38">
        <v>5.1134000000000004</v>
      </c>
      <c r="B124" s="21">
        <v>46231.559387326386</v>
      </c>
    </row>
    <row r="125" spans="1:2" x14ac:dyDescent="0.25">
      <c r="A125" s="38">
        <v>5.1196999999999999</v>
      </c>
      <c r="B125" s="21">
        <v>46231.505718067128</v>
      </c>
    </row>
    <row r="126" spans="1:2" x14ac:dyDescent="0.25">
      <c r="A126" s="38">
        <v>5.1245000000000003</v>
      </c>
      <c r="B126" s="21">
        <v>46231.46264982639</v>
      </c>
    </row>
    <row r="127" spans="1:2" x14ac:dyDescent="0.25">
      <c r="A127" s="38">
        <v>5.1132</v>
      </c>
      <c r="B127" s="21">
        <v>46231.424465891207</v>
      </c>
    </row>
    <row r="128" spans="1:2" x14ac:dyDescent="0.25">
      <c r="A128" s="38">
        <v>5.1005000000000003</v>
      </c>
      <c r="B128" s="21">
        <v>46230.54535310185</v>
      </c>
    </row>
    <row r="129" spans="1:2" x14ac:dyDescent="0.25">
      <c r="A129" s="38">
        <v>5.1044</v>
      </c>
      <c r="B129" s="21">
        <v>46230.545351805558</v>
      </c>
    </row>
    <row r="130" spans="1:2" x14ac:dyDescent="0.25">
      <c r="A130" s="38">
        <v>5.1052</v>
      </c>
      <c r="B130" s="21">
        <v>46230.501634398148</v>
      </c>
    </row>
    <row r="131" spans="1:2" x14ac:dyDescent="0.25">
      <c r="A131" s="38">
        <v>5.0983999999999998</v>
      </c>
      <c r="B131" s="21">
        <v>46230.464042951389</v>
      </c>
    </row>
    <row r="132" spans="1:2" x14ac:dyDescent="0.25">
      <c r="A132" s="38">
        <v>5.0937999999999999</v>
      </c>
      <c r="B132" s="21">
        <v>46230.42306601852</v>
      </c>
    </row>
    <row r="133" spans="1:2" x14ac:dyDescent="0.25">
      <c r="A133" s="38">
        <v>5.0666000000000002</v>
      </c>
      <c r="B133" s="21">
        <v>46227.549583032407</v>
      </c>
    </row>
    <row r="134" spans="1:2" x14ac:dyDescent="0.25">
      <c r="A134" s="38">
        <v>5.0583999999999998</v>
      </c>
      <c r="B134" s="21">
        <v>46227.549581932872</v>
      </c>
    </row>
    <row r="135" spans="1:2" x14ac:dyDescent="0.25">
      <c r="A135" s="38">
        <v>5.0589000000000004</v>
      </c>
      <c r="B135" s="21">
        <v>46227.507799027779</v>
      </c>
    </row>
    <row r="136" spans="1:2" x14ac:dyDescent="0.25">
      <c r="A136" s="38">
        <v>5.0743999999999998</v>
      </c>
      <c r="B136" s="21">
        <v>46227.464698368058</v>
      </c>
    </row>
    <row r="137" spans="1:2" x14ac:dyDescent="0.25">
      <c r="A137" s="38">
        <v>5.0747</v>
      </c>
      <c r="B137" s="21">
        <v>46227.423052557868</v>
      </c>
    </row>
    <row r="138" spans="1:2" x14ac:dyDescent="0.25">
      <c r="A138" s="38">
        <v>5.0807000000000002</v>
      </c>
      <c r="B138" s="21">
        <v>46226.54948681713</v>
      </c>
    </row>
    <row r="139" spans="1:2" x14ac:dyDescent="0.25">
      <c r="A139" s="38">
        <v>5.0811000000000002</v>
      </c>
      <c r="B139" s="21">
        <v>46226.549486701391</v>
      </c>
    </row>
    <row r="140" spans="1:2" x14ac:dyDescent="0.25">
      <c r="A140" s="38">
        <v>5.0785</v>
      </c>
      <c r="B140" s="21">
        <v>46226.502897569444</v>
      </c>
    </row>
    <row r="141" spans="1:2" x14ac:dyDescent="0.25">
      <c r="A141" s="38">
        <v>5.0862999999999996</v>
      </c>
      <c r="B141" s="21">
        <v>46226.463321296294</v>
      </c>
    </row>
    <row r="142" spans="1:2" x14ac:dyDescent="0.25">
      <c r="A142" s="38">
        <v>5.0769000000000002</v>
      </c>
      <c r="B142" s="21">
        <v>46226.421654490739</v>
      </c>
    </row>
    <row r="143" spans="1:2" x14ac:dyDescent="0.25">
      <c r="A143" s="38">
        <v>5.0637999999999996</v>
      </c>
      <c r="B143" s="21">
        <v>46225.543984525466</v>
      </c>
    </row>
    <row r="144" spans="1:2" x14ac:dyDescent="0.25">
      <c r="A144" s="38">
        <v>5.0582000000000003</v>
      </c>
      <c r="B144" s="21">
        <v>46225.543984305557</v>
      </c>
    </row>
    <row r="145" spans="1:2" x14ac:dyDescent="0.25">
      <c r="A145" s="38">
        <v>5.0627000000000004</v>
      </c>
      <c r="B145" s="21">
        <v>46225.506414143521</v>
      </c>
    </row>
    <row r="146" spans="1:2" x14ac:dyDescent="0.25">
      <c r="A146" s="38">
        <v>5.0560999999999998</v>
      </c>
      <c r="B146" s="21">
        <v>46225.46059934028</v>
      </c>
    </row>
    <row r="147" spans="1:2" x14ac:dyDescent="0.25">
      <c r="A147" s="38">
        <v>5.0781000000000001</v>
      </c>
      <c r="B147" s="21">
        <v>46225.420313460651</v>
      </c>
    </row>
    <row r="148" spans="1:2" x14ac:dyDescent="0.25">
      <c r="A148" s="38">
        <v>5.0780000000000003</v>
      </c>
      <c r="B148" s="21">
        <v>46224.546785891202</v>
      </c>
    </row>
    <row r="149" spans="1:2" x14ac:dyDescent="0.25">
      <c r="A149" s="38">
        <v>5.0761000000000003</v>
      </c>
      <c r="B149" s="21">
        <v>46224.546784733793</v>
      </c>
    </row>
    <row r="150" spans="1:2" x14ac:dyDescent="0.25">
      <c r="A150" s="38">
        <v>5.0808</v>
      </c>
      <c r="B150" s="21">
        <v>46224.501665995369</v>
      </c>
    </row>
    <row r="151" spans="1:2" x14ac:dyDescent="0.25">
      <c r="A151" s="38">
        <v>5.0796000000000001</v>
      </c>
      <c r="B151" s="21">
        <v>46224.463380127316</v>
      </c>
    </row>
    <row r="152" spans="1:2" x14ac:dyDescent="0.25">
      <c r="A152" s="38">
        <v>5.0755999999999997</v>
      </c>
      <c r="B152" s="21">
        <v>46224.423051446756</v>
      </c>
    </row>
    <row r="153" spans="1:2" x14ac:dyDescent="0.25">
      <c r="A153" s="38">
        <v>5.0894000000000004</v>
      </c>
      <c r="B153" s="21">
        <v>46223.543946296297</v>
      </c>
    </row>
    <row r="154" spans="1:2" x14ac:dyDescent="0.25">
      <c r="A154" s="38">
        <v>5.0865</v>
      </c>
      <c r="B154" s="21">
        <v>46223.54394502315</v>
      </c>
    </row>
    <row r="155" spans="1:2" x14ac:dyDescent="0.25">
      <c r="A155" s="38">
        <v>5.0899000000000001</v>
      </c>
      <c r="B155" s="21">
        <v>46223.501618125003</v>
      </c>
    </row>
    <row r="156" spans="1:2" x14ac:dyDescent="0.25">
      <c r="A156" s="38">
        <v>5.0868000000000002</v>
      </c>
      <c r="B156" s="21">
        <v>46223.464031342592</v>
      </c>
    </row>
    <row r="157" spans="1:2" x14ac:dyDescent="0.25">
      <c r="A157" s="38">
        <v>5.0942999999999996</v>
      </c>
      <c r="B157" s="21">
        <v>46223.418260590275</v>
      </c>
    </row>
    <row r="158" spans="1:2" x14ac:dyDescent="0.25">
      <c r="A158" s="38">
        <v>5.1176000000000004</v>
      </c>
      <c r="B158" s="21">
        <v>46220.548827650462</v>
      </c>
    </row>
    <row r="159" spans="1:2" x14ac:dyDescent="0.25">
      <c r="A159" s="38">
        <v>5.1096000000000004</v>
      </c>
      <c r="B159" s="21">
        <v>46220.54882640046</v>
      </c>
    </row>
    <row r="160" spans="1:2" x14ac:dyDescent="0.25">
      <c r="A160" s="38">
        <v>5.1132999999999997</v>
      </c>
      <c r="B160" s="21">
        <v>46220.501556064817</v>
      </c>
    </row>
    <row r="161" spans="1:2" x14ac:dyDescent="0.25">
      <c r="A161" s="38">
        <v>5.1223999999999998</v>
      </c>
      <c r="B161" s="21">
        <v>46220.464703136575</v>
      </c>
    </row>
    <row r="162" spans="1:2" x14ac:dyDescent="0.25">
      <c r="A162" s="38">
        <v>5.1249000000000002</v>
      </c>
      <c r="B162" s="21">
        <v>46220.423733171294</v>
      </c>
    </row>
    <row r="163" spans="1:2" x14ac:dyDescent="0.25">
      <c r="A163" s="38">
        <v>5.0975000000000001</v>
      </c>
      <c r="B163" s="21">
        <v>46219.54609546296</v>
      </c>
    </row>
    <row r="164" spans="1:2" x14ac:dyDescent="0.25">
      <c r="A164" s="38">
        <v>5.0940000000000003</v>
      </c>
      <c r="B164" s="21">
        <v>46219.546094814817</v>
      </c>
    </row>
    <row r="165" spans="1:2" x14ac:dyDescent="0.25">
      <c r="A165" s="38">
        <v>5.0998999999999999</v>
      </c>
      <c r="B165" s="21">
        <v>46219.504980821759</v>
      </c>
    </row>
    <row r="166" spans="1:2" x14ac:dyDescent="0.25">
      <c r="A166" s="38">
        <v>5.0975000000000001</v>
      </c>
      <c r="B166" s="21">
        <v>46219.460580995372</v>
      </c>
    </row>
    <row r="167" spans="1:2" x14ac:dyDescent="0.25">
      <c r="A167" s="38">
        <v>5.0984999999999996</v>
      </c>
      <c r="B167" s="21">
        <v>46219.418274444448</v>
      </c>
    </row>
    <row r="168" spans="1:2" x14ac:dyDescent="0.25">
      <c r="A168" s="38">
        <v>5.0727000000000002</v>
      </c>
      <c r="B168" s="21">
        <v>46218.548792245369</v>
      </c>
    </row>
    <row r="169" spans="1:2" x14ac:dyDescent="0.25">
      <c r="A169" s="38">
        <v>5.0805999999999996</v>
      </c>
      <c r="B169" s="21">
        <v>46218.54879119213</v>
      </c>
    </row>
    <row r="170" spans="1:2" x14ac:dyDescent="0.25">
      <c r="A170" s="38">
        <v>5.0796000000000001</v>
      </c>
      <c r="B170" s="21">
        <v>46218.502199699076</v>
      </c>
    </row>
    <row r="171" spans="1:2" x14ac:dyDescent="0.25">
      <c r="A171" s="38">
        <v>5.0681000000000003</v>
      </c>
      <c r="B171" s="21">
        <v>46218.460041226848</v>
      </c>
    </row>
    <row r="172" spans="1:2" x14ac:dyDescent="0.25">
      <c r="A172" s="38">
        <v>5.0625</v>
      </c>
      <c r="B172" s="21">
        <v>46218.419563113428</v>
      </c>
    </row>
    <row r="173" spans="1:2" x14ac:dyDescent="0.25">
      <c r="A173" s="38">
        <v>5.0742000000000003</v>
      </c>
      <c r="B173" s="21">
        <v>46217.544903761576</v>
      </c>
    </row>
    <row r="174" spans="1:2" x14ac:dyDescent="0.25">
      <c r="A174" s="38">
        <v>5.0796000000000001</v>
      </c>
      <c r="B174" s="21">
        <v>46217.544903622686</v>
      </c>
    </row>
    <row r="175" spans="1:2" x14ac:dyDescent="0.25">
      <c r="A175" s="38">
        <v>5.0667999999999997</v>
      </c>
      <c r="B175" s="21">
        <v>46217.507793402779</v>
      </c>
    </row>
    <row r="176" spans="1:2" x14ac:dyDescent="0.25">
      <c r="A176" s="38">
        <v>5.0735999999999999</v>
      </c>
      <c r="B176" s="21">
        <v>46217.462669710651</v>
      </c>
    </row>
    <row r="177" spans="1:2" x14ac:dyDescent="0.25">
      <c r="A177" s="38">
        <v>5.0766</v>
      </c>
      <c r="B177" s="21">
        <v>46217.423076921295</v>
      </c>
    </row>
    <row r="178" spans="1:2" x14ac:dyDescent="0.25">
      <c r="A178" s="38">
        <v>5.1182999999999996</v>
      </c>
      <c r="B178" s="21">
        <v>46216.543553009258</v>
      </c>
    </row>
    <row r="179" spans="1:2" x14ac:dyDescent="0.25">
      <c r="A179" s="38">
        <v>5.1205999999999996</v>
      </c>
      <c r="B179" s="21">
        <v>46216.543551793984</v>
      </c>
    </row>
    <row r="180" spans="1:2" x14ac:dyDescent="0.25">
      <c r="A180" s="38">
        <v>5.1231999999999998</v>
      </c>
      <c r="B180" s="21">
        <v>46216.505737245374</v>
      </c>
    </row>
    <row r="181" spans="1:2" x14ac:dyDescent="0.25">
      <c r="A181" s="38">
        <v>5.1197999999999997</v>
      </c>
      <c r="B181" s="21">
        <v>46216.465446493057</v>
      </c>
    </row>
    <row r="182" spans="1:2" x14ac:dyDescent="0.25">
      <c r="A182" s="38">
        <v>5.1093999999999999</v>
      </c>
      <c r="B182" s="21">
        <v>46216.424334386575</v>
      </c>
    </row>
    <row r="183" spans="1:2" x14ac:dyDescent="0.25">
      <c r="A183" s="38">
        <v>5.1087999999999996</v>
      </c>
      <c r="B183" s="21">
        <v>46213.544633750003</v>
      </c>
    </row>
    <row r="184" spans="1:2" x14ac:dyDescent="0.25">
      <c r="A184" s="38">
        <v>5.1033999999999997</v>
      </c>
      <c r="B184" s="21">
        <v>46213.544632604164</v>
      </c>
    </row>
    <row r="185" spans="1:2" x14ac:dyDescent="0.25">
      <c r="A185" s="38">
        <v>5.1094999999999997</v>
      </c>
      <c r="B185" s="21">
        <v>46213.504986828702</v>
      </c>
    </row>
    <row r="186" spans="1:2" x14ac:dyDescent="0.25">
      <c r="A186" s="38">
        <v>5.109</v>
      </c>
      <c r="B186" s="21">
        <v>46213.464011076387</v>
      </c>
    </row>
    <row r="187" spans="1:2" x14ac:dyDescent="0.25">
      <c r="A187" s="38">
        <v>5.1132</v>
      </c>
      <c r="B187" s="21">
        <v>46213.418867569446</v>
      </c>
    </row>
    <row r="188" spans="1:2" x14ac:dyDescent="0.25">
      <c r="A188" s="38">
        <v>5.1329000000000002</v>
      </c>
      <c r="B188" s="21">
        <v>46212.544648263887</v>
      </c>
    </row>
    <row r="189" spans="1:2" x14ac:dyDescent="0.25">
      <c r="A189" s="38">
        <v>5.1208999999999998</v>
      </c>
      <c r="B189" s="21">
        <v>46212.544647060182</v>
      </c>
    </row>
    <row r="190" spans="1:2" x14ac:dyDescent="0.25">
      <c r="A190" s="38">
        <v>5.1250999999999998</v>
      </c>
      <c r="B190" s="21">
        <v>46212.504991273148</v>
      </c>
    </row>
    <row r="191" spans="1:2" x14ac:dyDescent="0.25">
      <c r="A191" s="38">
        <v>5.1388999999999996</v>
      </c>
      <c r="B191" s="21">
        <v>46212.460551585646</v>
      </c>
    </row>
    <row r="192" spans="1:2" x14ac:dyDescent="0.25">
      <c r="A192" s="38">
        <v>5.1467999999999998</v>
      </c>
      <c r="B192" s="21">
        <v>46212.420949594911</v>
      </c>
    </row>
    <row r="193" spans="1:2" x14ac:dyDescent="0.25">
      <c r="A193" s="38">
        <v>5.1551999999999998</v>
      </c>
      <c r="B193" s="21">
        <v>46211.544769062501</v>
      </c>
    </row>
    <row r="194" spans="1:2" x14ac:dyDescent="0.25">
      <c r="A194" s="38">
        <v>5.1626000000000003</v>
      </c>
      <c r="B194" s="21">
        <v>46211.544768009262</v>
      </c>
    </row>
    <row r="195" spans="1:2" x14ac:dyDescent="0.25">
      <c r="A195" s="38">
        <v>5.1597</v>
      </c>
      <c r="B195" s="21">
        <v>46211.502916504629</v>
      </c>
    </row>
    <row r="196" spans="1:2" x14ac:dyDescent="0.25">
      <c r="A196" s="38">
        <v>5.1529999999999996</v>
      </c>
      <c r="B196" s="21">
        <v>46211.465422106485</v>
      </c>
    </row>
    <row r="197" spans="1:2" x14ac:dyDescent="0.25">
      <c r="A197" s="38">
        <v>5.1455000000000002</v>
      </c>
      <c r="B197" s="21">
        <v>46211.419564282405</v>
      </c>
    </row>
    <row r="198" spans="1:2" x14ac:dyDescent="0.25">
      <c r="A198" s="38">
        <v>5.1458000000000004</v>
      </c>
      <c r="B198" s="21">
        <v>46210.546118715276</v>
      </c>
    </row>
    <row r="199" spans="1:2" x14ac:dyDescent="0.25">
      <c r="A199" s="38">
        <v>5.1506999999999996</v>
      </c>
      <c r="B199" s="21">
        <v>46210.546117534723</v>
      </c>
    </row>
    <row r="200" spans="1:2" x14ac:dyDescent="0.25">
      <c r="A200" s="38">
        <v>5.1432000000000002</v>
      </c>
      <c r="B200" s="21">
        <v>46210.507813807868</v>
      </c>
    </row>
    <row r="201" spans="1:2" x14ac:dyDescent="0.25">
      <c r="A201" s="38">
        <v>5.1456999999999997</v>
      </c>
      <c r="B201" s="21">
        <v>46210.463367060183</v>
      </c>
    </row>
    <row r="202" spans="1:2" x14ac:dyDescent="0.25">
      <c r="A202" s="38">
        <v>5.1436999999999999</v>
      </c>
      <c r="B202" s="21">
        <v>46210.423765208332</v>
      </c>
    </row>
    <row r="203" spans="1:2" x14ac:dyDescent="0.25">
      <c r="A203" s="38">
        <v>5.1669999999999998</v>
      </c>
      <c r="B203" s="21">
        <v>46209.548799247685</v>
      </c>
    </row>
    <row r="204" spans="1:2" x14ac:dyDescent="0.25">
      <c r="A204" s="38">
        <v>5.1524000000000001</v>
      </c>
      <c r="B204" s="21">
        <v>46209.548798032411</v>
      </c>
    </row>
    <row r="205" spans="1:2" x14ac:dyDescent="0.25">
      <c r="A205" s="38">
        <v>5.1680000000000001</v>
      </c>
      <c r="B205" s="21">
        <v>46209.504982152779</v>
      </c>
    </row>
    <row r="206" spans="1:2" x14ac:dyDescent="0.25">
      <c r="A206" s="38">
        <v>5.17</v>
      </c>
      <c r="B206" s="21">
        <v>46209.460577349535</v>
      </c>
    </row>
    <row r="207" spans="1:2" x14ac:dyDescent="0.25">
      <c r="A207" s="38">
        <v>5.1775000000000002</v>
      </c>
      <c r="B207" s="21">
        <v>46209.418353946756</v>
      </c>
    </row>
    <row r="208" spans="1:2" x14ac:dyDescent="0.25">
      <c r="A208" s="38">
        <v>5.1717000000000004</v>
      </c>
      <c r="B208" s="21">
        <v>46206.54769846065</v>
      </c>
    </row>
    <row r="209" spans="1:2" x14ac:dyDescent="0.25">
      <c r="A209" s="38">
        <v>5.1665000000000001</v>
      </c>
      <c r="B209" s="21">
        <v>46206.547698344904</v>
      </c>
    </row>
    <row r="210" spans="1:2" x14ac:dyDescent="0.25">
      <c r="A210" s="38">
        <v>5.1677999999999997</v>
      </c>
      <c r="B210" s="21">
        <v>46206.5071134838</v>
      </c>
    </row>
    <row r="211" spans="1:2" x14ac:dyDescent="0.25">
      <c r="A211" s="38">
        <v>5.1778000000000004</v>
      </c>
      <c r="B211" s="21">
        <v>46206.459952581019</v>
      </c>
    </row>
    <row r="212" spans="1:2" x14ac:dyDescent="0.25">
      <c r="A212" s="38">
        <v>5.1745999999999999</v>
      </c>
      <c r="B212" s="21">
        <v>46206.418919085649</v>
      </c>
    </row>
    <row r="213" spans="1:2" x14ac:dyDescent="0.25">
      <c r="A213" s="38">
        <v>5.1944999999999997</v>
      </c>
      <c r="B213" s="21">
        <v>46205.544061886576</v>
      </c>
    </row>
    <row r="214" spans="1:2" x14ac:dyDescent="0.25">
      <c r="A214" s="38">
        <v>5.1993</v>
      </c>
      <c r="B214" s="21">
        <v>46205.544060590277</v>
      </c>
    </row>
    <row r="215" spans="1:2" x14ac:dyDescent="0.25">
      <c r="A215" s="38">
        <v>5.2024999999999997</v>
      </c>
      <c r="B215" s="21">
        <v>46205.507063136574</v>
      </c>
    </row>
    <row r="216" spans="1:2" x14ac:dyDescent="0.25">
      <c r="A216" s="38">
        <v>5.1848000000000001</v>
      </c>
      <c r="B216" s="21">
        <v>46205.461921921298</v>
      </c>
    </row>
    <row r="217" spans="1:2" x14ac:dyDescent="0.25">
      <c r="A217" s="38">
        <v>5.1914999999999996</v>
      </c>
      <c r="B217" s="21">
        <v>46205.420992430554</v>
      </c>
    </row>
    <row r="218" spans="1:2" x14ac:dyDescent="0.25">
      <c r="A218" s="38">
        <v>5.1950000000000003</v>
      </c>
      <c r="B218" s="21">
        <v>46204.549514386577</v>
      </c>
    </row>
    <row r="219" spans="1:2" x14ac:dyDescent="0.25">
      <c r="A219" s="38">
        <v>5.1970000000000001</v>
      </c>
      <c r="B219" s="21">
        <v>46204.549513275466</v>
      </c>
    </row>
    <row r="220" spans="1:2" x14ac:dyDescent="0.25">
      <c r="A220" s="38">
        <v>5.2065000000000001</v>
      </c>
      <c r="B220" s="21">
        <v>46204.505703796298</v>
      </c>
    </row>
    <row r="221" spans="1:2" x14ac:dyDescent="0.25">
      <c r="A221" s="38">
        <v>5.1833999999999998</v>
      </c>
      <c r="B221" s="21">
        <v>46204.466126168983</v>
      </c>
    </row>
    <row r="222" spans="1:2" x14ac:dyDescent="0.25">
      <c r="A222" s="38">
        <v>5.1928999999999998</v>
      </c>
      <c r="B222" s="21">
        <v>46204.424445081022</v>
      </c>
    </row>
    <row r="223" spans="1:2" x14ac:dyDescent="0.25">
      <c r="A223" s="38">
        <v>5.1765999999999996</v>
      </c>
      <c r="B223" s="21">
        <v>46203.548154675926</v>
      </c>
    </row>
    <row r="224" spans="1:2" x14ac:dyDescent="0.25">
      <c r="A224" s="38">
        <v>5.1710000000000003</v>
      </c>
      <c r="B224" s="21">
        <v>46203.548154583332</v>
      </c>
    </row>
    <row r="225" spans="1:2" x14ac:dyDescent="0.25">
      <c r="A225" s="38">
        <v>5.1749000000000001</v>
      </c>
      <c r="B225" s="21">
        <v>46203.503641840274</v>
      </c>
    </row>
    <row r="226" spans="1:2" x14ac:dyDescent="0.25">
      <c r="A226" s="38">
        <v>5.1771000000000003</v>
      </c>
      <c r="B226" s="21">
        <v>46203.465277268515</v>
      </c>
    </row>
    <row r="227" spans="1:2" x14ac:dyDescent="0.25">
      <c r="A227" s="38">
        <v>5.1833999999999998</v>
      </c>
      <c r="B227" s="21">
        <v>46203.42031883102</v>
      </c>
    </row>
    <row r="228" spans="1:2" x14ac:dyDescent="0.25">
      <c r="A228" s="38">
        <v>5.1717000000000004</v>
      </c>
      <c r="B228" s="21">
        <v>46202.546515775466</v>
      </c>
    </row>
    <row r="229" spans="1:2" x14ac:dyDescent="0.25">
      <c r="A229" s="38">
        <v>5.1772999999999998</v>
      </c>
      <c r="B229" s="21">
        <v>46202.546515624999</v>
      </c>
    </row>
    <row r="230" spans="1:2" x14ac:dyDescent="0.25">
      <c r="A230" s="38">
        <v>5.1764000000000001</v>
      </c>
      <c r="B230" s="21">
        <v>46202.50289304398</v>
      </c>
    </row>
    <row r="231" spans="1:2" x14ac:dyDescent="0.25">
      <c r="A231" s="38">
        <v>5.1710000000000003</v>
      </c>
      <c r="B231" s="21">
        <v>46202.461963611109</v>
      </c>
    </row>
    <row r="232" spans="1:2" x14ac:dyDescent="0.25">
      <c r="A232" s="38">
        <v>5.1619000000000002</v>
      </c>
      <c r="B232" s="21">
        <v>46202.422348969907</v>
      </c>
    </row>
    <row r="233" spans="1:2" x14ac:dyDescent="0.25">
      <c r="A233" s="38">
        <v>5.1695000000000002</v>
      </c>
      <c r="B233" s="21">
        <v>46199.544715810189</v>
      </c>
    </row>
    <row r="234" spans="1:2" x14ac:dyDescent="0.25">
      <c r="A234" s="38">
        <v>5.1585999999999999</v>
      </c>
      <c r="B234" s="21">
        <v>46199.544714537034</v>
      </c>
    </row>
    <row r="235" spans="1:2" x14ac:dyDescent="0.25">
      <c r="A235" s="38">
        <v>5.1707000000000001</v>
      </c>
      <c r="B235" s="21">
        <v>46199.507078090275</v>
      </c>
    </row>
    <row r="236" spans="1:2" x14ac:dyDescent="0.25">
      <c r="A236" s="38">
        <v>5.1714000000000002</v>
      </c>
      <c r="B236" s="21">
        <v>46199.46056846065</v>
      </c>
    </row>
    <row r="237" spans="1:2" x14ac:dyDescent="0.25">
      <c r="A237" s="38">
        <v>5.1773999999999996</v>
      </c>
      <c r="B237" s="21">
        <v>46199.41891670139</v>
      </c>
    </row>
    <row r="238" spans="1:2" x14ac:dyDescent="0.25">
      <c r="A238" s="38">
        <v>5.1891999999999996</v>
      </c>
      <c r="B238" s="21">
        <v>46198.548876817127</v>
      </c>
    </row>
    <row r="239" spans="1:2" x14ac:dyDescent="0.25">
      <c r="A239" s="38">
        <v>5.1692999999999998</v>
      </c>
      <c r="B239" s="21">
        <v>46198.548875636574</v>
      </c>
    </row>
    <row r="240" spans="1:2" x14ac:dyDescent="0.25">
      <c r="A240" s="38">
        <v>5.1901999999999999</v>
      </c>
      <c r="B240" s="21">
        <v>46198.501674421299</v>
      </c>
    </row>
    <row r="241" spans="1:2" x14ac:dyDescent="0.25">
      <c r="A241" s="38">
        <v>5.1905999999999999</v>
      </c>
      <c r="B241" s="21">
        <v>46198.462674513888</v>
      </c>
    </row>
    <row r="242" spans="1:2" x14ac:dyDescent="0.25">
      <c r="A242" s="38">
        <v>5.2066999999999997</v>
      </c>
      <c r="B242" s="21">
        <v>46198.422336319447</v>
      </c>
    </row>
    <row r="243" spans="1:2" x14ac:dyDescent="0.25">
      <c r="A243" s="38">
        <v>5.2098000000000004</v>
      </c>
      <c r="B243" s="21">
        <v>46197.547437569447</v>
      </c>
    </row>
    <row r="244" spans="1:2" x14ac:dyDescent="0.25">
      <c r="A244" s="38">
        <v>5.2084999999999999</v>
      </c>
      <c r="B244" s="21">
        <v>46197.547435370368</v>
      </c>
    </row>
    <row r="245" spans="1:2" x14ac:dyDescent="0.25">
      <c r="A245" s="38">
        <v>5.2114000000000003</v>
      </c>
      <c r="B245" s="21">
        <v>46197.504304479167</v>
      </c>
    </row>
    <row r="246" spans="1:2" x14ac:dyDescent="0.25">
      <c r="A246" s="38">
        <v>5.2039</v>
      </c>
      <c r="B246" s="21">
        <v>46197.461951550926</v>
      </c>
    </row>
    <row r="247" spans="1:2" x14ac:dyDescent="0.25">
      <c r="A247" s="38">
        <v>5.2153999999999998</v>
      </c>
      <c r="B247" s="21">
        <v>46197.419583379633</v>
      </c>
    </row>
    <row r="248" spans="1:2" x14ac:dyDescent="0.25">
      <c r="A248" s="38">
        <v>5.1742999999999997</v>
      </c>
      <c r="B248" s="21">
        <v>46196.547259837964</v>
      </c>
    </row>
    <row r="249" spans="1:2" x14ac:dyDescent="0.25">
      <c r="A249" s="38">
        <v>5.1821000000000002</v>
      </c>
      <c r="B249" s="21">
        <v>46196.547258634258</v>
      </c>
    </row>
    <row r="250" spans="1:2" x14ac:dyDescent="0.25">
      <c r="A250" s="38">
        <v>5.1741999999999999</v>
      </c>
      <c r="B250" s="21">
        <v>46196.501555104165</v>
      </c>
    </row>
    <row r="251" spans="1:2" x14ac:dyDescent="0.25">
      <c r="A251" s="38">
        <v>5.1712999999999996</v>
      </c>
      <c r="B251" s="21">
        <v>46196.463335717592</v>
      </c>
    </row>
    <row r="252" spans="1:2" x14ac:dyDescent="0.25">
      <c r="A252" s="38">
        <v>5.1696</v>
      </c>
      <c r="B252" s="21">
        <v>46196.424443460652</v>
      </c>
    </row>
    <row r="253" spans="1:2" x14ac:dyDescent="0.25">
      <c r="A253" s="38">
        <v>5.1395</v>
      </c>
      <c r="B253" s="21">
        <v>46195.546061921297</v>
      </c>
    </row>
    <row r="254" spans="1:2" x14ac:dyDescent="0.25">
      <c r="A254" s="38">
        <v>5.1337999999999999</v>
      </c>
      <c r="B254" s="21">
        <v>46195.546060694447</v>
      </c>
    </row>
    <row r="255" spans="1:2" x14ac:dyDescent="0.25">
      <c r="A255" s="38">
        <v>5.133</v>
      </c>
      <c r="B255" s="21">
        <v>46195.502937569443</v>
      </c>
    </row>
    <row r="256" spans="1:2" x14ac:dyDescent="0.25">
      <c r="A256" s="38">
        <v>5.14</v>
      </c>
      <c r="B256" s="21">
        <v>46195.466114988427</v>
      </c>
    </row>
    <row r="257" spans="1:2" x14ac:dyDescent="0.25">
      <c r="A257" s="38">
        <v>5.1509999999999998</v>
      </c>
      <c r="B257" s="21">
        <v>46195.418903298611</v>
      </c>
    </row>
    <row r="258" spans="1:2" x14ac:dyDescent="0.25">
      <c r="A258" s="38">
        <v>5.1441999999999997</v>
      </c>
      <c r="B258" s="21">
        <v>46192.544045775459</v>
      </c>
    </row>
    <row r="259" spans="1:2" x14ac:dyDescent="0.25">
      <c r="A259" s="38">
        <v>5.1436999999999999</v>
      </c>
      <c r="B259" s="21">
        <v>46192.544044571761</v>
      </c>
    </row>
    <row r="260" spans="1:2" x14ac:dyDescent="0.25">
      <c r="A260" s="38">
        <v>5.1356999999999999</v>
      </c>
      <c r="B260" s="21">
        <v>46192.502193900465</v>
      </c>
    </row>
    <row r="261" spans="1:2" x14ac:dyDescent="0.25">
      <c r="A261" s="38">
        <v>5.1437999999999997</v>
      </c>
      <c r="B261" s="21">
        <v>46192.464001863424</v>
      </c>
    </row>
    <row r="262" spans="1:2" x14ac:dyDescent="0.25">
      <c r="A262" s="38">
        <v>5.1535000000000002</v>
      </c>
      <c r="B262" s="21">
        <v>46192.433611111112</v>
      </c>
    </row>
    <row r="263" spans="1:2" x14ac:dyDescent="0.25">
      <c r="A263" s="38">
        <v>5.1612999999999998</v>
      </c>
      <c r="B263" s="21">
        <v>46191.549671875</v>
      </c>
    </row>
    <row r="264" spans="1:2" x14ac:dyDescent="0.25">
      <c r="A264" s="38">
        <v>5.1787000000000001</v>
      </c>
      <c r="B264" s="21">
        <v>46191.549670613429</v>
      </c>
    </row>
    <row r="265" spans="1:2" x14ac:dyDescent="0.25">
      <c r="A265" s="38">
        <v>5.1618000000000004</v>
      </c>
      <c r="B265" s="21">
        <v>46191.501556145835</v>
      </c>
    </row>
    <row r="266" spans="1:2" x14ac:dyDescent="0.25">
      <c r="A266" s="38">
        <v>5.1637000000000004</v>
      </c>
      <c r="B266" s="21">
        <v>46191.46400295139</v>
      </c>
    </row>
    <row r="267" spans="1:2" x14ac:dyDescent="0.25">
      <c r="A267" s="38">
        <v>5.1407999999999996</v>
      </c>
      <c r="B267" s="21">
        <v>46191.420947326391</v>
      </c>
    </row>
    <row r="268" spans="1:2" x14ac:dyDescent="0.25">
      <c r="A268" s="38">
        <v>5.0640999999999998</v>
      </c>
      <c r="B268" s="21">
        <v>46190.544906747687</v>
      </c>
    </row>
    <row r="269" spans="1:2" x14ac:dyDescent="0.25">
      <c r="A269" s="38">
        <v>5.0585000000000004</v>
      </c>
      <c r="B269" s="21">
        <v>46190.544905578703</v>
      </c>
    </row>
    <row r="270" spans="1:2" x14ac:dyDescent="0.25">
      <c r="A270" s="38">
        <v>5.0606</v>
      </c>
      <c r="B270" s="21">
        <v>46190.502250555553</v>
      </c>
    </row>
    <row r="271" spans="1:2" x14ac:dyDescent="0.25">
      <c r="A271" s="38">
        <v>5.0664999999999996</v>
      </c>
      <c r="B271" s="21">
        <v>46190.463340694441</v>
      </c>
    </row>
    <row r="272" spans="1:2" x14ac:dyDescent="0.25">
      <c r="A272" s="38">
        <v>5.0705999999999998</v>
      </c>
      <c r="B272" s="21">
        <v>46190.424461238428</v>
      </c>
    </row>
    <row r="273" spans="1:2" x14ac:dyDescent="0.25">
      <c r="A273" s="38">
        <v>5.0780000000000003</v>
      </c>
      <c r="B273" s="21">
        <v>46189.547432743057</v>
      </c>
    </row>
    <row r="274" spans="1:2" x14ac:dyDescent="0.25">
      <c r="A274" s="38">
        <v>5.0796999999999999</v>
      </c>
      <c r="B274" s="21">
        <v>46189.547432546293</v>
      </c>
    </row>
    <row r="275" spans="1:2" x14ac:dyDescent="0.25">
      <c r="A275" s="38">
        <v>5.0903</v>
      </c>
      <c r="B275" s="21">
        <v>46189.50706314815</v>
      </c>
    </row>
    <row r="276" spans="1:2" x14ac:dyDescent="0.25">
      <c r="A276" s="38">
        <v>5.0739000000000001</v>
      </c>
      <c r="B276" s="21">
        <v>46189.461954398146</v>
      </c>
    </row>
    <row r="277" spans="1:2" x14ac:dyDescent="0.25">
      <c r="A277" s="38">
        <v>5.0678999999999998</v>
      </c>
      <c r="B277" s="21">
        <v>46189.424440358795</v>
      </c>
    </row>
    <row r="278" spans="1:2" x14ac:dyDescent="0.25">
      <c r="A278" s="38">
        <v>5.0430000000000001</v>
      </c>
      <c r="B278" s="21">
        <v>46188.545966898149</v>
      </c>
    </row>
    <row r="279" spans="1:2" x14ac:dyDescent="0.25">
      <c r="A279" s="38">
        <v>5.0568</v>
      </c>
      <c r="B279" s="21">
        <v>46188.545965717596</v>
      </c>
    </row>
    <row r="280" spans="1:2" x14ac:dyDescent="0.25">
      <c r="A280" s="38">
        <v>5.0446999999999997</v>
      </c>
      <c r="B280" s="21">
        <v>46188.504978564815</v>
      </c>
    </row>
    <row r="281" spans="1:2" x14ac:dyDescent="0.25">
      <c r="A281" s="38">
        <v>5.0355999999999996</v>
      </c>
      <c r="B281" s="21">
        <v>46188.462938055556</v>
      </c>
    </row>
    <row r="282" spans="1:2" x14ac:dyDescent="0.25">
      <c r="A282" s="38">
        <v>5.0350000000000001</v>
      </c>
      <c r="B282" s="21">
        <v>46188.422358206015</v>
      </c>
    </row>
    <row r="283" spans="1:2" x14ac:dyDescent="0.25">
      <c r="A283" s="38">
        <v>5.0827</v>
      </c>
      <c r="B283" s="21">
        <v>46185.549173831016</v>
      </c>
    </row>
    <row r="284" spans="1:2" x14ac:dyDescent="0.25">
      <c r="A284" s="38">
        <v>5.0769000000000002</v>
      </c>
      <c r="B284" s="21">
        <v>46185.5491725463</v>
      </c>
    </row>
    <row r="285" spans="1:2" x14ac:dyDescent="0.25">
      <c r="A285" s="38">
        <v>5.0738000000000003</v>
      </c>
      <c r="B285" s="21">
        <v>46185.510511701388</v>
      </c>
    </row>
    <row r="286" spans="1:2" x14ac:dyDescent="0.25">
      <c r="A286" s="38">
        <v>5.0792000000000002</v>
      </c>
      <c r="B286" s="21">
        <v>46185.463255162038</v>
      </c>
    </row>
    <row r="287" spans="1:2" x14ac:dyDescent="0.25">
      <c r="A287" s="38">
        <v>5.1006999999999998</v>
      </c>
      <c r="B287" s="21">
        <v>46185.424412210647</v>
      </c>
    </row>
    <row r="288" spans="1:2" x14ac:dyDescent="0.25">
      <c r="A288" s="38">
        <v>5.1478000000000002</v>
      </c>
      <c r="B288" s="21">
        <v>46184.548056840278</v>
      </c>
    </row>
    <row r="289" spans="1:2" x14ac:dyDescent="0.25">
      <c r="A289" s="38">
        <v>5.1464999999999996</v>
      </c>
      <c r="B289" s="21">
        <v>46184.548055613428</v>
      </c>
    </row>
    <row r="290" spans="1:2" x14ac:dyDescent="0.25">
      <c r="A290" s="38">
        <v>5.1414</v>
      </c>
      <c r="B290" s="21">
        <v>46184.504864606482</v>
      </c>
    </row>
    <row r="291" spans="1:2" x14ac:dyDescent="0.25">
      <c r="A291" s="38">
        <v>5.1398999999999999</v>
      </c>
      <c r="B291" s="21">
        <v>46184.464746712962</v>
      </c>
    </row>
    <row r="292" spans="1:2" x14ac:dyDescent="0.25">
      <c r="A292" s="38">
        <v>5.1635</v>
      </c>
      <c r="B292" s="21">
        <v>46184.426318344907</v>
      </c>
    </row>
    <row r="293" spans="1:2" x14ac:dyDescent="0.25">
      <c r="A293" s="38">
        <v>5.1763000000000003</v>
      </c>
      <c r="B293" s="21">
        <v>46183.550579120369</v>
      </c>
    </row>
    <row r="294" spans="1:2" x14ac:dyDescent="0.25">
      <c r="A294" s="38">
        <v>5.1755000000000004</v>
      </c>
      <c r="B294" s="21">
        <v>46183.550578171293</v>
      </c>
    </row>
    <row r="295" spans="1:2" x14ac:dyDescent="0.25">
      <c r="A295" s="38">
        <v>5.181</v>
      </c>
      <c r="B295" s="21">
        <v>46183.506913495374</v>
      </c>
    </row>
    <row r="296" spans="1:2" x14ac:dyDescent="0.25">
      <c r="A296" s="38">
        <v>5.1666999999999996</v>
      </c>
      <c r="B296" s="21">
        <v>46183.463381284724</v>
      </c>
    </row>
    <row r="297" spans="1:2" x14ac:dyDescent="0.25">
      <c r="A297" s="38">
        <v>5.1821000000000002</v>
      </c>
      <c r="B297" s="21">
        <v>46183.422988645834</v>
      </c>
    </row>
    <row r="298" spans="1:2" x14ac:dyDescent="0.25">
      <c r="A298" s="38">
        <v>5.1692999999999998</v>
      </c>
      <c r="B298" s="21">
        <v>46182.550061435184</v>
      </c>
    </row>
    <row r="299" spans="1:2" x14ac:dyDescent="0.25">
      <c r="A299" s="38">
        <v>5.1798999999999999</v>
      </c>
      <c r="B299" s="21">
        <v>46182.550060243055</v>
      </c>
    </row>
    <row r="300" spans="1:2" x14ac:dyDescent="0.25">
      <c r="A300" s="38">
        <v>5.1738999999999997</v>
      </c>
      <c r="B300" s="21">
        <v>46182.506405185188</v>
      </c>
    </row>
    <row r="301" spans="1:2" x14ac:dyDescent="0.25">
      <c r="A301" s="38">
        <v>5.1646000000000001</v>
      </c>
      <c r="B301" s="21">
        <v>46182.462564884256</v>
      </c>
    </row>
    <row r="302" spans="1:2" x14ac:dyDescent="0.25">
      <c r="A302" s="38">
        <v>5.1589</v>
      </c>
      <c r="B302" s="21">
        <v>46182.422775694446</v>
      </c>
    </row>
    <row r="303" spans="1:2" x14ac:dyDescent="0.25">
      <c r="A303" s="38">
        <v>5.1695000000000002</v>
      </c>
      <c r="B303" s="21">
        <v>46181.54408388889</v>
      </c>
    </row>
    <row r="304" spans="1:2" x14ac:dyDescent="0.25">
      <c r="A304" s="38">
        <v>5.1702000000000004</v>
      </c>
      <c r="B304" s="21">
        <v>46181.544083773151</v>
      </c>
    </row>
    <row r="305" spans="1:2" x14ac:dyDescent="0.25">
      <c r="A305" s="38">
        <v>5.1750999999999996</v>
      </c>
      <c r="B305" s="21">
        <v>46181.507237835649</v>
      </c>
    </row>
    <row r="306" spans="1:2" x14ac:dyDescent="0.25">
      <c r="A306" s="38">
        <v>5.1771000000000003</v>
      </c>
      <c r="B306" s="21">
        <v>46181.465573773145</v>
      </c>
    </row>
    <row r="307" spans="1:2" x14ac:dyDescent="0.25">
      <c r="A307" s="38">
        <v>5.1554000000000002</v>
      </c>
      <c r="B307" s="21">
        <v>46181.421153240743</v>
      </c>
    </row>
    <row r="308" spans="1:2" x14ac:dyDescent="0.25">
      <c r="A308" s="38">
        <v>5.1243999999999996</v>
      </c>
      <c r="B308" s="21">
        <v>46178.54419335648</v>
      </c>
    </row>
    <row r="309" spans="1:2" x14ac:dyDescent="0.25">
      <c r="A309" s="38">
        <v>5.1459999999999999</v>
      </c>
      <c r="B309" s="21">
        <v>46178.544193310183</v>
      </c>
    </row>
    <row r="310" spans="1:2" x14ac:dyDescent="0.25">
      <c r="A310" s="38">
        <v>5.1241000000000003</v>
      </c>
      <c r="B310" s="21">
        <v>46178.502382812498</v>
      </c>
    </row>
    <row r="311" spans="1:2" x14ac:dyDescent="0.25">
      <c r="A311" s="38">
        <v>5.1203000000000003</v>
      </c>
      <c r="B311" s="21">
        <v>46178.464841504632</v>
      </c>
    </row>
    <row r="312" spans="1:2" x14ac:dyDescent="0.25">
      <c r="A312" s="38">
        <v>5.1071</v>
      </c>
      <c r="B312" s="21">
        <v>46178.42252925926</v>
      </c>
    </row>
    <row r="313" spans="1:2" x14ac:dyDescent="0.25">
      <c r="A313" s="38">
        <v>5.0415000000000001</v>
      </c>
      <c r="B313" s="21">
        <v>46176.546140509257</v>
      </c>
    </row>
    <row r="314" spans="1:2" x14ac:dyDescent="0.25">
      <c r="A314" s="38">
        <v>5.0469999999999997</v>
      </c>
      <c r="B314" s="21">
        <v>46176.54614042824</v>
      </c>
    </row>
    <row r="315" spans="1:2" x14ac:dyDescent="0.25">
      <c r="A315" s="38">
        <v>5.0407999999999999</v>
      </c>
      <c r="B315" s="21">
        <v>46176.50723166667</v>
      </c>
    </row>
    <row r="316" spans="1:2" x14ac:dyDescent="0.25">
      <c r="A316" s="38">
        <v>5.0472999999999999</v>
      </c>
      <c r="B316" s="21">
        <v>46176.465581412034</v>
      </c>
    </row>
    <row r="317" spans="1:2" x14ac:dyDescent="0.25">
      <c r="A317" s="38">
        <v>5.0308999999999999</v>
      </c>
      <c r="B317" s="21">
        <v>46176.421826006947</v>
      </c>
    </row>
    <row r="318" spans="1:2" x14ac:dyDescent="0.25">
      <c r="A318" s="38">
        <v>5.016</v>
      </c>
      <c r="B318" s="21">
        <v>46175.548966562499</v>
      </c>
    </row>
    <row r="319" spans="1:2" x14ac:dyDescent="0.25">
      <c r="A319" s="38">
        <v>5.0156000000000001</v>
      </c>
      <c r="B319" s="21">
        <v>46175.54896644676</v>
      </c>
    </row>
    <row r="320" spans="1:2" x14ac:dyDescent="0.25">
      <c r="A320" s="38">
        <v>5.0151000000000003</v>
      </c>
      <c r="B320" s="21">
        <v>46175.505164872688</v>
      </c>
    </row>
    <row r="321" spans="1:2" x14ac:dyDescent="0.25">
      <c r="A321" s="38">
        <v>5.0195999999999996</v>
      </c>
      <c r="B321" s="21">
        <v>46175.46626695602</v>
      </c>
    </row>
    <row r="322" spans="1:2" x14ac:dyDescent="0.25">
      <c r="A322" s="38">
        <v>5.0136000000000003</v>
      </c>
      <c r="B322" s="21">
        <v>46175.423232534726</v>
      </c>
    </row>
    <row r="323" spans="1:2" x14ac:dyDescent="0.25">
      <c r="A323" s="38">
        <v>5.0303000000000004</v>
      </c>
      <c r="B323" s="21">
        <v>46174.549625347223</v>
      </c>
    </row>
    <row r="324" spans="1:2" x14ac:dyDescent="0.25">
      <c r="A324" s="38">
        <v>5.0346000000000002</v>
      </c>
      <c r="B324" s="21">
        <v>46174.549625219908</v>
      </c>
    </row>
    <row r="325" spans="1:2" x14ac:dyDescent="0.25">
      <c r="A325" s="38">
        <v>5.0266000000000002</v>
      </c>
      <c r="B325" s="21">
        <v>46174.503063969911</v>
      </c>
    </row>
    <row r="326" spans="1:2" x14ac:dyDescent="0.25">
      <c r="A326" s="38">
        <v>5.0381</v>
      </c>
      <c r="B326" s="21">
        <v>46174.466268414355</v>
      </c>
    </row>
    <row r="327" spans="1:2" x14ac:dyDescent="0.25">
      <c r="A327" s="38">
        <v>5.0217000000000001</v>
      </c>
      <c r="B327" s="21">
        <v>46174.421823217592</v>
      </c>
    </row>
    <row r="328" spans="1:2" x14ac:dyDescent="0.25">
      <c r="A328" s="38">
        <v>5.0568999999999997</v>
      </c>
      <c r="B328" s="21">
        <v>46171.548919097222</v>
      </c>
    </row>
    <row r="329" spans="1:2" x14ac:dyDescent="0.25">
      <c r="A329" s="38">
        <v>5.0583999999999998</v>
      </c>
      <c r="B329" s="21">
        <v>46171.548919004628</v>
      </c>
    </row>
    <row r="330" spans="1:2" x14ac:dyDescent="0.25">
      <c r="A330" s="38">
        <v>5.0575999999999999</v>
      </c>
      <c r="B330" s="21">
        <v>46171.505844733794</v>
      </c>
    </row>
    <row r="331" spans="1:2" x14ac:dyDescent="0.25">
      <c r="A331" s="38">
        <v>5.0563000000000002</v>
      </c>
      <c r="B331" s="21">
        <v>46171.465571550929</v>
      </c>
    </row>
    <row r="332" spans="1:2" x14ac:dyDescent="0.25">
      <c r="A332" s="38">
        <v>5.0552999999999999</v>
      </c>
      <c r="B332" s="21">
        <v>46171.419038402775</v>
      </c>
    </row>
    <row r="333" spans="1:2" x14ac:dyDescent="0.25">
      <c r="A333" s="38">
        <v>5.0517000000000003</v>
      </c>
      <c r="B333" s="21">
        <v>46170.547410011575</v>
      </c>
    </row>
    <row r="334" spans="1:2" x14ac:dyDescent="0.25">
      <c r="A334" s="38">
        <v>5.0472000000000001</v>
      </c>
      <c r="B334" s="21">
        <v>46170.547409965278</v>
      </c>
    </row>
    <row r="335" spans="1:2" x14ac:dyDescent="0.25">
      <c r="A335" s="38">
        <v>5.0427</v>
      </c>
      <c r="B335" s="21">
        <v>46170.507929340281</v>
      </c>
    </row>
    <row r="336" spans="1:2" x14ac:dyDescent="0.25">
      <c r="A336" s="38">
        <v>5.0627000000000004</v>
      </c>
      <c r="B336" s="21">
        <v>46170.460531620367</v>
      </c>
    </row>
    <row r="337" spans="1:2" x14ac:dyDescent="0.25">
      <c r="A337" s="38">
        <v>5.0541999999999998</v>
      </c>
      <c r="B337" s="21">
        <v>46170.42113263889</v>
      </c>
    </row>
    <row r="338" spans="1:2" x14ac:dyDescent="0.25">
      <c r="A338" s="38">
        <v>5.0579000000000001</v>
      </c>
      <c r="B338" s="21">
        <v>46169.543397638889</v>
      </c>
    </row>
    <row r="339" spans="1:2" x14ac:dyDescent="0.25">
      <c r="A339" s="38">
        <v>5.0621</v>
      </c>
      <c r="B339" s="21">
        <v>46169.543397534719</v>
      </c>
    </row>
    <row r="340" spans="1:2" x14ac:dyDescent="0.25">
      <c r="A340" s="38">
        <v>5.0585000000000004</v>
      </c>
      <c r="B340" s="21">
        <v>46169.507230787036</v>
      </c>
    </row>
    <row r="341" spans="1:2" x14ac:dyDescent="0.25">
      <c r="A341" s="38">
        <v>5.0609999999999999</v>
      </c>
      <c r="B341" s="21">
        <v>46169.466269583332</v>
      </c>
    </row>
    <row r="342" spans="1:2" x14ac:dyDescent="0.25">
      <c r="A342" s="38">
        <v>5.05</v>
      </c>
      <c r="B342" s="21">
        <v>46169.420453263891</v>
      </c>
    </row>
    <row r="343" spans="1:2" x14ac:dyDescent="0.25">
      <c r="A343" s="38">
        <v>5.0210999999999997</v>
      </c>
      <c r="B343" s="21">
        <v>46168.546826481484</v>
      </c>
    </row>
    <row r="344" spans="1:2" x14ac:dyDescent="0.25">
      <c r="A344" s="38">
        <v>5.0282999999999998</v>
      </c>
      <c r="B344" s="21">
        <v>46168.546826412035</v>
      </c>
    </row>
    <row r="345" spans="1:2" x14ac:dyDescent="0.25">
      <c r="A345" s="38">
        <v>5.0239000000000003</v>
      </c>
      <c r="B345" s="21">
        <v>46168.502378472222</v>
      </c>
    </row>
    <row r="346" spans="1:2" x14ac:dyDescent="0.25">
      <c r="A346" s="38">
        <v>5.0218999999999996</v>
      </c>
      <c r="B346" s="21">
        <v>46168.465600659722</v>
      </c>
    </row>
    <row r="347" spans="1:2" x14ac:dyDescent="0.25">
      <c r="A347" s="38">
        <v>5.0103999999999997</v>
      </c>
      <c r="B347" s="21">
        <v>46168.423914502317</v>
      </c>
    </row>
    <row r="348" spans="1:2" x14ac:dyDescent="0.25">
      <c r="A348" s="38">
        <v>5.0072000000000001</v>
      </c>
      <c r="B348" s="21">
        <v>46167.546192881942</v>
      </c>
    </row>
    <row r="349" spans="1:2" x14ac:dyDescent="0.25">
      <c r="A349" s="38">
        <v>5.0061</v>
      </c>
      <c r="B349" s="21">
        <v>46167.546192800924</v>
      </c>
    </row>
    <row r="350" spans="1:2" x14ac:dyDescent="0.25">
      <c r="A350" s="38">
        <v>5.0091000000000001</v>
      </c>
      <c r="B350" s="21">
        <v>46167.505861168982</v>
      </c>
    </row>
    <row r="351" spans="1:2" x14ac:dyDescent="0.25">
      <c r="A351" s="38">
        <v>5.0114999999999998</v>
      </c>
      <c r="B351" s="21">
        <v>46167.462127893516</v>
      </c>
    </row>
    <row r="352" spans="1:2" x14ac:dyDescent="0.25">
      <c r="A352" s="38">
        <v>5.0021000000000004</v>
      </c>
      <c r="B352" s="21">
        <v>46167.420475405095</v>
      </c>
    </row>
    <row r="353" spans="1:2" x14ac:dyDescent="0.25">
      <c r="A353" s="38">
        <v>5.0140000000000002</v>
      </c>
      <c r="B353" s="21">
        <v>46164.546145219909</v>
      </c>
    </row>
    <row r="354" spans="1:2" x14ac:dyDescent="0.25">
      <c r="A354" s="38">
        <v>5.0227000000000004</v>
      </c>
      <c r="B354" s="21">
        <v>46164.54614515046</v>
      </c>
    </row>
    <row r="355" spans="1:2" x14ac:dyDescent="0.25">
      <c r="A355" s="38">
        <v>5.0199999999999996</v>
      </c>
      <c r="B355" s="21">
        <v>46164.505854571762</v>
      </c>
    </row>
    <row r="356" spans="1:2" x14ac:dyDescent="0.25">
      <c r="A356" s="38">
        <v>5.0151000000000003</v>
      </c>
      <c r="B356" s="21">
        <v>46164.462801643516</v>
      </c>
    </row>
    <row r="357" spans="1:2" x14ac:dyDescent="0.25">
      <c r="A357" s="38">
        <v>4.9981999999999998</v>
      </c>
      <c r="B357" s="21">
        <v>46164.418380810188</v>
      </c>
    </row>
    <row r="358" spans="1:2" x14ac:dyDescent="0.25">
      <c r="A358" s="38">
        <v>5.0076999999999998</v>
      </c>
      <c r="B358" s="21">
        <v>46163.547523680558</v>
      </c>
    </row>
    <row r="359" spans="1:2" x14ac:dyDescent="0.25">
      <c r="A359" s="38">
        <v>5.0039999999999996</v>
      </c>
      <c r="B359" s="21">
        <v>46163.547523611109</v>
      </c>
    </row>
    <row r="360" spans="1:2" x14ac:dyDescent="0.25">
      <c r="A360" s="38">
        <v>5.0075000000000003</v>
      </c>
      <c r="B360" s="21">
        <v>46163.501693333332</v>
      </c>
    </row>
    <row r="361" spans="1:2" x14ac:dyDescent="0.25">
      <c r="A361" s="38">
        <v>5.0088999999999997</v>
      </c>
      <c r="B361" s="21">
        <v>46163.462098935182</v>
      </c>
    </row>
    <row r="362" spans="1:2" x14ac:dyDescent="0.25">
      <c r="A362" s="38">
        <v>5.0103999999999997</v>
      </c>
      <c r="B362" s="21">
        <v>46163.423219004631</v>
      </c>
    </row>
    <row r="363" spans="1:2" x14ac:dyDescent="0.25">
      <c r="A363" s="38">
        <v>5.0301</v>
      </c>
      <c r="B363" s="21">
        <v>46162.545460034722</v>
      </c>
    </row>
    <row r="364" spans="1:2" x14ac:dyDescent="0.25">
      <c r="A364" s="38">
        <v>5.0148000000000001</v>
      </c>
      <c r="B364" s="21">
        <v>46162.545459942128</v>
      </c>
    </row>
    <row r="365" spans="1:2" x14ac:dyDescent="0.25">
      <c r="A365" s="38">
        <v>5.0156999999999998</v>
      </c>
      <c r="B365" s="21">
        <v>46162.504469375002</v>
      </c>
    </row>
    <row r="366" spans="1:2" x14ac:dyDescent="0.25">
      <c r="A366" s="38">
        <v>5.0416999999999996</v>
      </c>
      <c r="B366" s="21">
        <v>46162.463492615738</v>
      </c>
    </row>
    <row r="367" spans="1:2" x14ac:dyDescent="0.25">
      <c r="A367" s="38">
        <v>5.0481999999999996</v>
      </c>
      <c r="B367" s="21">
        <v>46162.420454421299</v>
      </c>
    </row>
    <row r="368" spans="1:2" x14ac:dyDescent="0.25">
      <c r="A368" s="38">
        <v>5.0377999999999998</v>
      </c>
      <c r="B368" s="21">
        <v>46161.548216817129</v>
      </c>
    </row>
    <row r="369" spans="1:2" x14ac:dyDescent="0.25">
      <c r="A369" s="38">
        <v>5.0473999999999997</v>
      </c>
      <c r="B369" s="21">
        <v>46161.548216736111</v>
      </c>
    </row>
    <row r="370" spans="1:2" x14ac:dyDescent="0.25">
      <c r="A370" s="38">
        <v>5.0486000000000004</v>
      </c>
      <c r="B370" s="21">
        <v>46161.507186226852</v>
      </c>
    </row>
    <row r="371" spans="1:2" x14ac:dyDescent="0.25">
      <c r="A371" s="38">
        <v>5.0233999999999996</v>
      </c>
      <c r="B371" s="21">
        <v>46161.463492835646</v>
      </c>
    </row>
    <row r="372" spans="1:2" x14ac:dyDescent="0.25">
      <c r="A372" s="38">
        <v>5.0317999999999996</v>
      </c>
      <c r="B372" s="21">
        <v>46161.423220902776</v>
      </c>
    </row>
    <row r="373" spans="1:2" x14ac:dyDescent="0.25">
      <c r="A373" s="38">
        <v>5.0092999999999996</v>
      </c>
      <c r="B373" s="21">
        <v>46160.544744930557</v>
      </c>
    </row>
    <row r="374" spans="1:2" x14ac:dyDescent="0.25">
      <c r="A374" s="38">
        <v>5.0061999999999998</v>
      </c>
      <c r="B374" s="21">
        <v>46160.544744837964</v>
      </c>
    </row>
    <row r="375" spans="1:2" x14ac:dyDescent="0.25">
      <c r="A375" s="38">
        <v>5.0118</v>
      </c>
      <c r="B375" s="21">
        <v>46160.507936712966</v>
      </c>
    </row>
    <row r="376" spans="1:2" x14ac:dyDescent="0.25">
      <c r="A376" s="38">
        <v>5.0107999999999997</v>
      </c>
      <c r="B376" s="21">
        <v>46160.463495162039</v>
      </c>
    </row>
    <row r="377" spans="1:2" x14ac:dyDescent="0.25">
      <c r="A377" s="38">
        <v>5.0084</v>
      </c>
      <c r="B377" s="21">
        <v>46160.42114215278</v>
      </c>
    </row>
    <row r="378" spans="1:2" x14ac:dyDescent="0.25">
      <c r="A378" s="38">
        <v>5.0654000000000003</v>
      </c>
      <c r="B378" s="21">
        <v>46157.547539259256</v>
      </c>
    </row>
    <row r="379" spans="1:2" x14ac:dyDescent="0.25">
      <c r="A379" s="38">
        <v>5.0708000000000002</v>
      </c>
      <c r="B379" s="21">
        <v>46157.547539178238</v>
      </c>
    </row>
    <row r="380" spans="1:2" x14ac:dyDescent="0.25">
      <c r="A380" s="38">
        <v>5.0674000000000001</v>
      </c>
      <c r="B380" s="21">
        <v>46157.503082986113</v>
      </c>
    </row>
    <row r="381" spans="1:2" x14ac:dyDescent="0.25">
      <c r="A381" s="38">
        <v>5.0682999999999998</v>
      </c>
      <c r="B381" s="21">
        <v>46157.464183518518</v>
      </c>
    </row>
    <row r="382" spans="1:2" x14ac:dyDescent="0.25">
      <c r="A382" s="38">
        <v>5.0551000000000004</v>
      </c>
      <c r="B382" s="21">
        <v>46157.42461490741</v>
      </c>
    </row>
    <row r="383" spans="1:2" x14ac:dyDescent="0.25">
      <c r="A383" s="38">
        <v>4.9809000000000001</v>
      </c>
      <c r="B383" s="21">
        <v>46156.543925717589</v>
      </c>
    </row>
    <row r="384" spans="1:2" x14ac:dyDescent="0.25">
      <c r="A384" s="38">
        <v>4.9786000000000001</v>
      </c>
      <c r="B384" s="21">
        <v>46156.543925625003</v>
      </c>
    </row>
    <row r="385" spans="1:2" x14ac:dyDescent="0.25">
      <c r="A385" s="38">
        <v>4.9823000000000004</v>
      </c>
      <c r="B385" s="21">
        <v>46156.504459687501</v>
      </c>
    </row>
    <row r="386" spans="1:2" x14ac:dyDescent="0.25">
      <c r="A386" s="38">
        <v>4.9836</v>
      </c>
      <c r="B386" s="21">
        <v>46156.464885023146</v>
      </c>
    </row>
    <row r="387" spans="1:2" x14ac:dyDescent="0.25">
      <c r="A387" s="38">
        <v>4.9791999999999996</v>
      </c>
      <c r="B387" s="21">
        <v>46156.421127662034</v>
      </c>
    </row>
    <row r="388" spans="1:2" x14ac:dyDescent="0.25">
      <c r="A388" s="38">
        <v>4.9118000000000004</v>
      </c>
      <c r="B388" s="21">
        <v>46155.554109236109</v>
      </c>
    </row>
    <row r="389" spans="1:2" x14ac:dyDescent="0.25">
      <c r="A389" s="38">
        <v>4.9047999999999998</v>
      </c>
      <c r="B389" s="21">
        <v>46155.554109178243</v>
      </c>
    </row>
    <row r="390" spans="1:2" x14ac:dyDescent="0.25">
      <c r="A390" s="38">
        <v>4.9101999999999997</v>
      </c>
      <c r="B390" s="21">
        <v>46155.504464594909</v>
      </c>
    </row>
    <row r="391" spans="1:2" x14ac:dyDescent="0.25">
      <c r="A391" s="38">
        <v>4.9169</v>
      </c>
      <c r="B391" s="21">
        <v>46155.461404872687</v>
      </c>
    </row>
    <row r="392" spans="1:2" x14ac:dyDescent="0.25">
      <c r="A392" s="38">
        <v>4.9153000000000002</v>
      </c>
      <c r="B392" s="21">
        <v>46155.423906365744</v>
      </c>
    </row>
    <row r="393" spans="1:2" x14ac:dyDescent="0.25">
      <c r="A393" s="38">
        <v>4.8977000000000004</v>
      </c>
      <c r="B393" s="21">
        <v>46154.549622233797</v>
      </c>
    </row>
    <row r="394" spans="1:2" x14ac:dyDescent="0.25">
      <c r="A394" s="38">
        <v>4.8985000000000003</v>
      </c>
      <c r="B394" s="21">
        <v>46154.549622129627</v>
      </c>
    </row>
    <row r="395" spans="1:2" x14ac:dyDescent="0.25">
      <c r="A395" s="38">
        <v>4.9021999999999997</v>
      </c>
      <c r="B395" s="21">
        <v>46154.507521030093</v>
      </c>
    </row>
    <row r="396" spans="1:2" x14ac:dyDescent="0.25">
      <c r="A396" s="38">
        <v>4.8996000000000004</v>
      </c>
      <c r="B396" s="21">
        <v>46154.462797465276</v>
      </c>
    </row>
    <row r="397" spans="1:2" x14ac:dyDescent="0.25">
      <c r="A397" s="38">
        <v>4.8905000000000003</v>
      </c>
      <c r="B397" s="21">
        <v>46154.418372476852</v>
      </c>
    </row>
    <row r="398" spans="1:2" x14ac:dyDescent="0.25">
      <c r="A398" s="38">
        <v>4.8973000000000004</v>
      </c>
      <c r="B398" s="21">
        <v>46153.547513194448</v>
      </c>
    </row>
    <row r="399" spans="1:2" x14ac:dyDescent="0.25">
      <c r="A399" s="38">
        <v>4.8994</v>
      </c>
      <c r="B399" s="21">
        <v>46153.547513043981</v>
      </c>
    </row>
    <row r="400" spans="1:2" x14ac:dyDescent="0.25">
      <c r="A400" s="38">
        <v>4.8982000000000001</v>
      </c>
      <c r="B400" s="21">
        <v>46153.501705578703</v>
      </c>
    </row>
    <row r="401" spans="1:2" x14ac:dyDescent="0.25">
      <c r="A401" s="38">
        <v>4.8906999999999998</v>
      </c>
      <c r="B401" s="21">
        <v>46153.462801527778</v>
      </c>
    </row>
    <row r="402" spans="1:2" x14ac:dyDescent="0.25">
      <c r="A402" s="38">
        <v>4.9006999999999996</v>
      </c>
      <c r="B402" s="21">
        <v>46153.422524745372</v>
      </c>
    </row>
    <row r="403" spans="1:2" x14ac:dyDescent="0.25">
      <c r="A403" s="38">
        <v>4.8998999999999997</v>
      </c>
      <c r="B403" s="21">
        <v>46150.545513923615</v>
      </c>
    </row>
    <row r="404" spans="1:2" x14ac:dyDescent="0.25">
      <c r="A404" s="38">
        <v>4.8981000000000003</v>
      </c>
      <c r="B404" s="21">
        <v>46150.545513819445</v>
      </c>
    </row>
    <row r="405" spans="1:2" x14ac:dyDescent="0.25">
      <c r="A405" s="38">
        <v>4.8967999999999998</v>
      </c>
      <c r="B405" s="21">
        <v>46150.507940798612</v>
      </c>
    </row>
    <row r="406" spans="1:2" x14ac:dyDescent="0.25">
      <c r="A406" s="38">
        <v>4.8967999999999998</v>
      </c>
      <c r="B406" s="21">
        <v>46150.460722407406</v>
      </c>
    </row>
    <row r="407" spans="1:2" x14ac:dyDescent="0.25">
      <c r="A407" s="38">
        <v>4.9078999999999997</v>
      </c>
      <c r="B407" s="21">
        <v>46150.423230300927</v>
      </c>
    </row>
    <row r="408" spans="1:2" x14ac:dyDescent="0.25">
      <c r="A408" s="38">
        <v>4.9169999999999998</v>
      </c>
      <c r="B408" s="21">
        <v>46149.548248749998</v>
      </c>
    </row>
    <row r="409" spans="1:2" x14ac:dyDescent="0.25">
      <c r="A409" s="38">
        <v>4.9269999999999996</v>
      </c>
      <c r="B409" s="21">
        <v>46149.548248634259</v>
      </c>
    </row>
    <row r="410" spans="1:2" x14ac:dyDescent="0.25">
      <c r="A410" s="38">
        <v>4.9195000000000002</v>
      </c>
      <c r="B410" s="21">
        <v>46149.505835520831</v>
      </c>
    </row>
    <row r="411" spans="1:2" x14ac:dyDescent="0.25">
      <c r="A411" s="38">
        <v>4.9184000000000001</v>
      </c>
      <c r="B411" s="21">
        <v>46149.466271793979</v>
      </c>
    </row>
    <row r="412" spans="1:2" x14ac:dyDescent="0.25">
      <c r="A412" s="38">
        <v>4.9032</v>
      </c>
      <c r="B412" s="21">
        <v>46149.424607002315</v>
      </c>
    </row>
    <row r="413" spans="1:2" x14ac:dyDescent="0.25">
      <c r="A413" s="38">
        <v>4.9273999999999996</v>
      </c>
      <c r="B413" s="21">
        <v>46148.547544687499</v>
      </c>
    </row>
    <row r="414" spans="1:2" x14ac:dyDescent="0.25">
      <c r="A414" s="38">
        <v>4.9283000000000001</v>
      </c>
      <c r="B414" s="21">
        <v>46148.547544606481</v>
      </c>
    </row>
    <row r="415" spans="1:2" x14ac:dyDescent="0.25">
      <c r="A415" s="38">
        <v>4.9241000000000001</v>
      </c>
      <c r="B415" s="21">
        <v>46148.502406712963</v>
      </c>
    </row>
    <row r="416" spans="1:2" x14ac:dyDescent="0.25">
      <c r="A416" s="38">
        <v>4.9263000000000003</v>
      </c>
      <c r="B416" s="21">
        <v>46148.46419953704</v>
      </c>
    </row>
    <row r="417" spans="1:2" x14ac:dyDescent="0.25">
      <c r="A417" s="38">
        <v>4.931</v>
      </c>
      <c r="B417" s="21">
        <v>46148.42392814815</v>
      </c>
    </row>
    <row r="418" spans="1:2" x14ac:dyDescent="0.25">
      <c r="A418" s="38">
        <v>4.9241999999999999</v>
      </c>
      <c r="B418" s="21">
        <v>46147.544745011575</v>
      </c>
    </row>
    <row r="419" spans="1:2" x14ac:dyDescent="0.25">
      <c r="A419" s="38">
        <v>4.9103000000000003</v>
      </c>
      <c r="B419" s="21">
        <v>46147.544744918981</v>
      </c>
    </row>
    <row r="420" spans="1:2" x14ac:dyDescent="0.25">
      <c r="A420" s="38">
        <v>4.9238</v>
      </c>
      <c r="B420" s="21">
        <v>46147.504006041665</v>
      </c>
    </row>
    <row r="421" spans="1:2" x14ac:dyDescent="0.25">
      <c r="A421" s="38">
        <v>4.9256000000000002</v>
      </c>
      <c r="B421" s="21">
        <v>46147.460717662034</v>
      </c>
    </row>
    <row r="422" spans="1:2" x14ac:dyDescent="0.25">
      <c r="A422" s="38">
        <v>4.9371999999999998</v>
      </c>
      <c r="B422" s="21">
        <v>46147.421844525466</v>
      </c>
    </row>
    <row r="423" spans="1:2" x14ac:dyDescent="0.25">
      <c r="A423" s="38">
        <v>4.9587000000000003</v>
      </c>
      <c r="B423" s="21">
        <v>46146.548215150462</v>
      </c>
    </row>
    <row r="424" spans="1:2" x14ac:dyDescent="0.25">
      <c r="A424" s="38">
        <v>4.9664000000000001</v>
      </c>
      <c r="B424" s="21">
        <v>46146.548215046299</v>
      </c>
    </row>
    <row r="425" spans="1:2" x14ac:dyDescent="0.25">
      <c r="A425" s="38">
        <v>4.9523999999999999</v>
      </c>
      <c r="B425" s="21">
        <v>46146.50726421296</v>
      </c>
    </row>
    <row r="426" spans="1:2" x14ac:dyDescent="0.25">
      <c r="A426" s="38">
        <v>4.96</v>
      </c>
      <c r="B426" s="21">
        <v>46146.462811805555</v>
      </c>
    </row>
    <row r="427" spans="1:2" x14ac:dyDescent="0.25">
      <c r="A427" s="38">
        <v>4.9558999999999997</v>
      </c>
      <c r="B427" s="21">
        <v>46146.419138738427</v>
      </c>
    </row>
    <row r="428" spans="1:2" x14ac:dyDescent="0.25">
      <c r="A428" s="38">
        <v>4.9885999999999999</v>
      </c>
      <c r="B428" s="21">
        <v>46142.54615188657</v>
      </c>
    </row>
    <row r="429" spans="1:2" x14ac:dyDescent="0.25">
      <c r="A429" s="38">
        <v>4.9827000000000004</v>
      </c>
      <c r="B429" s="21">
        <v>46142.546151782408</v>
      </c>
    </row>
    <row r="430" spans="1:2" x14ac:dyDescent="0.25">
      <c r="A430" s="38">
        <v>4.984</v>
      </c>
      <c r="B430" s="21">
        <v>46142.507252361109</v>
      </c>
    </row>
    <row r="431" spans="1:2" x14ac:dyDescent="0.25">
      <c r="A431" s="38">
        <v>4.9957000000000003</v>
      </c>
      <c r="B431" s="21">
        <v>46142.464189224534</v>
      </c>
    </row>
    <row r="432" spans="1:2" x14ac:dyDescent="0.25">
      <c r="A432" s="38">
        <v>4.992</v>
      </c>
      <c r="B432" s="21">
        <v>46142.42043489583</v>
      </c>
    </row>
    <row r="433" spans="1:2" x14ac:dyDescent="0.25">
      <c r="A433" s="38">
        <v>4.9984999999999999</v>
      </c>
      <c r="B433" s="21">
        <v>46141.549599039354</v>
      </c>
    </row>
    <row r="434" spans="1:2" x14ac:dyDescent="0.25">
      <c r="A434" s="38">
        <v>4.9991000000000003</v>
      </c>
      <c r="B434" s="21">
        <v>46141.549598923608</v>
      </c>
    </row>
    <row r="435" spans="1:2" x14ac:dyDescent="0.25">
      <c r="A435" s="38">
        <v>4.9950999999999999</v>
      </c>
      <c r="B435" s="21">
        <v>46141.502383090279</v>
      </c>
    </row>
    <row r="436" spans="1:2" x14ac:dyDescent="0.25">
      <c r="A436" s="38">
        <v>5.0042999999999997</v>
      </c>
      <c r="B436" s="21">
        <v>46141.461398726853</v>
      </c>
    </row>
    <row r="437" spans="1:2" x14ac:dyDescent="0.25">
      <c r="A437" s="38">
        <v>4.9953000000000003</v>
      </c>
      <c r="B437" s="21">
        <v>46141.419743229169</v>
      </c>
    </row>
    <row r="438" spans="1:2" x14ac:dyDescent="0.25">
      <c r="A438" s="38">
        <v>4.9878</v>
      </c>
      <c r="B438" s="21">
        <v>46140.548917326392</v>
      </c>
    </row>
    <row r="439" spans="1:2" x14ac:dyDescent="0.25">
      <c r="A439" s="38">
        <v>4.9805000000000001</v>
      </c>
      <c r="B439" s="21">
        <v>46140.548917256943</v>
      </c>
    </row>
    <row r="440" spans="1:2" x14ac:dyDescent="0.25">
      <c r="A440" s="38">
        <v>5.0034999999999998</v>
      </c>
      <c r="B440" s="21">
        <v>46140.503776504629</v>
      </c>
    </row>
    <row r="441" spans="1:2" x14ac:dyDescent="0.25">
      <c r="A441" s="38">
        <v>4.9856999999999996</v>
      </c>
      <c r="B441" s="21">
        <v>46140.464180590279</v>
      </c>
    </row>
    <row r="442" spans="1:2" x14ac:dyDescent="0.25">
      <c r="A442" s="38">
        <v>4.9813000000000001</v>
      </c>
      <c r="B442" s="21">
        <v>46140.421128298614</v>
      </c>
    </row>
    <row r="443" spans="1:2" x14ac:dyDescent="0.25">
      <c r="A443" s="38">
        <v>4.97</v>
      </c>
      <c r="B443" s="21">
        <v>46139.545996527777</v>
      </c>
    </row>
    <row r="444" spans="1:2" x14ac:dyDescent="0.25">
      <c r="A444" s="38">
        <v>4.9706999999999999</v>
      </c>
      <c r="B444" s="21">
        <v>46139.545996400462</v>
      </c>
    </row>
    <row r="445" spans="1:2" x14ac:dyDescent="0.25">
      <c r="A445" s="38">
        <v>4.9698000000000002</v>
      </c>
      <c r="B445" s="21">
        <v>46139.506538055553</v>
      </c>
    </row>
    <row r="446" spans="1:2" x14ac:dyDescent="0.25">
      <c r="A446" s="38">
        <v>4.9743000000000004</v>
      </c>
      <c r="B446" s="21">
        <v>46139.466274074075</v>
      </c>
    </row>
    <row r="447" spans="1:2" x14ac:dyDescent="0.25">
      <c r="A447" s="38">
        <v>4.9652000000000003</v>
      </c>
      <c r="B447" s="21">
        <v>46139.423239201387</v>
      </c>
    </row>
    <row r="448" spans="1:2" x14ac:dyDescent="0.25">
      <c r="A448" s="38">
        <v>5.0083000000000002</v>
      </c>
      <c r="B448" s="21">
        <v>46136.54602050926</v>
      </c>
    </row>
    <row r="449" spans="1:2" x14ac:dyDescent="0.25">
      <c r="A449" s="38">
        <v>4.9989999999999997</v>
      </c>
      <c r="B449" s="21">
        <v>46136.546020416667</v>
      </c>
    </row>
    <row r="450" spans="1:2" x14ac:dyDescent="0.25">
      <c r="A450" s="38">
        <v>5.0084999999999997</v>
      </c>
      <c r="B450" s="21">
        <v>46136.505160462963</v>
      </c>
    </row>
    <row r="451" spans="1:2" x14ac:dyDescent="0.25">
      <c r="A451" s="38">
        <v>5.0175999999999998</v>
      </c>
      <c r="B451" s="21">
        <v>46136.464871261574</v>
      </c>
    </row>
    <row r="452" spans="1:2" x14ac:dyDescent="0.25">
      <c r="A452" s="38">
        <v>5.0079000000000002</v>
      </c>
      <c r="B452" s="21">
        <v>46136.423902106479</v>
      </c>
    </row>
    <row r="453" spans="1:2" x14ac:dyDescent="0.25">
      <c r="A453" s="38">
        <v>4.9539</v>
      </c>
      <c r="B453" s="21">
        <v>46135.544051956022</v>
      </c>
    </row>
    <row r="454" spans="1:2" x14ac:dyDescent="0.25">
      <c r="A454" s="38">
        <v>4.9557000000000002</v>
      </c>
      <c r="B454" s="21">
        <v>46135.544051874997</v>
      </c>
    </row>
    <row r="455" spans="1:2" x14ac:dyDescent="0.25">
      <c r="A455" s="38">
        <v>4.9512</v>
      </c>
      <c r="B455" s="21">
        <v>46135.503132604164</v>
      </c>
    </row>
    <row r="456" spans="1:2" x14ac:dyDescent="0.25">
      <c r="A456" s="38">
        <v>4.9538000000000002</v>
      </c>
      <c r="B456" s="21">
        <v>46135.463488321759</v>
      </c>
    </row>
    <row r="457" spans="1:2" x14ac:dyDescent="0.25">
      <c r="A457" s="38">
        <v>4.9549000000000003</v>
      </c>
      <c r="B457" s="21">
        <v>46135.42043017361</v>
      </c>
    </row>
    <row r="458" spans="1:2" x14ac:dyDescent="0.25">
      <c r="A458" s="38">
        <v>4.9653</v>
      </c>
      <c r="B458" s="21">
        <v>46134.549633807874</v>
      </c>
    </row>
    <row r="459" spans="1:2" x14ac:dyDescent="0.25">
      <c r="A459" s="38">
        <v>4.9646999999999997</v>
      </c>
      <c r="B459" s="21">
        <v>46134.549633692128</v>
      </c>
    </row>
    <row r="460" spans="1:2" x14ac:dyDescent="0.25">
      <c r="A460" s="38">
        <v>4.9694000000000003</v>
      </c>
      <c r="B460" s="21">
        <v>46134.505865208332</v>
      </c>
    </row>
    <row r="461" spans="1:2" x14ac:dyDescent="0.25">
      <c r="A461" s="38">
        <v>4.9561999999999999</v>
      </c>
      <c r="B461" s="21">
        <v>46134.461408958334</v>
      </c>
    </row>
    <row r="462" spans="1:2" x14ac:dyDescent="0.25">
      <c r="A462" s="38">
        <v>4.9710000000000001</v>
      </c>
      <c r="B462" s="21">
        <v>46134.422527199073</v>
      </c>
    </row>
    <row r="463" spans="1:2" x14ac:dyDescent="0.25">
      <c r="A463" s="38">
        <v>4.9843999999999999</v>
      </c>
      <c r="B463" s="21">
        <v>46132.543360370371</v>
      </c>
    </row>
    <row r="464" spans="1:2" x14ac:dyDescent="0.25">
      <c r="A464" s="38">
        <v>4.9825999999999997</v>
      </c>
      <c r="B464" s="21">
        <v>46132.543360277778</v>
      </c>
    </row>
    <row r="465" spans="1:2" x14ac:dyDescent="0.25">
      <c r="A465" s="38">
        <v>4.9835000000000003</v>
      </c>
      <c r="B465" s="21">
        <v>46132.507947118058</v>
      </c>
    </row>
    <row r="466" spans="1:2" x14ac:dyDescent="0.25">
      <c r="A466" s="38">
        <v>4.9850000000000003</v>
      </c>
      <c r="B466" s="21">
        <v>46132.464189062499</v>
      </c>
    </row>
    <row r="467" spans="1:2" x14ac:dyDescent="0.25">
      <c r="A467" s="38">
        <v>4.9863999999999997</v>
      </c>
      <c r="B467" s="21">
        <v>46132.419762384263</v>
      </c>
    </row>
    <row r="468" spans="1:2" x14ac:dyDescent="0.25">
      <c r="A468" s="38">
        <v>4.9695</v>
      </c>
      <c r="B468" s="21">
        <v>46129.548229884262</v>
      </c>
    </row>
    <row r="469" spans="1:2" x14ac:dyDescent="0.25">
      <c r="A469" s="38">
        <v>4.9821</v>
      </c>
      <c r="B469" s="21">
        <v>46129.548229803244</v>
      </c>
    </row>
    <row r="470" spans="1:2" x14ac:dyDescent="0.25">
      <c r="A470" s="38">
        <v>4.9791999999999996</v>
      </c>
      <c r="B470" s="21">
        <v>46129.50204806713</v>
      </c>
    </row>
    <row r="471" spans="1:2" x14ac:dyDescent="0.25">
      <c r="A471" s="38">
        <v>4.9619999999999997</v>
      </c>
      <c r="B471" s="21">
        <v>46129.465571793982</v>
      </c>
    </row>
    <row r="472" spans="1:2" x14ac:dyDescent="0.25">
      <c r="A472" s="38">
        <v>4.9546999999999999</v>
      </c>
      <c r="B472" s="21">
        <v>46129.419752835645</v>
      </c>
    </row>
    <row r="473" spans="1:2" x14ac:dyDescent="0.25">
      <c r="A473" s="38">
        <v>5.0007000000000001</v>
      </c>
      <c r="B473" s="21">
        <v>46128.544080590276</v>
      </c>
    </row>
    <row r="474" spans="1:2" x14ac:dyDescent="0.25">
      <c r="A474" s="38">
        <v>5.0011000000000001</v>
      </c>
      <c r="B474" s="21">
        <v>46128.544080509258</v>
      </c>
    </row>
    <row r="475" spans="1:2" x14ac:dyDescent="0.25">
      <c r="A475" s="38">
        <v>5.0122999999999998</v>
      </c>
      <c r="B475" s="21">
        <v>46128.501694178238</v>
      </c>
    </row>
    <row r="476" spans="1:2" x14ac:dyDescent="0.25">
      <c r="A476" s="38">
        <v>4.9972000000000003</v>
      </c>
      <c r="B476" s="21">
        <v>46128.460029479167</v>
      </c>
    </row>
    <row r="477" spans="1:2" x14ac:dyDescent="0.25">
      <c r="A477" s="38">
        <v>4.9922000000000004</v>
      </c>
      <c r="B477" s="21">
        <v>46128.424607083332</v>
      </c>
    </row>
    <row r="478" spans="1:2" x14ac:dyDescent="0.25">
      <c r="A478" s="38">
        <v>4.9927999999999999</v>
      </c>
      <c r="B478" s="21">
        <v>46127.546133993055</v>
      </c>
    </row>
    <row r="479" spans="1:2" x14ac:dyDescent="0.25">
      <c r="A479" s="38">
        <v>4.9964000000000004</v>
      </c>
      <c r="B479" s="21">
        <v>46127.546133912037</v>
      </c>
    </row>
    <row r="480" spans="1:2" x14ac:dyDescent="0.25">
      <c r="A480" s="38">
        <v>4.9923000000000002</v>
      </c>
      <c r="B480" s="21">
        <v>46127.504646099536</v>
      </c>
    </row>
    <row r="481" spans="1:2" x14ac:dyDescent="0.25">
      <c r="A481" s="38">
        <v>4.9916999999999998</v>
      </c>
      <c r="B481" s="21">
        <v>46127.462788460645</v>
      </c>
    </row>
    <row r="482" spans="1:2" x14ac:dyDescent="0.25">
      <c r="A482" s="38">
        <v>4.9908000000000001</v>
      </c>
      <c r="B482" s="21">
        <v>46127.422528379633</v>
      </c>
    </row>
    <row r="483" spans="1:2" x14ac:dyDescent="0.25">
      <c r="A483" s="38">
        <v>4.9805999999999999</v>
      </c>
      <c r="B483" s="21">
        <v>46126.544068067131</v>
      </c>
    </row>
    <row r="484" spans="1:2" x14ac:dyDescent="0.25">
      <c r="A484" s="38">
        <v>4.9866000000000001</v>
      </c>
      <c r="B484" s="21">
        <v>46126.544067997682</v>
      </c>
    </row>
    <row r="485" spans="1:2" x14ac:dyDescent="0.25">
      <c r="A485" s="38">
        <v>4.9790999999999999</v>
      </c>
      <c r="B485" s="21">
        <v>46126.505842303239</v>
      </c>
    </row>
    <row r="486" spans="1:2" x14ac:dyDescent="0.25">
      <c r="A486" s="38">
        <v>4.9772999999999996</v>
      </c>
      <c r="B486" s="21">
        <v>46126.46349076389</v>
      </c>
    </row>
    <row r="487" spans="1:2" x14ac:dyDescent="0.25">
      <c r="A487" s="38">
        <v>4.9791999999999996</v>
      </c>
      <c r="B487" s="21">
        <v>46126.421824409721</v>
      </c>
    </row>
    <row r="488" spans="1:2" x14ac:dyDescent="0.25">
      <c r="A488" s="38">
        <v>5.0244</v>
      </c>
      <c r="B488" s="21">
        <v>46125.545065185186</v>
      </c>
    </row>
    <row r="489" spans="1:2" x14ac:dyDescent="0.25">
      <c r="A489" s="38">
        <v>5.0214999999999996</v>
      </c>
      <c r="B489" s="21">
        <v>46125.545065069447</v>
      </c>
    </row>
    <row r="490" spans="1:2" x14ac:dyDescent="0.25">
      <c r="A490" s="38">
        <v>5.0240999999999998</v>
      </c>
      <c r="B490" s="21">
        <v>46125.507241145831</v>
      </c>
    </row>
    <row r="491" spans="1:2" x14ac:dyDescent="0.25">
      <c r="A491" s="38">
        <v>5.0274999999999999</v>
      </c>
      <c r="B491" s="21">
        <v>46125.462810648147</v>
      </c>
    </row>
    <row r="492" spans="1:2" x14ac:dyDescent="0.25">
      <c r="A492" s="38">
        <v>5.0244999999999997</v>
      </c>
      <c r="B492" s="21">
        <v>46125.418377800925</v>
      </c>
    </row>
    <row r="493" spans="1:2" x14ac:dyDescent="0.25">
      <c r="A493" s="38">
        <v>5.0228999999999999</v>
      </c>
      <c r="B493" s="21">
        <v>46122.544738124998</v>
      </c>
    </row>
    <row r="494" spans="1:2" x14ac:dyDescent="0.25">
      <c r="A494" s="38">
        <v>5.0274999999999999</v>
      </c>
      <c r="B494" s="21">
        <v>46122.544738032404</v>
      </c>
    </row>
    <row r="495" spans="1:2" x14ac:dyDescent="0.25">
      <c r="A495" s="38">
        <v>5.0231000000000003</v>
      </c>
      <c r="B495" s="21">
        <v>46122.50365697917</v>
      </c>
    </row>
    <row r="496" spans="1:2" x14ac:dyDescent="0.25">
      <c r="A496" s="38">
        <v>5.0160999999999998</v>
      </c>
      <c r="B496" s="21">
        <v>46122.464866770832</v>
      </c>
    </row>
    <row r="497" spans="1:2" x14ac:dyDescent="0.25">
      <c r="A497" s="38">
        <v>5.0250000000000004</v>
      </c>
      <c r="B497" s="21">
        <v>46122.421139108796</v>
      </c>
    </row>
    <row r="498" spans="1:2" x14ac:dyDescent="0.25">
      <c r="A498" s="38">
        <v>5.0820999999999996</v>
      </c>
      <c r="B498" s="21">
        <v>46121.548953171296</v>
      </c>
    </row>
    <row r="499" spans="1:2" x14ac:dyDescent="0.25">
      <c r="A499" s="38">
        <v>5.0720000000000001</v>
      </c>
      <c r="B499" s="21">
        <v>46121.548953101854</v>
      </c>
    </row>
    <row r="500" spans="1:2" x14ac:dyDescent="0.25">
      <c r="A500" s="38">
        <v>5.0841000000000003</v>
      </c>
      <c r="B500" s="21">
        <v>46121.504697523145</v>
      </c>
    </row>
    <row r="501" spans="1:2" x14ac:dyDescent="0.25">
      <c r="A501" s="38">
        <v>5.0755999999999997</v>
      </c>
      <c r="B501" s="21">
        <v>46121.464177465277</v>
      </c>
    </row>
    <row r="502" spans="1:2" x14ac:dyDescent="0.25">
      <c r="A502" s="38">
        <v>5.0965999999999996</v>
      </c>
      <c r="B502" s="21">
        <v>46121.421128263886</v>
      </c>
    </row>
    <row r="503" spans="1:2" x14ac:dyDescent="0.25">
      <c r="A503" s="38">
        <v>5.0899000000000001</v>
      </c>
      <c r="B503" s="21">
        <v>46120.543388715276</v>
      </c>
    </row>
    <row r="504" spans="1:2" x14ac:dyDescent="0.25">
      <c r="A504" s="38">
        <v>5.0945</v>
      </c>
      <c r="B504" s="21">
        <v>46120.543388645834</v>
      </c>
    </row>
    <row r="505" spans="1:2" x14ac:dyDescent="0.25">
      <c r="A505" s="38">
        <v>5.1036999999999999</v>
      </c>
      <c r="B505" s="21">
        <v>46120.503091805556</v>
      </c>
    </row>
    <row r="506" spans="1:2" x14ac:dyDescent="0.25">
      <c r="A506" s="38">
        <v>5.0894000000000004</v>
      </c>
      <c r="B506" s="21">
        <v>46120.460720451389</v>
      </c>
    </row>
    <row r="507" spans="1:2" x14ac:dyDescent="0.25">
      <c r="A507" s="38">
        <v>5.0720000000000001</v>
      </c>
      <c r="B507" s="21">
        <v>46120.423218217591</v>
      </c>
    </row>
    <row r="508" spans="1:2" x14ac:dyDescent="0.25">
      <c r="A508" s="38">
        <v>5.1624999999999996</v>
      </c>
      <c r="B508" s="21">
        <v>46119.547523854169</v>
      </c>
    </row>
    <row r="509" spans="1:2" x14ac:dyDescent="0.25">
      <c r="A509" s="38">
        <v>5.1601999999999997</v>
      </c>
      <c r="B509" s="21">
        <v>46119.547523726855</v>
      </c>
    </row>
    <row r="510" spans="1:2" x14ac:dyDescent="0.25">
      <c r="A510" s="38">
        <v>5.1645000000000003</v>
      </c>
      <c r="B510" s="21">
        <v>46119.503585046295</v>
      </c>
    </row>
    <row r="511" spans="1:2" x14ac:dyDescent="0.25">
      <c r="A511" s="38">
        <v>5.1703999999999999</v>
      </c>
      <c r="B511" s="21">
        <v>46119.46556611111</v>
      </c>
    </row>
    <row r="512" spans="1:2" x14ac:dyDescent="0.25">
      <c r="A512" s="38">
        <v>5.1548999999999996</v>
      </c>
      <c r="B512" s="21">
        <v>46119.420434965279</v>
      </c>
    </row>
    <row r="513" spans="1:2" x14ac:dyDescent="0.25">
      <c r="A513" s="38">
        <v>5.1532</v>
      </c>
      <c r="B513" s="21">
        <v>46118.546119525461</v>
      </c>
    </row>
    <row r="514" spans="1:2" x14ac:dyDescent="0.25">
      <c r="A514" s="38">
        <v>5.1517999999999997</v>
      </c>
      <c r="B514" s="21">
        <v>46118.546119409722</v>
      </c>
    </row>
    <row r="515" spans="1:2" x14ac:dyDescent="0.25">
      <c r="A515" s="38">
        <v>5.1578999999999997</v>
      </c>
      <c r="B515" s="21">
        <v>46118.504451678244</v>
      </c>
    </row>
    <row r="516" spans="1:2" x14ac:dyDescent="0.25">
      <c r="A516" s="38">
        <v>5.1494999999999997</v>
      </c>
      <c r="B516" s="21">
        <v>46118.460707152779</v>
      </c>
    </row>
    <row r="517" spans="1:2" x14ac:dyDescent="0.25">
      <c r="A517" s="38">
        <v>5.1534000000000004</v>
      </c>
      <c r="B517" s="21">
        <v>46118.421839629627</v>
      </c>
    </row>
    <row r="518" spans="1:2" x14ac:dyDescent="0.25">
      <c r="A518" s="38">
        <v>5.1654999999999998</v>
      </c>
      <c r="B518" s="21">
        <v>46114.548922453701</v>
      </c>
    </row>
    <row r="519" spans="1:2" x14ac:dyDescent="0.25">
      <c r="A519" s="38">
        <v>5.1623000000000001</v>
      </c>
      <c r="B519" s="21">
        <v>46114.548922372684</v>
      </c>
    </row>
    <row r="520" spans="1:2" x14ac:dyDescent="0.25">
      <c r="A520" s="38">
        <v>5.1577999999999999</v>
      </c>
      <c r="B520" s="21">
        <v>46114.507942534721</v>
      </c>
    </row>
    <row r="521" spans="1:2" x14ac:dyDescent="0.25">
      <c r="A521" s="38">
        <v>5.1626000000000003</v>
      </c>
      <c r="B521" s="21">
        <v>46114.466274120372</v>
      </c>
    </row>
    <row r="522" spans="1:2" x14ac:dyDescent="0.25">
      <c r="A522" s="38">
        <v>5.1791999999999998</v>
      </c>
      <c r="B522" s="21">
        <v>46114.418381828706</v>
      </c>
    </row>
    <row r="523" spans="1:2" x14ac:dyDescent="0.25">
      <c r="A523" s="38">
        <v>5.1605999999999996</v>
      </c>
      <c r="B523" s="21">
        <v>46113.54615425926</v>
      </c>
    </row>
    <row r="524" spans="1:2" x14ac:dyDescent="0.25">
      <c r="A524" s="38">
        <v>5.1532</v>
      </c>
      <c r="B524" s="21">
        <v>46113.546154189811</v>
      </c>
    </row>
    <row r="525" spans="1:2" x14ac:dyDescent="0.25">
      <c r="A525" s="38">
        <v>5.1512000000000002</v>
      </c>
      <c r="B525" s="21">
        <v>46113.505839710648</v>
      </c>
    </row>
    <row r="526" spans="1:2" x14ac:dyDescent="0.25">
      <c r="A526" s="38">
        <v>5.1677999999999997</v>
      </c>
      <c r="B526" s="21">
        <v>46113.462108981483</v>
      </c>
    </row>
    <row r="527" spans="1:2" x14ac:dyDescent="0.25">
      <c r="A527" s="38">
        <v>5.1700999999999997</v>
      </c>
      <c r="B527" s="21">
        <v>46113.422515590275</v>
      </c>
    </row>
    <row r="528" spans="1:2" x14ac:dyDescent="0.25">
      <c r="A528" s="38">
        <v>5.2194000000000003</v>
      </c>
      <c r="B528" s="21">
        <v>46112.544706597226</v>
      </c>
    </row>
    <row r="529" spans="1:2" x14ac:dyDescent="0.25">
      <c r="A529" s="38">
        <v>5.2110000000000003</v>
      </c>
      <c r="B529" s="21">
        <v>46112.544706539353</v>
      </c>
    </row>
    <row r="530" spans="1:2" x14ac:dyDescent="0.25">
      <c r="A530" s="38">
        <v>5.2202999999999999</v>
      </c>
      <c r="B530" s="21">
        <v>46112.505845081017</v>
      </c>
    </row>
    <row r="531" spans="1:2" x14ac:dyDescent="0.25">
      <c r="A531" s="38">
        <v>5.2140000000000004</v>
      </c>
      <c r="B531" s="21">
        <v>46112.464174780092</v>
      </c>
    </row>
    <row r="532" spans="1:2" x14ac:dyDescent="0.25">
      <c r="A532" s="38">
        <v>5.2324000000000002</v>
      </c>
      <c r="B532" s="21">
        <v>46112.419733263887</v>
      </c>
    </row>
    <row r="533" spans="1:2" x14ac:dyDescent="0.25">
      <c r="A533" s="38">
        <v>5.2352999999999996</v>
      </c>
      <c r="B533" s="21">
        <v>46111.54893271991</v>
      </c>
    </row>
    <row r="534" spans="1:2" x14ac:dyDescent="0.25">
      <c r="A534" s="38">
        <v>5.2393000000000001</v>
      </c>
      <c r="B534" s="21">
        <v>46111.548932650461</v>
      </c>
    </row>
    <row r="535" spans="1:2" x14ac:dyDescent="0.25">
      <c r="A535" s="38">
        <v>5.2319000000000004</v>
      </c>
      <c r="B535" s="21">
        <v>46111.503875381946</v>
      </c>
    </row>
    <row r="536" spans="1:2" x14ac:dyDescent="0.25">
      <c r="A536" s="38">
        <v>5.2398999999999996</v>
      </c>
      <c r="B536" s="21">
        <v>46111.463912534724</v>
      </c>
    </row>
    <row r="537" spans="1:2" x14ac:dyDescent="0.25">
      <c r="A537" s="38">
        <v>5.23</v>
      </c>
      <c r="B537" s="21">
        <v>46111.423224849539</v>
      </c>
    </row>
    <row r="538" spans="1:2" x14ac:dyDescent="0.25">
      <c r="A538" s="38">
        <v>5.2375999999999996</v>
      </c>
      <c r="B538" s="21">
        <v>46108.549792708334</v>
      </c>
    </row>
    <row r="539" spans="1:2" x14ac:dyDescent="0.25">
      <c r="A539" s="38">
        <v>5.2305999999999999</v>
      </c>
      <c r="B539" s="21">
        <v>46108.549792650461</v>
      </c>
    </row>
    <row r="540" spans="1:2" x14ac:dyDescent="0.25">
      <c r="A540" s="38">
        <v>5.2239000000000004</v>
      </c>
      <c r="B540" s="21">
        <v>46108.507234490738</v>
      </c>
    </row>
    <row r="541" spans="1:2" x14ac:dyDescent="0.25">
      <c r="A541" s="38">
        <v>5.2411000000000003</v>
      </c>
      <c r="B541" s="21">
        <v>46108.460704513891</v>
      </c>
    </row>
    <row r="542" spans="1:2" x14ac:dyDescent="0.25">
      <c r="A542" s="38">
        <v>5.2546999999999997</v>
      </c>
      <c r="B542" s="21">
        <v>46108.419045787035</v>
      </c>
    </row>
    <row r="543" spans="1:2" x14ac:dyDescent="0.25">
      <c r="A543" s="38">
        <v>5.2308000000000003</v>
      </c>
      <c r="B543" s="21">
        <v>46107.549404641206</v>
      </c>
    </row>
    <row r="544" spans="1:2" x14ac:dyDescent="0.25">
      <c r="A544" s="38">
        <v>5.2320000000000002</v>
      </c>
      <c r="B544" s="21">
        <v>46107.549404594909</v>
      </c>
    </row>
    <row r="545" spans="1:2" x14ac:dyDescent="0.25">
      <c r="A545" s="38">
        <v>5.2324000000000002</v>
      </c>
      <c r="B545" s="21">
        <v>46107.504284050927</v>
      </c>
    </row>
    <row r="546" spans="1:2" x14ac:dyDescent="0.25">
      <c r="A546" s="38">
        <v>5.2222999999999997</v>
      </c>
      <c r="B546" s="21">
        <v>46107.462785011572</v>
      </c>
    </row>
    <row r="547" spans="1:2" x14ac:dyDescent="0.25">
      <c r="A547" s="38">
        <v>5.2363</v>
      </c>
      <c r="B547" s="21">
        <v>46107.420418946756</v>
      </c>
    </row>
    <row r="548" spans="1:2" x14ac:dyDescent="0.25">
      <c r="A548" s="38">
        <v>5.2275</v>
      </c>
      <c r="B548" s="21">
        <v>46106.547615127318</v>
      </c>
    </row>
    <row r="549" spans="1:2" x14ac:dyDescent="0.25">
      <c r="A549" s="38">
        <v>5.2245999999999997</v>
      </c>
      <c r="B549" s="21">
        <v>46106.547615046293</v>
      </c>
    </row>
    <row r="550" spans="1:2" x14ac:dyDescent="0.25">
      <c r="A550" s="38">
        <v>5.2112999999999996</v>
      </c>
      <c r="B550" s="21">
        <v>46106.504810011575</v>
      </c>
    </row>
    <row r="551" spans="1:2" x14ac:dyDescent="0.25">
      <c r="A551" s="38">
        <v>5.2432999999999996</v>
      </c>
      <c r="B551" s="21">
        <v>46106.460048807872</v>
      </c>
    </row>
    <row r="552" spans="1:2" x14ac:dyDescent="0.25">
      <c r="A552" s="38">
        <v>5.2309000000000001</v>
      </c>
      <c r="B552" s="21">
        <v>46106.422533078701</v>
      </c>
    </row>
    <row r="553" spans="1:2" x14ac:dyDescent="0.25">
      <c r="A553" s="38">
        <v>5.2599</v>
      </c>
      <c r="B553" s="21">
        <v>46105.548251886576</v>
      </c>
    </row>
    <row r="554" spans="1:2" x14ac:dyDescent="0.25">
      <c r="A554" s="38">
        <v>5.2641</v>
      </c>
      <c r="B554" s="21">
        <v>46105.548251782406</v>
      </c>
    </row>
    <row r="555" spans="1:2" x14ac:dyDescent="0.25">
      <c r="A555" s="38">
        <v>5.2614000000000001</v>
      </c>
      <c r="B555" s="21">
        <v>46105.511380914351</v>
      </c>
    </row>
    <row r="556" spans="1:2" x14ac:dyDescent="0.25">
      <c r="A556" s="38">
        <v>5.2601000000000004</v>
      </c>
      <c r="B556" s="21">
        <v>46105.462093113427</v>
      </c>
    </row>
    <row r="557" spans="1:2" x14ac:dyDescent="0.25">
      <c r="A557" s="38">
        <v>5.2539999999999996</v>
      </c>
      <c r="B557" s="21">
        <v>46105.422538877312</v>
      </c>
    </row>
    <row r="558" spans="1:2" x14ac:dyDescent="0.25">
      <c r="A558" s="38">
        <v>5.2439999999999998</v>
      </c>
      <c r="B558" s="21">
        <v>46104.549631967595</v>
      </c>
    </row>
    <row r="559" spans="1:2" x14ac:dyDescent="0.25">
      <c r="A559" s="38">
        <v>5.2337999999999996</v>
      </c>
      <c r="B559" s="21">
        <v>46104.549631851849</v>
      </c>
    </row>
    <row r="560" spans="1:2" x14ac:dyDescent="0.25">
      <c r="A560" s="38">
        <v>5.2262000000000004</v>
      </c>
      <c r="B560" s="21">
        <v>46104.503068634258</v>
      </c>
    </row>
    <row r="561" spans="1:2" x14ac:dyDescent="0.25">
      <c r="A561" s="38">
        <v>5.2541000000000002</v>
      </c>
      <c r="B561" s="21">
        <v>46104.463510046298</v>
      </c>
    </row>
    <row r="562" spans="1:2" x14ac:dyDescent="0.25">
      <c r="A562" s="38">
        <v>5.2619999999999996</v>
      </c>
      <c r="B562" s="21">
        <v>46104.419763287035</v>
      </c>
    </row>
    <row r="563" spans="1:2" x14ac:dyDescent="0.25">
      <c r="A563" s="38">
        <v>5.28</v>
      </c>
      <c r="B563" s="21">
        <v>46101.549624664352</v>
      </c>
    </row>
    <row r="564" spans="1:2" x14ac:dyDescent="0.25">
      <c r="A564" s="38">
        <v>5.2888000000000002</v>
      </c>
      <c r="B564" s="21">
        <v>46101.549624583335</v>
      </c>
    </row>
    <row r="565" spans="1:2" x14ac:dyDescent="0.25">
      <c r="A565" s="38">
        <v>5.2981999999999996</v>
      </c>
      <c r="B565" s="21">
        <v>46101.50445832176</v>
      </c>
    </row>
    <row r="566" spans="1:2" x14ac:dyDescent="0.25">
      <c r="A566" s="38">
        <v>5.2872000000000003</v>
      </c>
      <c r="B566" s="21">
        <v>46101.462090694447</v>
      </c>
    </row>
    <row r="567" spans="1:2" x14ac:dyDescent="0.25">
      <c r="A567" s="38">
        <v>5.2455999999999996</v>
      </c>
      <c r="B567" s="21">
        <v>46101.418356805552</v>
      </c>
    </row>
    <row r="568" spans="1:2" x14ac:dyDescent="0.25">
      <c r="A568" s="38">
        <v>5.2587000000000002</v>
      </c>
      <c r="B568" s="21">
        <v>46100.543371944441</v>
      </c>
    </row>
    <row r="569" spans="1:2" x14ac:dyDescent="0.25">
      <c r="A569" s="38">
        <v>5.2453000000000003</v>
      </c>
      <c r="B569" s="21">
        <v>46100.543371851854</v>
      </c>
    </row>
    <row r="570" spans="1:2" x14ac:dyDescent="0.25">
      <c r="A570" s="38">
        <v>5.2478999999999996</v>
      </c>
      <c r="B570" s="21">
        <v>46100.501695335646</v>
      </c>
    </row>
    <row r="571" spans="1:2" x14ac:dyDescent="0.25">
      <c r="A571" s="38">
        <v>5.2603</v>
      </c>
      <c r="B571" s="21">
        <v>46100.461409780095</v>
      </c>
    </row>
    <row r="572" spans="1:2" x14ac:dyDescent="0.25">
      <c r="A572" s="38">
        <v>5.2811000000000003</v>
      </c>
      <c r="B572" s="21">
        <v>46100.418389606479</v>
      </c>
    </row>
    <row r="573" spans="1:2" x14ac:dyDescent="0.25">
      <c r="A573" s="38">
        <v>5.2111999999999998</v>
      </c>
      <c r="B573" s="21">
        <v>46099.547599212965</v>
      </c>
    </row>
    <row r="574" spans="1:2" x14ac:dyDescent="0.25">
      <c r="A574" s="38">
        <v>5.1997</v>
      </c>
      <c r="B574" s="21">
        <v>46099.547599120371</v>
      </c>
    </row>
    <row r="575" spans="1:2" x14ac:dyDescent="0.25">
      <c r="A575" s="38">
        <v>5.2012</v>
      </c>
      <c r="B575" s="21">
        <v>46099.504539004629</v>
      </c>
    </row>
    <row r="576" spans="1:2" x14ac:dyDescent="0.25">
      <c r="A576" s="38">
        <v>5.2130999999999998</v>
      </c>
      <c r="B576" s="21">
        <v>46099.460012905096</v>
      </c>
    </row>
    <row r="577" spans="1:2" x14ac:dyDescent="0.25">
      <c r="A577" s="38">
        <v>5.2305999999999999</v>
      </c>
      <c r="B577" s="21">
        <v>46099.418359641204</v>
      </c>
    </row>
    <row r="578" spans="1:2" x14ac:dyDescent="0.25">
      <c r="A578" s="38">
        <v>5.2022000000000004</v>
      </c>
      <c r="B578" s="21">
        <v>46098.548296712965</v>
      </c>
    </row>
    <row r="579" spans="1:2" x14ac:dyDescent="0.25">
      <c r="A579" s="38">
        <v>5.2011000000000003</v>
      </c>
      <c r="B579" s="21">
        <v>46098.548296620371</v>
      </c>
    </row>
    <row r="580" spans="1:2" x14ac:dyDescent="0.25">
      <c r="A580" s="38">
        <v>5.1976000000000004</v>
      </c>
      <c r="B580" s="21">
        <v>46098.505634097222</v>
      </c>
    </row>
    <row r="581" spans="1:2" x14ac:dyDescent="0.25">
      <c r="A581" s="38">
        <v>5.1997999999999998</v>
      </c>
      <c r="B581" s="21">
        <v>46098.46350027778</v>
      </c>
    </row>
    <row r="582" spans="1:2" x14ac:dyDescent="0.25">
      <c r="A582" s="38">
        <v>5.2103000000000002</v>
      </c>
      <c r="B582" s="21">
        <v>46098.424616851851</v>
      </c>
    </row>
    <row r="583" spans="1:2" x14ac:dyDescent="0.25">
      <c r="A583" s="38">
        <v>5.2647000000000004</v>
      </c>
      <c r="B583" s="21">
        <v>46097.547512916666</v>
      </c>
    </row>
    <row r="584" spans="1:2" x14ac:dyDescent="0.25">
      <c r="A584" s="38">
        <v>5.2628000000000004</v>
      </c>
      <c r="B584" s="21">
        <v>46097.547512847224</v>
      </c>
    </row>
    <row r="585" spans="1:2" x14ac:dyDescent="0.25">
      <c r="A585" s="38">
        <v>5.2721999999999998</v>
      </c>
      <c r="B585" s="21">
        <v>46097.50609260417</v>
      </c>
    </row>
    <row r="586" spans="1:2" x14ac:dyDescent="0.25">
      <c r="A586" s="38">
        <v>5.2565999999999997</v>
      </c>
      <c r="B586" s="21">
        <v>46097.462117743053</v>
      </c>
    </row>
    <row r="587" spans="1:2" x14ac:dyDescent="0.25">
      <c r="A587" s="38">
        <v>5.2670000000000003</v>
      </c>
      <c r="B587" s="21">
        <v>46097.422573275464</v>
      </c>
    </row>
    <row r="588" spans="1:2" x14ac:dyDescent="0.25">
      <c r="A588" s="38">
        <v>5.2541000000000002</v>
      </c>
      <c r="B588" s="21">
        <v>46094.544080300926</v>
      </c>
    </row>
    <row r="589" spans="1:2" x14ac:dyDescent="0.25">
      <c r="A589" s="38">
        <v>5.2901999999999996</v>
      </c>
      <c r="B589" s="21">
        <v>46094.544080219908</v>
      </c>
    </row>
    <row r="590" spans="1:2" x14ac:dyDescent="0.25">
      <c r="A590" s="38">
        <v>5.2587000000000002</v>
      </c>
      <c r="B590" s="21">
        <v>46094.502377777775</v>
      </c>
    </row>
    <row r="591" spans="1:2" x14ac:dyDescent="0.25">
      <c r="A591" s="38">
        <v>5.2257999999999996</v>
      </c>
      <c r="B591" s="21">
        <v>46094.462788240744</v>
      </c>
    </row>
    <row r="592" spans="1:2" x14ac:dyDescent="0.25">
      <c r="A592" s="38">
        <v>5.2415000000000003</v>
      </c>
      <c r="B592" s="21">
        <v>46094.423214629627</v>
      </c>
    </row>
    <row r="593" spans="1:2" x14ac:dyDescent="0.25">
      <c r="A593" s="38">
        <v>5.2050999999999998</v>
      </c>
      <c r="B593" s="21">
        <v>46093.548945497685</v>
      </c>
    </row>
    <row r="594" spans="1:2" x14ac:dyDescent="0.25">
      <c r="A594" s="38">
        <v>5.2173999999999996</v>
      </c>
      <c r="B594" s="21">
        <v>46093.548945439812</v>
      </c>
    </row>
    <row r="595" spans="1:2" x14ac:dyDescent="0.25">
      <c r="A595" s="38">
        <v>5.2263999999999999</v>
      </c>
      <c r="B595" s="21">
        <v>46093.503421863425</v>
      </c>
    </row>
    <row r="596" spans="1:2" x14ac:dyDescent="0.25">
      <c r="A596" s="38">
        <v>5.2064000000000004</v>
      </c>
      <c r="B596" s="21">
        <v>46093.465572083333</v>
      </c>
    </row>
    <row r="597" spans="1:2" x14ac:dyDescent="0.25">
      <c r="A597" s="38">
        <v>5.1703000000000001</v>
      </c>
      <c r="B597" s="21">
        <v>46093.419058460648</v>
      </c>
    </row>
    <row r="598" spans="1:2" x14ac:dyDescent="0.25">
      <c r="A598" s="38">
        <v>5.1596000000000002</v>
      </c>
      <c r="B598" s="21">
        <v>46092.544744398147</v>
      </c>
    </row>
    <row r="599" spans="1:2" x14ac:dyDescent="0.25">
      <c r="A599" s="38">
        <v>5.1597999999999997</v>
      </c>
      <c r="B599" s="21">
        <v>46092.544744328705</v>
      </c>
    </row>
    <row r="600" spans="1:2" x14ac:dyDescent="0.25">
      <c r="A600" s="38">
        <v>5.1547999999999998</v>
      </c>
      <c r="B600" s="21">
        <v>46092.501684085648</v>
      </c>
    </row>
    <row r="601" spans="1:2" x14ac:dyDescent="0.25">
      <c r="A601" s="38">
        <v>5.1532</v>
      </c>
      <c r="B601" s="21">
        <v>46092.46557241898</v>
      </c>
    </row>
    <row r="602" spans="1:2" x14ac:dyDescent="0.25">
      <c r="A602" s="38">
        <v>5.1707000000000001</v>
      </c>
      <c r="B602" s="21">
        <v>46092.422515775463</v>
      </c>
    </row>
    <row r="603" spans="1:2" x14ac:dyDescent="0.25">
      <c r="A603" s="38">
        <v>5.1622000000000003</v>
      </c>
      <c r="B603" s="21">
        <v>46091.548221585646</v>
      </c>
    </row>
    <row r="604" spans="1:2" x14ac:dyDescent="0.25">
      <c r="A604" s="38">
        <v>5.1494999999999997</v>
      </c>
      <c r="B604" s="21">
        <v>46091.548221469908</v>
      </c>
    </row>
    <row r="605" spans="1:2" x14ac:dyDescent="0.25">
      <c r="A605" s="38">
        <v>5.1544999999999996</v>
      </c>
      <c r="B605" s="21">
        <v>46091.50445576389</v>
      </c>
    </row>
    <row r="606" spans="1:2" x14ac:dyDescent="0.25">
      <c r="A606" s="38">
        <v>5.1752000000000002</v>
      </c>
      <c r="B606" s="21">
        <v>46091.464878680556</v>
      </c>
    </row>
    <row r="607" spans="1:2" x14ac:dyDescent="0.25">
      <c r="A607" s="38">
        <v>5.1696999999999997</v>
      </c>
      <c r="B607" s="21">
        <v>46091.422525428243</v>
      </c>
    </row>
    <row r="608" spans="1:2" x14ac:dyDescent="0.25">
      <c r="A608" s="38">
        <v>5.2138999999999998</v>
      </c>
      <c r="B608" s="21">
        <v>46090.548930381941</v>
      </c>
    </row>
    <row r="609" spans="1:2" x14ac:dyDescent="0.25">
      <c r="A609" s="38">
        <v>5.2069999999999999</v>
      </c>
      <c r="B609" s="21">
        <v>46090.548930277779</v>
      </c>
    </row>
    <row r="610" spans="1:2" x14ac:dyDescent="0.25">
      <c r="A610" s="38">
        <v>5.2058999999999997</v>
      </c>
      <c r="B610" s="21">
        <v>46090.504517372683</v>
      </c>
    </row>
    <row r="611" spans="1:2" x14ac:dyDescent="0.25">
      <c r="A611" s="38">
        <v>5.2110000000000003</v>
      </c>
      <c r="B611" s="21">
        <v>46090.462117291667</v>
      </c>
    </row>
    <row r="612" spans="1:2" x14ac:dyDescent="0.25">
      <c r="A612" s="38">
        <v>5.2314999999999996</v>
      </c>
      <c r="B612" s="21">
        <v>46090.420446053242</v>
      </c>
    </row>
    <row r="613" spans="1:2" x14ac:dyDescent="0.25">
      <c r="A613" s="38">
        <v>5.2877999999999998</v>
      </c>
      <c r="B613" s="21">
        <v>46087.548930902776</v>
      </c>
    </row>
    <row r="614" spans="1:2" x14ac:dyDescent="0.25">
      <c r="A614" s="38">
        <v>5.2759999999999998</v>
      </c>
      <c r="B614" s="21">
        <v>46087.548930821758</v>
      </c>
    </row>
    <row r="615" spans="1:2" x14ac:dyDescent="0.25">
      <c r="A615" s="38">
        <v>5.2847999999999997</v>
      </c>
      <c r="B615" s="21">
        <v>46087.503775520832</v>
      </c>
    </row>
    <row r="616" spans="1:2" x14ac:dyDescent="0.25">
      <c r="A616" s="38">
        <v>5.3028000000000004</v>
      </c>
      <c r="B616" s="21">
        <v>46087.461396805556</v>
      </c>
    </row>
    <row r="617" spans="1:2" x14ac:dyDescent="0.25">
      <c r="A617" s="38">
        <v>5.2876000000000003</v>
      </c>
      <c r="B617" s="21">
        <v>46087.421119525461</v>
      </c>
    </row>
    <row r="618" spans="1:2" x14ac:dyDescent="0.25">
      <c r="A618" s="38">
        <v>5.2446999999999999</v>
      </c>
      <c r="B618" s="21">
        <v>46086.544094282406</v>
      </c>
    </row>
    <row r="619" spans="1:2" x14ac:dyDescent="0.25">
      <c r="A619" s="38">
        <v>5.2557</v>
      </c>
      <c r="B619" s="21">
        <v>46086.544094212964</v>
      </c>
    </row>
    <row r="620" spans="1:2" x14ac:dyDescent="0.25">
      <c r="A620" s="38">
        <v>5.2355999999999998</v>
      </c>
      <c r="B620" s="21">
        <v>46086.507248136571</v>
      </c>
    </row>
    <row r="621" spans="1:2" x14ac:dyDescent="0.25">
      <c r="A621" s="38">
        <v>5.2431999999999999</v>
      </c>
      <c r="B621" s="21">
        <v>46086.46349253472</v>
      </c>
    </row>
    <row r="622" spans="1:2" x14ac:dyDescent="0.25">
      <c r="A622" s="38">
        <v>5.2443999999999997</v>
      </c>
      <c r="B622" s="21">
        <v>46086.420427106481</v>
      </c>
    </row>
    <row r="623" spans="1:2" x14ac:dyDescent="0.25">
      <c r="A623" s="38">
        <v>5.2091000000000003</v>
      </c>
      <c r="B623" s="21">
        <v>46085.546841967589</v>
      </c>
    </row>
    <row r="624" spans="1:2" x14ac:dyDescent="0.25">
      <c r="A624" s="38">
        <v>5.1959</v>
      </c>
      <c r="B624" s="21">
        <v>46085.546841898147</v>
      </c>
    </row>
    <row r="625" spans="1:2" x14ac:dyDescent="0.25">
      <c r="A625" s="38">
        <v>5.2107999999999999</v>
      </c>
      <c r="B625" s="21">
        <v>46085.501949074074</v>
      </c>
    </row>
    <row r="626" spans="1:2" x14ac:dyDescent="0.25">
      <c r="A626" s="38">
        <v>5.2108999999999996</v>
      </c>
      <c r="B626" s="21">
        <v>46085.460715567133</v>
      </c>
    </row>
    <row r="627" spans="1:2" x14ac:dyDescent="0.25">
      <c r="A627" s="38">
        <v>5.2188999999999997</v>
      </c>
      <c r="B627" s="21">
        <v>46085.421144305554</v>
      </c>
    </row>
    <row r="628" spans="1:2" x14ac:dyDescent="0.25">
      <c r="A628" s="38">
        <v>5.2869999999999999</v>
      </c>
      <c r="B628" s="21">
        <v>46084.548933784725</v>
      </c>
    </row>
    <row r="629" spans="1:2" x14ac:dyDescent="0.25">
      <c r="A629" s="38">
        <v>5.3093000000000004</v>
      </c>
      <c r="B629" s="21">
        <v>46084.548933715276</v>
      </c>
    </row>
    <row r="630" spans="1:2" x14ac:dyDescent="0.25">
      <c r="A630" s="38">
        <v>5.3329000000000004</v>
      </c>
      <c r="B630" s="21">
        <v>46084.507934953705</v>
      </c>
    </row>
    <row r="631" spans="1:2" x14ac:dyDescent="0.25">
      <c r="A631" s="38">
        <v>5.2621000000000002</v>
      </c>
      <c r="B631" s="21">
        <v>46084.46487546296</v>
      </c>
    </row>
    <row r="632" spans="1:2" x14ac:dyDescent="0.25">
      <c r="A632" s="38">
        <v>5.2435</v>
      </c>
      <c r="B632" s="21">
        <v>46084.423903900461</v>
      </c>
    </row>
    <row r="633" spans="1:2" x14ac:dyDescent="0.25">
      <c r="A633" s="38">
        <v>5.2000999999999999</v>
      </c>
      <c r="B633" s="21">
        <v>46083.548222604164</v>
      </c>
    </row>
    <row r="634" spans="1:2" x14ac:dyDescent="0.25">
      <c r="A634" s="38">
        <v>5.1970000000000001</v>
      </c>
      <c r="B634" s="21">
        <v>46083.548222488425</v>
      </c>
    </row>
    <row r="635" spans="1:2" x14ac:dyDescent="0.25">
      <c r="A635" s="38">
        <v>5.1909999999999998</v>
      </c>
      <c r="B635" s="21">
        <v>46083.505163298614</v>
      </c>
    </row>
    <row r="636" spans="1:2" x14ac:dyDescent="0.25">
      <c r="A636" s="38">
        <v>5.2137000000000002</v>
      </c>
      <c r="B636" s="21">
        <v>46083.461417986109</v>
      </c>
    </row>
    <row r="637" spans="1:2" x14ac:dyDescent="0.25">
      <c r="A637" s="38">
        <v>5.1985000000000001</v>
      </c>
      <c r="B637" s="21">
        <v>46083.419749166664</v>
      </c>
    </row>
    <row r="638" spans="1:2" x14ac:dyDescent="0.25">
      <c r="A638" s="38">
        <v>5.1494999999999997</v>
      </c>
      <c r="B638" s="21">
        <v>46080.543369884261</v>
      </c>
    </row>
    <row r="639" spans="1:2" x14ac:dyDescent="0.25">
      <c r="A639" s="38">
        <v>5.1283000000000003</v>
      </c>
      <c r="B639" s="21">
        <v>46080.543369803243</v>
      </c>
    </row>
    <row r="640" spans="1:2" x14ac:dyDescent="0.25">
      <c r="A640" s="38">
        <v>5.1528</v>
      </c>
      <c r="B640" s="21">
        <v>46080.505846736109</v>
      </c>
    </row>
    <row r="641" spans="1:2" x14ac:dyDescent="0.25">
      <c r="A641" s="38">
        <v>5.1641000000000004</v>
      </c>
      <c r="B641" s="21">
        <v>46080.466257835651</v>
      </c>
    </row>
    <row r="642" spans="1:2" x14ac:dyDescent="0.25">
      <c r="A642" s="38">
        <v>5.1525999999999996</v>
      </c>
      <c r="B642" s="21">
        <v>46080.421825509256</v>
      </c>
    </row>
    <row r="643" spans="1:2" x14ac:dyDescent="0.25">
      <c r="A643" s="38">
        <v>5.1382000000000003</v>
      </c>
      <c r="B643" s="21">
        <v>46079.546219386575</v>
      </c>
    </row>
    <row r="644" spans="1:2" x14ac:dyDescent="0.25">
      <c r="A644" s="38">
        <v>5.1420000000000003</v>
      </c>
      <c r="B644" s="21">
        <v>46079.546219340278</v>
      </c>
    </row>
    <row r="645" spans="1:2" x14ac:dyDescent="0.25">
      <c r="A645" s="38">
        <v>5.1475999999999997</v>
      </c>
      <c r="B645" s="21">
        <v>46079.503298483796</v>
      </c>
    </row>
    <row r="646" spans="1:2" x14ac:dyDescent="0.25">
      <c r="A646" s="38">
        <v>5.1371000000000002</v>
      </c>
      <c r="B646" s="21">
        <v>46079.464187916667</v>
      </c>
    </row>
    <row r="647" spans="1:2" x14ac:dyDescent="0.25">
      <c r="A647" s="38">
        <v>5.1258999999999997</v>
      </c>
      <c r="B647" s="21">
        <v>46079.425503298611</v>
      </c>
    </row>
    <row r="648" spans="1:2" x14ac:dyDescent="0.25">
      <c r="A648" s="38">
        <v>5.1440000000000001</v>
      </c>
      <c r="B648" s="21">
        <v>46078.54545888889</v>
      </c>
    </row>
    <row r="649" spans="1:2" x14ac:dyDescent="0.25">
      <c r="A649" s="38">
        <v>5.1448999999999998</v>
      </c>
      <c r="B649" s="21">
        <v>46078.54545878472</v>
      </c>
    </row>
    <row r="650" spans="1:2" x14ac:dyDescent="0.25">
      <c r="A650" s="38">
        <v>5.1494</v>
      </c>
      <c r="B650" s="21">
        <v>46078.507933622685</v>
      </c>
    </row>
    <row r="651" spans="1:2" x14ac:dyDescent="0.25">
      <c r="A651" s="38">
        <v>5.1536</v>
      </c>
      <c r="B651" s="21">
        <v>46078.463487685185</v>
      </c>
    </row>
    <row r="652" spans="1:2" x14ac:dyDescent="0.25">
      <c r="A652" s="38">
        <v>5.1281999999999996</v>
      </c>
      <c r="B652" s="21">
        <v>46078.42460658565</v>
      </c>
    </row>
    <row r="653" spans="1:2" x14ac:dyDescent="0.25">
      <c r="A653" s="38">
        <v>5.1681999999999997</v>
      </c>
      <c r="B653" s="21">
        <v>46077.544780370372</v>
      </c>
    </row>
    <row r="654" spans="1:2" x14ac:dyDescent="0.25">
      <c r="A654" s="38">
        <v>5.1527000000000003</v>
      </c>
      <c r="B654" s="21">
        <v>46077.544780300923</v>
      </c>
    </row>
    <row r="655" spans="1:2" x14ac:dyDescent="0.25">
      <c r="A655" s="38">
        <v>5.1723999999999997</v>
      </c>
      <c r="B655" s="21">
        <v>46077.502374201387</v>
      </c>
    </row>
    <row r="656" spans="1:2" x14ac:dyDescent="0.25">
      <c r="A656" s="38">
        <v>5.1706000000000003</v>
      </c>
      <c r="B656" s="21">
        <v>46077.46486994213</v>
      </c>
    </row>
    <row r="657" spans="1:2" x14ac:dyDescent="0.25">
      <c r="A657" s="38">
        <v>5.1768999999999998</v>
      </c>
      <c r="B657" s="21">
        <v>46077.424594571756</v>
      </c>
    </row>
    <row r="658" spans="1:2" x14ac:dyDescent="0.25">
      <c r="A658" s="38">
        <v>5.1635</v>
      </c>
      <c r="B658" s="21">
        <v>46076.543384548611</v>
      </c>
    </row>
    <row r="659" spans="1:2" x14ac:dyDescent="0.25">
      <c r="A659" s="38">
        <v>5.1544999999999996</v>
      </c>
      <c r="B659" s="21">
        <v>46076.543384421297</v>
      </c>
    </row>
    <row r="660" spans="1:2" x14ac:dyDescent="0.25">
      <c r="A660" s="38">
        <v>5.1435000000000004</v>
      </c>
      <c r="B660" s="21">
        <v>46076.505380856484</v>
      </c>
    </row>
    <row r="661" spans="1:2" x14ac:dyDescent="0.25">
      <c r="A661" s="38">
        <v>5.1673</v>
      </c>
      <c r="B661" s="21">
        <v>46076.460719756942</v>
      </c>
    </row>
    <row r="662" spans="1:2" x14ac:dyDescent="0.25">
      <c r="A662" s="38">
        <v>5.1887999999999996</v>
      </c>
      <c r="B662" s="21">
        <v>46076.422520949076</v>
      </c>
    </row>
    <row r="663" spans="1:2" x14ac:dyDescent="0.25">
      <c r="A663" s="38">
        <v>5.2005999999999997</v>
      </c>
      <c r="B663" s="21">
        <v>46073.543361469907</v>
      </c>
    </row>
    <row r="664" spans="1:2" x14ac:dyDescent="0.25">
      <c r="A664" s="38">
        <v>5.1859000000000002</v>
      </c>
      <c r="B664" s="21">
        <v>46073.543361388889</v>
      </c>
    </row>
    <row r="665" spans="1:2" x14ac:dyDescent="0.25">
      <c r="A665" s="38">
        <v>5.1943000000000001</v>
      </c>
      <c r="B665" s="21">
        <v>46073.507237916667</v>
      </c>
    </row>
    <row r="666" spans="1:2" x14ac:dyDescent="0.25">
      <c r="A666" s="38">
        <v>5.2041000000000004</v>
      </c>
      <c r="B666" s="21">
        <v>46073.460698368057</v>
      </c>
    </row>
    <row r="667" spans="1:2" x14ac:dyDescent="0.25">
      <c r="A667" s="38">
        <v>5.218</v>
      </c>
      <c r="B667" s="21">
        <v>46073.418366192127</v>
      </c>
    </row>
    <row r="668" spans="1:2" x14ac:dyDescent="0.25">
      <c r="A668" s="38">
        <v>5.2256999999999998</v>
      </c>
      <c r="B668" s="21">
        <v>46072.549616458331</v>
      </c>
    </row>
    <row r="669" spans="1:2" x14ac:dyDescent="0.25">
      <c r="A669" s="38">
        <v>5.2201000000000004</v>
      </c>
      <c r="B669" s="21">
        <v>46072.549616354168</v>
      </c>
    </row>
    <row r="670" spans="1:2" x14ac:dyDescent="0.25">
      <c r="A670" s="38">
        <v>5.2257999999999996</v>
      </c>
      <c r="B670" s="21">
        <v>46072.506557685185</v>
      </c>
    </row>
    <row r="671" spans="1:2" x14ac:dyDescent="0.25">
      <c r="A671" s="38">
        <v>5.2187999999999999</v>
      </c>
      <c r="B671" s="21">
        <v>46072.462099652781</v>
      </c>
    </row>
    <row r="672" spans="1:2" x14ac:dyDescent="0.25">
      <c r="A672" s="38">
        <v>5.2378999999999998</v>
      </c>
      <c r="B672" s="21">
        <v>46072.424534201389</v>
      </c>
    </row>
    <row r="673" spans="1:2" x14ac:dyDescent="0.25">
      <c r="A673" s="38">
        <v>5.2348999999999997</v>
      </c>
      <c r="B673" s="21">
        <v>46071.653110671294</v>
      </c>
    </row>
    <row r="674" spans="1:2" x14ac:dyDescent="0.25">
      <c r="A674" s="38">
        <v>5.2408999999999999</v>
      </c>
      <c r="B674" s="21">
        <v>46071.653110497682</v>
      </c>
    </row>
    <row r="675" spans="1:2" x14ac:dyDescent="0.25">
      <c r="A675" s="38">
        <v>5.2287999999999997</v>
      </c>
      <c r="B675" s="21">
        <v>46071.611430416669</v>
      </c>
    </row>
    <row r="676" spans="1:2" x14ac:dyDescent="0.25">
      <c r="A676" s="38">
        <v>5.2287999999999997</v>
      </c>
      <c r="B676" s="21">
        <v>46066.544769340275</v>
      </c>
    </row>
    <row r="677" spans="1:2" x14ac:dyDescent="0.25">
      <c r="A677" s="38">
        <v>5.2370000000000001</v>
      </c>
      <c r="B677" s="21">
        <v>46066.544769270833</v>
      </c>
    </row>
    <row r="678" spans="1:2" x14ac:dyDescent="0.25">
      <c r="A678" s="38">
        <v>5.2413999999999996</v>
      </c>
      <c r="B678" s="21">
        <v>46066.50455302083</v>
      </c>
    </row>
    <row r="679" spans="1:2" x14ac:dyDescent="0.25">
      <c r="A679" s="38">
        <v>5.2191000000000001</v>
      </c>
      <c r="B679" s="21">
        <v>46066.463488958332</v>
      </c>
    </row>
    <row r="680" spans="1:2" x14ac:dyDescent="0.25">
      <c r="A680" s="38">
        <v>5.2176</v>
      </c>
      <c r="B680" s="21">
        <v>46066.422534652775</v>
      </c>
    </row>
    <row r="681" spans="1:2" x14ac:dyDescent="0.25">
      <c r="A681" s="38">
        <v>5.1673999999999998</v>
      </c>
      <c r="B681" s="21">
        <v>46065.544886493059</v>
      </c>
    </row>
    <row r="682" spans="1:2" x14ac:dyDescent="0.25">
      <c r="A682" s="38">
        <v>5.1714000000000002</v>
      </c>
      <c r="B682" s="21">
        <v>46065.54488642361</v>
      </c>
    </row>
    <row r="683" spans="1:2" x14ac:dyDescent="0.25">
      <c r="A683" s="38">
        <v>5.1603000000000003</v>
      </c>
      <c r="B683" s="21">
        <v>46065.504453576388</v>
      </c>
    </row>
    <row r="684" spans="1:2" x14ac:dyDescent="0.25">
      <c r="A684" s="38">
        <v>5.1620999999999997</v>
      </c>
      <c r="B684" s="21">
        <v>46065.460716597219</v>
      </c>
    </row>
    <row r="685" spans="1:2" x14ac:dyDescent="0.25">
      <c r="A685" s="38">
        <v>5.1757999999999997</v>
      </c>
      <c r="B685" s="21">
        <v>46065.424608900466</v>
      </c>
    </row>
    <row r="686" spans="1:2" x14ac:dyDescent="0.25">
      <c r="A686" s="38">
        <v>5.1836000000000002</v>
      </c>
      <c r="B686" s="21">
        <v>46064.544079560183</v>
      </c>
    </row>
    <row r="687" spans="1:2" x14ac:dyDescent="0.25">
      <c r="A687" s="38">
        <v>5.1867999999999999</v>
      </c>
      <c r="B687" s="21">
        <v>46064.544079490741</v>
      </c>
    </row>
    <row r="688" spans="1:2" x14ac:dyDescent="0.25">
      <c r="A688" s="38">
        <v>5.1806999999999999</v>
      </c>
      <c r="B688" s="21">
        <v>46064.507936087961</v>
      </c>
    </row>
    <row r="689" spans="1:2" x14ac:dyDescent="0.25">
      <c r="A689" s="38">
        <v>5.1837</v>
      </c>
      <c r="B689" s="21">
        <v>46064.460719016206</v>
      </c>
    </row>
    <row r="690" spans="1:2" x14ac:dyDescent="0.25">
      <c r="A690" s="38">
        <v>5.1829999999999998</v>
      </c>
      <c r="B690" s="21">
        <v>46064.418381180556</v>
      </c>
    </row>
    <row r="691" spans="1:2" x14ac:dyDescent="0.25">
      <c r="A691" s="38">
        <v>5.2020999999999997</v>
      </c>
      <c r="B691" s="21">
        <v>46063.548927754629</v>
      </c>
    </row>
    <row r="692" spans="1:2" x14ac:dyDescent="0.25">
      <c r="A692" s="38">
        <v>5.2053000000000003</v>
      </c>
      <c r="B692" s="21">
        <v>46063.548927673612</v>
      </c>
    </row>
    <row r="693" spans="1:2" x14ac:dyDescent="0.25">
      <c r="A693" s="38">
        <v>5.2</v>
      </c>
      <c r="B693" s="21">
        <v>46063.505163611109</v>
      </c>
    </row>
    <row r="694" spans="1:2" x14ac:dyDescent="0.25">
      <c r="A694" s="38">
        <v>5.1981999999999999</v>
      </c>
      <c r="B694" s="21">
        <v>46063.460711979169</v>
      </c>
    </row>
    <row r="695" spans="1:2" x14ac:dyDescent="0.25">
      <c r="A695" s="38">
        <v>5.2049000000000003</v>
      </c>
      <c r="B695" s="21">
        <v>46063.419046736111</v>
      </c>
    </row>
    <row r="696" spans="1:2" x14ac:dyDescent="0.25">
      <c r="A696" s="38">
        <v>5.1943000000000001</v>
      </c>
      <c r="B696" s="21">
        <v>46062.548233900467</v>
      </c>
    </row>
    <row r="697" spans="1:2" x14ac:dyDescent="0.25">
      <c r="A697" s="38">
        <v>5.1776</v>
      </c>
      <c r="B697" s="21">
        <v>46062.548233819442</v>
      </c>
    </row>
    <row r="698" spans="1:2" x14ac:dyDescent="0.25">
      <c r="A698" s="38">
        <v>5.1867999999999999</v>
      </c>
      <c r="B698" s="21">
        <v>46062.505371747684</v>
      </c>
    </row>
    <row r="699" spans="1:2" x14ac:dyDescent="0.25">
      <c r="A699" s="38">
        <v>5.2081</v>
      </c>
      <c r="B699" s="21">
        <v>46062.460724942131</v>
      </c>
    </row>
    <row r="700" spans="1:2" x14ac:dyDescent="0.25">
      <c r="A700" s="38">
        <v>5.2047999999999996</v>
      </c>
      <c r="B700" s="21">
        <v>46062.419057997686</v>
      </c>
    </row>
    <row r="701" spans="1:2" x14ac:dyDescent="0.25">
      <c r="A701" s="38">
        <v>5.2340999999999998</v>
      </c>
      <c r="B701" s="21">
        <v>46059.548928946759</v>
      </c>
    </row>
    <row r="702" spans="1:2" x14ac:dyDescent="0.25">
      <c r="A702" s="38">
        <v>5.2286999999999999</v>
      </c>
      <c r="B702" s="21">
        <v>46059.548928865741</v>
      </c>
    </row>
    <row r="703" spans="1:2" x14ac:dyDescent="0.25">
      <c r="A703" s="38">
        <v>5.2289000000000003</v>
      </c>
      <c r="B703" s="21">
        <v>46059.503070150466</v>
      </c>
    </row>
    <row r="704" spans="1:2" x14ac:dyDescent="0.25">
      <c r="A704" s="38">
        <v>5.2275999999999998</v>
      </c>
      <c r="B704" s="21">
        <v>46059.465573009256</v>
      </c>
    </row>
    <row r="705" spans="1:2" x14ac:dyDescent="0.25">
      <c r="A705" s="38">
        <v>5.2512999999999996</v>
      </c>
      <c r="B705" s="21">
        <v>46059.419047326388</v>
      </c>
    </row>
    <row r="706" spans="1:2" x14ac:dyDescent="0.25">
      <c r="A706" s="38">
        <v>5.258</v>
      </c>
      <c r="B706" s="21">
        <v>46058.545478414351</v>
      </c>
    </row>
    <row r="707" spans="1:2" x14ac:dyDescent="0.25">
      <c r="A707" s="38">
        <v>5.2733999999999996</v>
      </c>
      <c r="B707" s="21">
        <v>46058.545478344909</v>
      </c>
    </row>
    <row r="708" spans="1:2" x14ac:dyDescent="0.25">
      <c r="A708" s="38">
        <v>5.2439999999999998</v>
      </c>
      <c r="B708" s="21">
        <v>46058.502356122684</v>
      </c>
    </row>
    <row r="709" spans="1:2" x14ac:dyDescent="0.25">
      <c r="A709" s="38">
        <v>5.2522000000000002</v>
      </c>
      <c r="B709" s="21">
        <v>46058.466269999997</v>
      </c>
    </row>
    <row r="710" spans="1:2" x14ac:dyDescent="0.25">
      <c r="A710" s="38">
        <v>5.2624000000000004</v>
      </c>
      <c r="B710" s="21">
        <v>46058.421129074071</v>
      </c>
    </row>
    <row r="711" spans="1:2" x14ac:dyDescent="0.25">
      <c r="A711" s="38">
        <v>5.2359</v>
      </c>
      <c r="B711" s="21">
        <v>46057.548941701389</v>
      </c>
    </row>
    <row r="712" spans="1:2" x14ac:dyDescent="0.25">
      <c r="A712" s="38">
        <v>5.2525000000000004</v>
      </c>
      <c r="B712" s="21">
        <v>46057.548941643516</v>
      </c>
    </row>
    <row r="713" spans="1:2" x14ac:dyDescent="0.25">
      <c r="A713" s="38">
        <v>5.2468000000000004</v>
      </c>
      <c r="B713" s="21">
        <v>46057.502382766201</v>
      </c>
    </row>
    <row r="714" spans="1:2" x14ac:dyDescent="0.25">
      <c r="A714" s="38">
        <v>5.2248000000000001</v>
      </c>
      <c r="B714" s="21">
        <v>46057.465583738427</v>
      </c>
    </row>
    <row r="715" spans="1:2" x14ac:dyDescent="0.25">
      <c r="A715" s="38">
        <v>5.2195</v>
      </c>
      <c r="B715" s="21">
        <v>46057.424095868053</v>
      </c>
    </row>
    <row r="716" spans="1:2" x14ac:dyDescent="0.25">
      <c r="A716" s="38">
        <v>5.2236000000000002</v>
      </c>
      <c r="B716" s="21">
        <v>46056.549620694444</v>
      </c>
    </row>
    <row r="717" spans="1:2" x14ac:dyDescent="0.25">
      <c r="A717" s="38">
        <v>5.2157999999999998</v>
      </c>
      <c r="B717" s="21">
        <v>46056.549620578706</v>
      </c>
    </row>
    <row r="718" spans="1:2" x14ac:dyDescent="0.25">
      <c r="A718" s="38">
        <v>5.2297000000000002</v>
      </c>
      <c r="B718" s="21">
        <v>46056.501680601854</v>
      </c>
    </row>
    <row r="719" spans="1:2" x14ac:dyDescent="0.25">
      <c r="A719" s="38">
        <v>5.2168000000000001</v>
      </c>
      <c r="B719" s="21">
        <v>46056.461394918981</v>
      </c>
    </row>
    <row r="720" spans="1:2" x14ac:dyDescent="0.25">
      <c r="A720" s="38">
        <v>5.2321</v>
      </c>
      <c r="B720" s="21">
        <v>46056.418356736111</v>
      </c>
    </row>
    <row r="721" spans="1:2" x14ac:dyDescent="0.25">
      <c r="A721" s="38">
        <v>5.2587000000000002</v>
      </c>
      <c r="B721" s="21">
        <v>46055.546851122686</v>
      </c>
    </row>
    <row r="722" spans="1:2" x14ac:dyDescent="0.25">
      <c r="A722" s="38">
        <v>5.2619999999999996</v>
      </c>
      <c r="B722" s="21">
        <v>46055.546851030093</v>
      </c>
    </row>
    <row r="723" spans="1:2" x14ac:dyDescent="0.25">
      <c r="A723" s="38">
        <v>5.2583000000000002</v>
      </c>
      <c r="B723" s="21">
        <v>46055.506550706021</v>
      </c>
    </row>
    <row r="724" spans="1:2" x14ac:dyDescent="0.25">
      <c r="A724" s="38">
        <v>5.2595000000000001</v>
      </c>
      <c r="B724" s="21">
        <v>46055.461413634257</v>
      </c>
    </row>
    <row r="725" spans="1:2" x14ac:dyDescent="0.25">
      <c r="A725" s="38">
        <v>5.2548000000000004</v>
      </c>
      <c r="B725" s="21">
        <v>46055.424624178238</v>
      </c>
    </row>
    <row r="726" spans="1:2" x14ac:dyDescent="0.25">
      <c r="A726" s="38">
        <v>5.2301000000000002</v>
      </c>
      <c r="B726" s="21">
        <v>46052.545471412035</v>
      </c>
    </row>
    <row r="727" spans="1:2" x14ac:dyDescent="0.25">
      <c r="A727" s="38">
        <v>5.2354000000000003</v>
      </c>
      <c r="B727" s="21">
        <v>46052.545471307873</v>
      </c>
    </row>
    <row r="728" spans="1:2" x14ac:dyDescent="0.25">
      <c r="A728" s="38">
        <v>5.2263000000000002</v>
      </c>
      <c r="B728" s="21">
        <v>46052.505852314818</v>
      </c>
    </row>
    <row r="729" spans="1:2" x14ac:dyDescent="0.25">
      <c r="A729" s="38">
        <v>5.2348999999999997</v>
      </c>
      <c r="B729" s="21">
        <v>46052.461407002316</v>
      </c>
    </row>
    <row r="730" spans="1:2" x14ac:dyDescent="0.25">
      <c r="A730" s="38">
        <v>5.2236000000000002</v>
      </c>
      <c r="B730" s="21">
        <v>46052.423208159722</v>
      </c>
    </row>
    <row r="731" spans="1:2" x14ac:dyDescent="0.25">
      <c r="A731" s="38">
        <v>5.1955999999999998</v>
      </c>
      <c r="B731" s="21">
        <v>46051.547487592594</v>
      </c>
    </row>
    <row r="732" spans="1:2" x14ac:dyDescent="0.25">
      <c r="A732" s="38">
        <v>5.2153</v>
      </c>
      <c r="B732" s="21">
        <v>46051.547487523145</v>
      </c>
    </row>
    <row r="733" spans="1:2" x14ac:dyDescent="0.25">
      <c r="A733" s="38">
        <v>5.2028999999999996</v>
      </c>
      <c r="B733" s="21">
        <v>46051.502371562499</v>
      </c>
    </row>
    <row r="734" spans="1:2" x14ac:dyDescent="0.25">
      <c r="A734" s="38">
        <v>5.1814999999999998</v>
      </c>
      <c r="B734" s="21">
        <v>46051.466266770833</v>
      </c>
    </row>
    <row r="735" spans="1:2" x14ac:dyDescent="0.25">
      <c r="A735" s="38">
        <v>5.1828000000000003</v>
      </c>
      <c r="B735" s="21">
        <v>46051.423982893517</v>
      </c>
    </row>
    <row r="736" spans="1:2" x14ac:dyDescent="0.25">
      <c r="A736" s="38">
        <v>5.1837999999999997</v>
      </c>
      <c r="B736" s="21">
        <v>46050.54892814815</v>
      </c>
    </row>
    <row r="737" spans="1:2" x14ac:dyDescent="0.25">
      <c r="A737" s="38">
        <v>5.2022000000000004</v>
      </c>
      <c r="B737" s="21">
        <v>46050.548928055556</v>
      </c>
    </row>
    <row r="738" spans="1:2" x14ac:dyDescent="0.25">
      <c r="A738" s="38">
        <v>5.1841999999999997</v>
      </c>
      <c r="B738" s="21">
        <v>46050.505865486113</v>
      </c>
    </row>
    <row r="739" spans="1:2" x14ac:dyDescent="0.25">
      <c r="A739" s="38">
        <v>5.1764000000000001</v>
      </c>
      <c r="B739" s="21">
        <v>46050.488104016207</v>
      </c>
    </row>
    <row r="740" spans="1:2" x14ac:dyDescent="0.25">
      <c r="A740" s="38">
        <v>5.1723999999999997</v>
      </c>
      <c r="B740" s="21">
        <v>46050.420434618056</v>
      </c>
    </row>
    <row r="741" spans="1:2" x14ac:dyDescent="0.25">
      <c r="A741" s="38">
        <v>5.2392000000000003</v>
      </c>
      <c r="B741" s="21">
        <v>46049.547520636574</v>
      </c>
    </row>
    <row r="742" spans="1:2" x14ac:dyDescent="0.25">
      <c r="A742" s="38">
        <v>5.2117000000000004</v>
      </c>
      <c r="B742" s="21">
        <v>46049.547520509259</v>
      </c>
    </row>
    <row r="743" spans="1:2" x14ac:dyDescent="0.25">
      <c r="A743" s="38">
        <v>5.2434000000000003</v>
      </c>
      <c r="B743" s="21">
        <v>46049.507235543984</v>
      </c>
    </row>
    <row r="744" spans="1:2" x14ac:dyDescent="0.25">
      <c r="A744" s="38">
        <v>5.2451999999999996</v>
      </c>
      <c r="B744" s="21">
        <v>46049.464175925925</v>
      </c>
    </row>
    <row r="745" spans="1:2" x14ac:dyDescent="0.25">
      <c r="A745" s="38">
        <v>5.2564000000000002</v>
      </c>
      <c r="B745" s="21">
        <v>46049.419044432871</v>
      </c>
    </row>
    <row r="746" spans="1:2" x14ac:dyDescent="0.25">
      <c r="A746" s="38">
        <v>5.2759999999999998</v>
      </c>
      <c r="B746" s="21">
        <v>46048.547951747685</v>
      </c>
    </row>
    <row r="747" spans="1:2" x14ac:dyDescent="0.25">
      <c r="A747" s="38">
        <v>5.2651000000000003</v>
      </c>
      <c r="B747" s="21">
        <v>46048.54795162037</v>
      </c>
    </row>
    <row r="748" spans="1:2" x14ac:dyDescent="0.25">
      <c r="A748" s="38">
        <v>5.2686999999999999</v>
      </c>
      <c r="B748" s="21">
        <v>46048.502381342594</v>
      </c>
    </row>
    <row r="749" spans="1:2" x14ac:dyDescent="0.25">
      <c r="A749" s="38">
        <v>5.2842000000000002</v>
      </c>
      <c r="B749" s="21">
        <v>46048.46071767361</v>
      </c>
    </row>
    <row r="750" spans="1:2" x14ac:dyDescent="0.25">
      <c r="A750" s="38">
        <v>5.2861000000000002</v>
      </c>
      <c r="B750" s="21">
        <v>46048.424617106481</v>
      </c>
    </row>
    <row r="751" spans="1:2" x14ac:dyDescent="0.25">
      <c r="A751" s="38">
        <v>5.2878999999999996</v>
      </c>
      <c r="B751" s="21">
        <v>46045.548212372683</v>
      </c>
    </row>
    <row r="752" spans="1:2" x14ac:dyDescent="0.25">
      <c r="A752" s="38">
        <v>5.2843</v>
      </c>
      <c r="B752" s="21">
        <v>46045.548212314818</v>
      </c>
    </row>
    <row r="753" spans="1:2" x14ac:dyDescent="0.25">
      <c r="A753" s="38">
        <v>5.2944000000000004</v>
      </c>
      <c r="B753" s="21">
        <v>46045.508497314811</v>
      </c>
    </row>
    <row r="754" spans="1:2" x14ac:dyDescent="0.25">
      <c r="A754" s="38">
        <v>5.2934000000000001</v>
      </c>
      <c r="B754" s="21">
        <v>46045.464868750001</v>
      </c>
    </row>
    <row r="755" spans="1:2" x14ac:dyDescent="0.25">
      <c r="A755" s="38">
        <v>5.2793000000000001</v>
      </c>
      <c r="B755" s="21">
        <v>46045.423902118055</v>
      </c>
    </row>
    <row r="756" spans="1:2" x14ac:dyDescent="0.25">
      <c r="A756" s="38">
        <v>5.3117999999999999</v>
      </c>
      <c r="B756" s="21">
        <v>46044.54683334491</v>
      </c>
    </row>
    <row r="757" spans="1:2" x14ac:dyDescent="0.25">
      <c r="A757" s="38">
        <v>5.2950999999999997</v>
      </c>
      <c r="B757" s="21">
        <v>46044.546833263892</v>
      </c>
    </row>
    <row r="758" spans="1:2" x14ac:dyDescent="0.25">
      <c r="A758" s="38">
        <v>5.3146000000000004</v>
      </c>
      <c r="B758" s="21">
        <v>46044.504459363423</v>
      </c>
    </row>
    <row r="759" spans="1:2" x14ac:dyDescent="0.25">
      <c r="A759" s="38">
        <v>5.3242000000000003</v>
      </c>
      <c r="B759" s="21">
        <v>46044.462792106482</v>
      </c>
    </row>
    <row r="760" spans="1:2" x14ac:dyDescent="0.25">
      <c r="A760" s="38">
        <v>5.3133999999999997</v>
      </c>
      <c r="B760" s="21">
        <v>46044.423214826391</v>
      </c>
    </row>
    <row r="761" spans="1:2" x14ac:dyDescent="0.25">
      <c r="A761" s="38">
        <v>5.3368000000000002</v>
      </c>
      <c r="B761" s="21">
        <v>46043.544824837962</v>
      </c>
    </row>
    <row r="762" spans="1:2" x14ac:dyDescent="0.25">
      <c r="A762" s="38">
        <v>5.3239999999999998</v>
      </c>
      <c r="B762" s="21">
        <v>46043.544824756944</v>
      </c>
    </row>
    <row r="763" spans="1:2" x14ac:dyDescent="0.25">
      <c r="A763" s="38">
        <v>5.3277999999999999</v>
      </c>
      <c r="B763" s="21">
        <v>46043.506571365739</v>
      </c>
    </row>
    <row r="764" spans="1:2" x14ac:dyDescent="0.25">
      <c r="A764" s="38">
        <v>5.3472999999999997</v>
      </c>
      <c r="B764" s="21">
        <v>46043.464872523145</v>
      </c>
    </row>
    <row r="765" spans="1:2" x14ac:dyDescent="0.25">
      <c r="A765" s="38">
        <v>5.3480999999999996</v>
      </c>
      <c r="B765" s="21">
        <v>46043.420431655089</v>
      </c>
    </row>
    <row r="766" spans="1:2" x14ac:dyDescent="0.25">
      <c r="A766" s="38">
        <v>5.3789999999999996</v>
      </c>
      <c r="B766" s="21">
        <v>46042.543411886574</v>
      </c>
    </row>
    <row r="767" spans="1:2" x14ac:dyDescent="0.25">
      <c r="A767" s="38">
        <v>5.3659999999999997</v>
      </c>
      <c r="B767" s="21">
        <v>46042.543411782404</v>
      </c>
    </row>
    <row r="768" spans="1:2" x14ac:dyDescent="0.25">
      <c r="A768" s="38">
        <v>5.3757999999999999</v>
      </c>
      <c r="B768" s="21">
        <v>46042.502856168983</v>
      </c>
    </row>
    <row r="769" spans="1:2" x14ac:dyDescent="0.25">
      <c r="A769" s="38">
        <v>5.3871000000000002</v>
      </c>
      <c r="B769" s="21">
        <v>46042.464184467593</v>
      </c>
    </row>
    <row r="770" spans="1:2" x14ac:dyDescent="0.25">
      <c r="A770" s="38">
        <v>5.3872</v>
      </c>
      <c r="B770" s="21">
        <v>46042.420427708334</v>
      </c>
    </row>
    <row r="771" spans="1:2" x14ac:dyDescent="0.25">
      <c r="A771" s="38">
        <v>5.3653000000000004</v>
      </c>
      <c r="B771" s="21">
        <v>46041.546847939811</v>
      </c>
    </row>
    <row r="772" spans="1:2" x14ac:dyDescent="0.25">
      <c r="A772" s="38">
        <v>5.3559999999999999</v>
      </c>
      <c r="B772" s="21">
        <v>46041.546847858794</v>
      </c>
    </row>
    <row r="773" spans="1:2" x14ac:dyDescent="0.25">
      <c r="A773" s="38">
        <v>5.3681000000000001</v>
      </c>
      <c r="B773" s="21">
        <v>46041.505160046298</v>
      </c>
    </row>
    <row r="774" spans="1:2" x14ac:dyDescent="0.25">
      <c r="A774" s="38">
        <v>5.3666999999999998</v>
      </c>
      <c r="B774" s="21">
        <v>46041.464880995372</v>
      </c>
    </row>
    <row r="775" spans="1:2" x14ac:dyDescent="0.25">
      <c r="A775" s="38">
        <v>5.3704000000000001</v>
      </c>
      <c r="B775" s="21">
        <v>46041.423532881941</v>
      </c>
    </row>
    <row r="776" spans="1:2" x14ac:dyDescent="0.25">
      <c r="A776" s="38">
        <v>5.3798000000000004</v>
      </c>
      <c r="B776" s="21">
        <v>46038.544750995374</v>
      </c>
    </row>
    <row r="777" spans="1:2" x14ac:dyDescent="0.25">
      <c r="A777" s="38">
        <v>5.3811999999999998</v>
      </c>
      <c r="B777" s="21">
        <v>46038.54475090278</v>
      </c>
    </row>
    <row r="778" spans="1:2" x14ac:dyDescent="0.25">
      <c r="A778" s="38">
        <v>5.3857999999999997</v>
      </c>
      <c r="B778" s="21">
        <v>46038.505849490743</v>
      </c>
    </row>
    <row r="779" spans="1:2" x14ac:dyDescent="0.25">
      <c r="A779" s="38">
        <v>5.3780999999999999</v>
      </c>
      <c r="B779" s="21">
        <v>46038.460026736109</v>
      </c>
    </row>
    <row r="780" spans="1:2" x14ac:dyDescent="0.25">
      <c r="A780" s="38">
        <v>5.3741000000000003</v>
      </c>
      <c r="B780" s="21">
        <v>46038.422517685183</v>
      </c>
    </row>
    <row r="781" spans="1:2" x14ac:dyDescent="0.25">
      <c r="A781" s="38">
        <v>5.3845999999999998</v>
      </c>
      <c r="B781" s="21">
        <v>46037.545435879627</v>
      </c>
    </row>
    <row r="782" spans="1:2" x14ac:dyDescent="0.25">
      <c r="A782" s="38">
        <v>5.3704999999999998</v>
      </c>
      <c r="B782" s="21">
        <v>46037.54543583333</v>
      </c>
    </row>
    <row r="783" spans="1:2" x14ac:dyDescent="0.25">
      <c r="A783" s="38">
        <v>5.3856000000000002</v>
      </c>
      <c r="B783" s="21">
        <v>46037.503074282409</v>
      </c>
    </row>
    <row r="784" spans="1:2" x14ac:dyDescent="0.25">
      <c r="A784" s="38">
        <v>5.3963999999999999</v>
      </c>
      <c r="B784" s="21">
        <v>46037.465463738423</v>
      </c>
    </row>
    <row r="785" spans="1:2" x14ac:dyDescent="0.25">
      <c r="A785" s="38">
        <v>5.3860000000000001</v>
      </c>
      <c r="B785" s="21">
        <v>46037.419048854164</v>
      </c>
    </row>
    <row r="786" spans="1:2" x14ac:dyDescent="0.25">
      <c r="A786" s="38">
        <v>5.3795000000000002</v>
      </c>
      <c r="B786" s="21">
        <v>46036.544819571762</v>
      </c>
    </row>
    <row r="787" spans="1:2" x14ac:dyDescent="0.25">
      <c r="A787" s="38">
        <v>5.3943000000000003</v>
      </c>
      <c r="B787" s="21">
        <v>46036.544819525465</v>
      </c>
    </row>
    <row r="788" spans="1:2" x14ac:dyDescent="0.25">
      <c r="A788" s="38">
        <v>5.3822000000000001</v>
      </c>
      <c r="B788" s="21">
        <v>46036.508135555552</v>
      </c>
    </row>
    <row r="789" spans="1:2" x14ac:dyDescent="0.25">
      <c r="A789" s="38">
        <v>5.3760000000000003</v>
      </c>
      <c r="B789" s="21">
        <v>46036.462101261575</v>
      </c>
    </row>
    <row r="790" spans="1:2" x14ac:dyDescent="0.25">
      <c r="A790" s="38">
        <v>5.3654999999999999</v>
      </c>
      <c r="B790" s="21">
        <v>46036.419733807874</v>
      </c>
    </row>
    <row r="791" spans="1:2" x14ac:dyDescent="0.25">
      <c r="A791" s="38">
        <v>5.3764000000000003</v>
      </c>
      <c r="B791" s="21">
        <v>46035.547849131945</v>
      </c>
    </row>
    <row r="792" spans="1:2" x14ac:dyDescent="0.25">
      <c r="A792" s="38">
        <v>5.3792</v>
      </c>
      <c r="B792" s="21">
        <v>46035.54784900463</v>
      </c>
    </row>
    <row r="793" spans="1:2" x14ac:dyDescent="0.25">
      <c r="A793" s="38">
        <v>5.3764000000000003</v>
      </c>
      <c r="B793" s="21">
        <v>46035.505386562501</v>
      </c>
    </row>
    <row r="794" spans="1:2" x14ac:dyDescent="0.25">
      <c r="A794" s="38">
        <v>5.3691000000000004</v>
      </c>
      <c r="B794" s="21">
        <v>46035.466276863423</v>
      </c>
    </row>
    <row r="795" spans="1:2" x14ac:dyDescent="0.25">
      <c r="A795" s="38">
        <v>5.3807</v>
      </c>
      <c r="B795" s="21">
        <v>46035.418377337963</v>
      </c>
    </row>
    <row r="796" spans="1:2" x14ac:dyDescent="0.25">
      <c r="A796" s="38">
        <v>5.3760000000000003</v>
      </c>
      <c r="B796" s="21">
        <v>46034.54755851852</v>
      </c>
    </row>
    <row r="797" spans="1:2" x14ac:dyDescent="0.25">
      <c r="A797" s="38">
        <v>5.3712999999999997</v>
      </c>
      <c r="B797" s="21">
        <v>46034.547558402781</v>
      </c>
    </row>
    <row r="798" spans="1:2" x14ac:dyDescent="0.25">
      <c r="A798" s="38">
        <v>5.3742999999999999</v>
      </c>
      <c r="B798" s="21">
        <v>46034.501700046298</v>
      </c>
    </row>
    <row r="799" spans="1:2" x14ac:dyDescent="0.25">
      <c r="A799" s="38">
        <v>5.3799000000000001</v>
      </c>
      <c r="B799" s="21">
        <v>46034.464881412037</v>
      </c>
    </row>
    <row r="800" spans="1:2" x14ac:dyDescent="0.25">
      <c r="A800" s="38">
        <v>5.3784999999999998</v>
      </c>
      <c r="B800" s="21">
        <v>46034.424609317131</v>
      </c>
    </row>
    <row r="801" spans="1:2" x14ac:dyDescent="0.25">
      <c r="A801" s="38">
        <v>5.3707000000000003</v>
      </c>
      <c r="B801" s="21">
        <v>46031.548252939814</v>
      </c>
    </row>
    <row r="802" spans="1:2" x14ac:dyDescent="0.25">
      <c r="A802" s="38">
        <v>5.359</v>
      </c>
      <c r="B802" s="21">
        <v>46031.548252881941</v>
      </c>
    </row>
    <row r="803" spans="1:2" x14ac:dyDescent="0.25">
      <c r="A803" s="38">
        <v>5.3669000000000002</v>
      </c>
      <c r="B803" s="21">
        <v>46031.505386493052</v>
      </c>
    </row>
    <row r="804" spans="1:2" x14ac:dyDescent="0.25">
      <c r="A804" s="38">
        <v>5.3696999999999999</v>
      </c>
      <c r="B804" s="21">
        <v>46031.466272731479</v>
      </c>
    </row>
    <row r="805" spans="1:2" x14ac:dyDescent="0.25">
      <c r="A805" s="38">
        <v>5.3871000000000002</v>
      </c>
      <c r="B805" s="21">
        <v>46031.419053935184</v>
      </c>
    </row>
    <row r="806" spans="1:2" x14ac:dyDescent="0.25">
      <c r="A806" s="38">
        <v>5.3860000000000001</v>
      </c>
      <c r="B806" s="21">
        <v>46030.544775648152</v>
      </c>
    </row>
    <row r="807" spans="1:2" x14ac:dyDescent="0.25">
      <c r="A807" s="38">
        <v>5.3891999999999998</v>
      </c>
      <c r="B807" s="21">
        <v>46030.544775590279</v>
      </c>
    </row>
    <row r="808" spans="1:2" x14ac:dyDescent="0.25">
      <c r="A808" s="38">
        <v>5.3872</v>
      </c>
      <c r="B808" s="21">
        <v>46030.503845486113</v>
      </c>
    </row>
    <row r="809" spans="1:2" x14ac:dyDescent="0.25">
      <c r="A809" s="38">
        <v>5.3860999999999999</v>
      </c>
      <c r="B809" s="21">
        <v>46030.464190416664</v>
      </c>
    </row>
    <row r="810" spans="1:2" x14ac:dyDescent="0.25">
      <c r="A810" s="38">
        <v>5.3814000000000002</v>
      </c>
      <c r="B810" s="21">
        <v>46030.418377372684</v>
      </c>
    </row>
    <row r="811" spans="1:2" x14ac:dyDescent="0.25">
      <c r="A811" s="38">
        <v>5.3879999999999999</v>
      </c>
      <c r="B811" s="21">
        <v>46029.546145844906</v>
      </c>
    </row>
    <row r="812" spans="1:2" x14ac:dyDescent="0.25">
      <c r="A812" s="38">
        <v>5.3933</v>
      </c>
      <c r="B812" s="21">
        <v>46029.546145763888</v>
      </c>
    </row>
    <row r="813" spans="1:2" x14ac:dyDescent="0.25">
      <c r="A813" s="38">
        <v>5.3949999999999996</v>
      </c>
      <c r="B813" s="21">
        <v>46029.507239872684</v>
      </c>
    </row>
    <row r="814" spans="1:2" x14ac:dyDescent="0.25">
      <c r="A814" s="38">
        <v>5.3787000000000003</v>
      </c>
      <c r="B814" s="21">
        <v>46029.460733032407</v>
      </c>
    </row>
    <row r="815" spans="1:2" x14ac:dyDescent="0.25">
      <c r="A815" s="38">
        <v>5.3851000000000004</v>
      </c>
      <c r="B815" s="21">
        <v>46029.420436145832</v>
      </c>
    </row>
    <row r="816" spans="1:2" x14ac:dyDescent="0.25">
      <c r="A816" s="38">
        <v>5.3796999999999997</v>
      </c>
      <c r="B816" s="21">
        <v>46028.550085162038</v>
      </c>
    </row>
    <row r="817" spans="1:2" x14ac:dyDescent="0.25">
      <c r="A817" s="38">
        <v>5.3704999999999998</v>
      </c>
      <c r="B817" s="21">
        <v>46028.5500850463</v>
      </c>
    </row>
    <row r="818" spans="1:2" x14ac:dyDescent="0.25">
      <c r="A818" s="38">
        <v>5.3692000000000002</v>
      </c>
      <c r="B818" s="21">
        <v>46028.505854444447</v>
      </c>
    </row>
    <row r="819" spans="1:2" x14ac:dyDescent="0.25">
      <c r="A819" s="38">
        <v>5.3826000000000001</v>
      </c>
      <c r="B819" s="21">
        <v>46028.463492650466</v>
      </c>
    </row>
    <row r="820" spans="1:2" x14ac:dyDescent="0.25">
      <c r="A820" s="38">
        <v>5.3964999999999996</v>
      </c>
      <c r="B820" s="21">
        <v>46028.424627349537</v>
      </c>
    </row>
    <row r="821" spans="1:2" x14ac:dyDescent="0.25">
      <c r="A821" s="38">
        <v>5.4351000000000003</v>
      </c>
      <c r="B821" s="21">
        <v>46027.548783518519</v>
      </c>
    </row>
    <row r="822" spans="1:2" x14ac:dyDescent="0.25">
      <c r="A822" s="38">
        <v>5.4183000000000003</v>
      </c>
      <c r="B822" s="21">
        <v>46027.548783402781</v>
      </c>
    </row>
    <row r="823" spans="1:2" x14ac:dyDescent="0.25">
      <c r="A823" s="38">
        <v>5.4340999999999999</v>
      </c>
      <c r="B823" s="21">
        <v>46027.50724958333</v>
      </c>
    </row>
    <row r="824" spans="1:2" x14ac:dyDescent="0.25">
      <c r="A824" s="38">
        <v>5.4457000000000004</v>
      </c>
      <c r="B824" s="21">
        <v>46027.460727245372</v>
      </c>
    </row>
    <row r="825" spans="1:2" x14ac:dyDescent="0.25">
      <c r="A825" s="38">
        <v>5.4424000000000001</v>
      </c>
      <c r="B825" s="21">
        <v>46027.421140162034</v>
      </c>
    </row>
    <row r="826" spans="1:2" x14ac:dyDescent="0.25">
      <c r="A826" s="38">
        <v>5.4371999999999998</v>
      </c>
      <c r="B826" s="21">
        <v>46024.544134884258</v>
      </c>
    </row>
    <row r="827" spans="1:2" x14ac:dyDescent="0.25">
      <c r="A827" s="38">
        <v>5.4378000000000002</v>
      </c>
      <c r="B827" s="21">
        <v>46024.544134826392</v>
      </c>
    </row>
    <row r="828" spans="1:2" x14ac:dyDescent="0.25">
      <c r="A828" s="38">
        <v>5.4452999999999996</v>
      </c>
      <c r="B828" s="21">
        <v>46024.506544247684</v>
      </c>
    </row>
    <row r="829" spans="1:2" x14ac:dyDescent="0.25">
      <c r="A829" s="38">
        <v>5.4328000000000003</v>
      </c>
      <c r="B829" s="21">
        <v>46024.460718368056</v>
      </c>
    </row>
    <row r="830" spans="1:2" x14ac:dyDescent="0.25">
      <c r="A830" s="38">
        <v>5.4328000000000003</v>
      </c>
      <c r="B830" s="21">
        <v>46024.418372870372</v>
      </c>
    </row>
    <row r="831" spans="1:2" x14ac:dyDescent="0.25">
      <c r="A831" s="38">
        <v>5.5023999999999997</v>
      </c>
      <c r="B831" s="21">
        <v>46022.421113229168</v>
      </c>
    </row>
    <row r="832" spans="1:2" x14ac:dyDescent="0.25">
      <c r="A832" s="38">
        <v>5.5023999999999997</v>
      </c>
      <c r="B832" s="21">
        <v>46022.421113182871</v>
      </c>
    </row>
    <row r="833" spans="1:2" x14ac:dyDescent="0.25">
      <c r="A833" s="38">
        <v>5.5023999999999997</v>
      </c>
      <c r="B833" s="21">
        <v>46021.550003946759</v>
      </c>
    </row>
    <row r="834" spans="1:2" x14ac:dyDescent="0.25">
      <c r="A834" s="38">
        <v>5.4926000000000004</v>
      </c>
      <c r="B834" s="21">
        <v>46021.550003865741</v>
      </c>
    </row>
    <row r="835" spans="1:2" x14ac:dyDescent="0.25">
      <c r="A835" s="38">
        <v>5.4991000000000003</v>
      </c>
      <c r="B835" s="21">
        <v>46021.507266608794</v>
      </c>
    </row>
    <row r="836" spans="1:2" x14ac:dyDescent="0.25">
      <c r="A836" s="38">
        <v>5.4970999999999997</v>
      </c>
      <c r="B836" s="21">
        <v>46021.466272928243</v>
      </c>
    </row>
    <row r="837" spans="1:2" x14ac:dyDescent="0.25">
      <c r="A837" s="38">
        <v>5.5206999999999997</v>
      </c>
      <c r="B837" s="21">
        <v>46021.423903541669</v>
      </c>
    </row>
    <row r="838" spans="1:2" x14ac:dyDescent="0.25">
      <c r="A838" s="38">
        <v>5.5739000000000001</v>
      </c>
      <c r="B838" s="21">
        <v>46020.548624201387</v>
      </c>
    </row>
    <row r="839" spans="1:2" x14ac:dyDescent="0.25">
      <c r="A839" s="38">
        <v>5.5694999999999997</v>
      </c>
      <c r="B839" s="21">
        <v>46020.548624143521</v>
      </c>
    </row>
    <row r="840" spans="1:2" x14ac:dyDescent="0.25">
      <c r="A840" s="38">
        <v>5.5766</v>
      </c>
      <c r="B840" s="21">
        <v>46020.505167256946</v>
      </c>
    </row>
    <row r="841" spans="1:2" x14ac:dyDescent="0.25">
      <c r="A841" s="38">
        <v>5.5781999999999998</v>
      </c>
      <c r="B841" s="21">
        <v>46020.460865937501</v>
      </c>
    </row>
    <row r="842" spans="1:2" x14ac:dyDescent="0.25">
      <c r="A842" s="38">
        <v>5.5712000000000002</v>
      </c>
      <c r="B842" s="21">
        <v>46020.419972951386</v>
      </c>
    </row>
    <row r="843" spans="1:2" x14ac:dyDescent="0.25">
      <c r="A843" s="38">
        <v>5.5412999999999997</v>
      </c>
      <c r="B843" s="21">
        <v>46017.546847187499</v>
      </c>
    </row>
    <row r="844" spans="1:2" x14ac:dyDescent="0.25">
      <c r="A844" s="38">
        <v>5.5351999999999997</v>
      </c>
      <c r="B844" s="21">
        <v>46017.546847118057</v>
      </c>
    </row>
    <row r="845" spans="1:2" x14ac:dyDescent="0.25">
      <c r="A845" s="38">
        <v>5.5368000000000004</v>
      </c>
      <c r="B845" s="21">
        <v>46017.502375416669</v>
      </c>
    </row>
    <row r="846" spans="1:2" x14ac:dyDescent="0.25">
      <c r="A846" s="38">
        <v>5.5418000000000003</v>
      </c>
      <c r="B846" s="21">
        <v>46017.464875104168</v>
      </c>
    </row>
    <row r="847" spans="1:2" x14ac:dyDescent="0.25">
      <c r="A847" s="38">
        <v>5.5511999999999997</v>
      </c>
      <c r="B847" s="21">
        <v>46017.419047453703</v>
      </c>
    </row>
    <row r="848" spans="1:2" x14ac:dyDescent="0.25">
      <c r="A848" s="38">
        <v>5.5350000000000001</v>
      </c>
      <c r="B848" s="21">
        <v>46015.463717777777</v>
      </c>
    </row>
    <row r="849" spans="1:2" x14ac:dyDescent="0.25">
      <c r="A849" s="38">
        <v>5.5452000000000004</v>
      </c>
      <c r="B849" s="21">
        <v>46015.46371773148</v>
      </c>
    </row>
    <row r="850" spans="1:2" x14ac:dyDescent="0.25">
      <c r="A850" s="38">
        <v>5.5247999999999999</v>
      </c>
      <c r="B850" s="21">
        <v>46015.421828229169</v>
      </c>
    </row>
    <row r="851" spans="1:2" x14ac:dyDescent="0.25">
      <c r="A851" s="38">
        <v>5.5643000000000002</v>
      </c>
      <c r="B851" s="21">
        <v>46014.544752569447</v>
      </c>
    </row>
    <row r="852" spans="1:2" x14ac:dyDescent="0.25">
      <c r="A852" s="38">
        <v>5.5464000000000002</v>
      </c>
      <c r="B852" s="21">
        <v>46014.544752453701</v>
      </c>
    </row>
    <row r="853" spans="1:2" x14ac:dyDescent="0.25">
      <c r="A853" s="38">
        <v>5.5514999999999999</v>
      </c>
      <c r="B853" s="21">
        <v>46014.502380266204</v>
      </c>
    </row>
    <row r="854" spans="1:2" x14ac:dyDescent="0.25">
      <c r="A854" s="38">
        <v>5.5731000000000002</v>
      </c>
      <c r="B854" s="21">
        <v>46014.466264259259</v>
      </c>
    </row>
    <row r="855" spans="1:2" x14ac:dyDescent="0.25">
      <c r="A855" s="38">
        <v>5.5861000000000001</v>
      </c>
      <c r="B855" s="21">
        <v>46014.422509155091</v>
      </c>
    </row>
    <row r="856" spans="1:2" x14ac:dyDescent="0.25">
      <c r="A856" s="38">
        <v>5.5388999999999999</v>
      </c>
      <c r="B856" s="21">
        <v>46013.544052372687</v>
      </c>
    </row>
    <row r="857" spans="1:2" x14ac:dyDescent="0.25">
      <c r="A857" s="38">
        <v>5.5612000000000004</v>
      </c>
      <c r="B857" s="21">
        <v>46013.544052187499</v>
      </c>
    </row>
    <row r="858" spans="1:2" x14ac:dyDescent="0.25">
      <c r="A858" s="38">
        <v>5.5461999999999998</v>
      </c>
      <c r="B858" s="21">
        <v>46013.501692569444</v>
      </c>
    </row>
    <row r="859" spans="1:2" x14ac:dyDescent="0.25">
      <c r="A859" s="38">
        <v>5.5293000000000001</v>
      </c>
      <c r="B859" s="21">
        <v>46013.464696377312</v>
      </c>
    </row>
    <row r="860" spans="1:2" x14ac:dyDescent="0.25">
      <c r="A860" s="38">
        <v>5.5187999999999997</v>
      </c>
      <c r="B860" s="21">
        <v>46013.423234652779</v>
      </c>
    </row>
    <row r="861" spans="1:2" x14ac:dyDescent="0.25">
      <c r="A861" s="38">
        <v>5.516</v>
      </c>
      <c r="B861" s="21">
        <v>46010.544161851853</v>
      </c>
    </row>
    <row r="862" spans="1:2" x14ac:dyDescent="0.25">
      <c r="A862" s="38">
        <v>5.5065</v>
      </c>
      <c r="B862" s="21">
        <v>46010.544161805556</v>
      </c>
    </row>
    <row r="863" spans="1:2" x14ac:dyDescent="0.25">
      <c r="A863" s="38">
        <v>5.5061</v>
      </c>
      <c r="B863" s="21">
        <v>46010.50464515046</v>
      </c>
    </row>
    <row r="864" spans="1:2" x14ac:dyDescent="0.25">
      <c r="A864" s="38">
        <v>5.5132000000000003</v>
      </c>
      <c r="B864" s="21">
        <v>46010.460046701388</v>
      </c>
    </row>
    <row r="865" spans="1:2" x14ac:dyDescent="0.25">
      <c r="A865" s="38">
        <v>5.5381</v>
      </c>
      <c r="B865" s="21">
        <v>46010.419202604164</v>
      </c>
    </row>
    <row r="866" spans="1:2" x14ac:dyDescent="0.25">
      <c r="A866" s="38">
        <v>5.5282999999999998</v>
      </c>
      <c r="B866" s="21">
        <v>46009.549607754627</v>
      </c>
    </row>
    <row r="867" spans="1:2" x14ac:dyDescent="0.25">
      <c r="A867" s="38">
        <v>5.5090000000000003</v>
      </c>
      <c r="B867" s="21">
        <v>46009.549607696761</v>
      </c>
    </row>
    <row r="868" spans="1:2" x14ac:dyDescent="0.25">
      <c r="A868" s="38">
        <v>5.5304000000000002</v>
      </c>
      <c r="B868" s="21">
        <v>46009.504648263886</v>
      </c>
    </row>
    <row r="869" spans="1:2" x14ac:dyDescent="0.25">
      <c r="A869" s="38">
        <v>5.5296000000000003</v>
      </c>
      <c r="B869" s="21">
        <v>46009.465567743056</v>
      </c>
    </row>
    <row r="870" spans="1:2" x14ac:dyDescent="0.25">
      <c r="A870" s="38">
        <v>5.5442999999999998</v>
      </c>
      <c r="B870" s="21">
        <v>46009.424599756945</v>
      </c>
    </row>
    <row r="871" spans="1:2" x14ac:dyDescent="0.25">
      <c r="A871" s="38">
        <v>5.5092999999999996</v>
      </c>
      <c r="B871" s="21">
        <v>46008.544091944445</v>
      </c>
    </row>
    <row r="872" spans="1:2" x14ac:dyDescent="0.25">
      <c r="A872" s="38">
        <v>5.5232999999999999</v>
      </c>
      <c r="B872" s="21">
        <v>46008.544091875003</v>
      </c>
    </row>
    <row r="873" spans="1:2" x14ac:dyDescent="0.25">
      <c r="A873" s="38">
        <v>5.5053000000000001</v>
      </c>
      <c r="B873" s="21">
        <v>46008.503988680553</v>
      </c>
    </row>
    <row r="874" spans="1:2" x14ac:dyDescent="0.25">
      <c r="A874" s="38">
        <v>5.5029000000000003</v>
      </c>
      <c r="B874" s="21">
        <v>46008.465560462966</v>
      </c>
    </row>
    <row r="875" spans="1:2" x14ac:dyDescent="0.25">
      <c r="A875" s="38">
        <v>5.5056000000000003</v>
      </c>
      <c r="B875" s="21">
        <v>46008.424612974537</v>
      </c>
    </row>
    <row r="876" spans="1:2" x14ac:dyDescent="0.25">
      <c r="A876" s="38">
        <v>5.4504999999999999</v>
      </c>
      <c r="B876" s="21">
        <v>46007.546828287035</v>
      </c>
    </row>
    <row r="877" spans="1:2" x14ac:dyDescent="0.25">
      <c r="A877" s="38">
        <v>5.4698000000000002</v>
      </c>
      <c r="B877" s="21">
        <v>46007.546828182873</v>
      </c>
    </row>
    <row r="878" spans="1:2" x14ac:dyDescent="0.25">
      <c r="A878" s="38">
        <v>5.4531999999999998</v>
      </c>
      <c r="B878" s="21">
        <v>46007.507929618056</v>
      </c>
    </row>
    <row r="879" spans="1:2" x14ac:dyDescent="0.25">
      <c r="A879" s="38">
        <v>5.4470000000000001</v>
      </c>
      <c r="B879" s="21">
        <v>46007.46419579861</v>
      </c>
    </row>
    <row r="880" spans="1:2" x14ac:dyDescent="0.25">
      <c r="A880" s="38">
        <v>5.4318999999999997</v>
      </c>
      <c r="B880" s="21">
        <v>46007.422519189815</v>
      </c>
    </row>
    <row r="881" spans="1:2" x14ac:dyDescent="0.25">
      <c r="A881" s="38">
        <v>5.3929</v>
      </c>
      <c r="B881" s="21">
        <v>46006.548231828703</v>
      </c>
    </row>
    <row r="882" spans="1:2" x14ac:dyDescent="0.25">
      <c r="A882" s="38">
        <v>5.3975</v>
      </c>
      <c r="B882" s="21">
        <v>46006.548231724541</v>
      </c>
    </row>
    <row r="883" spans="1:2" x14ac:dyDescent="0.25">
      <c r="A883" s="38">
        <v>5.4020000000000001</v>
      </c>
      <c r="B883" s="21">
        <v>46006.505304895836</v>
      </c>
    </row>
    <row r="884" spans="1:2" x14ac:dyDescent="0.25">
      <c r="A884" s="38">
        <v>5.3905000000000003</v>
      </c>
      <c r="B884" s="21">
        <v>46006.464882349537</v>
      </c>
    </row>
    <row r="885" spans="1:2" x14ac:dyDescent="0.25">
      <c r="A885" s="38">
        <v>5.3815999999999997</v>
      </c>
      <c r="B885" s="21">
        <v>46006.420465115742</v>
      </c>
    </row>
    <row r="886" spans="1:2" x14ac:dyDescent="0.25">
      <c r="A886" s="38">
        <v>5.4010999999999996</v>
      </c>
      <c r="B886" s="21">
        <v>46003.546148460649</v>
      </c>
    </row>
    <row r="887" spans="1:2" x14ac:dyDescent="0.25">
      <c r="A887" s="38">
        <v>5.4217000000000004</v>
      </c>
      <c r="B887" s="21">
        <v>46003.546148414353</v>
      </c>
    </row>
    <row r="888" spans="1:2" x14ac:dyDescent="0.25">
      <c r="A888" s="38">
        <v>5.3947000000000003</v>
      </c>
      <c r="B888" s="21">
        <v>46003.505342395831</v>
      </c>
    </row>
    <row r="889" spans="1:2" x14ac:dyDescent="0.25">
      <c r="A889" s="38">
        <v>5.3883999999999999</v>
      </c>
      <c r="B889" s="21">
        <v>46003.460018518519</v>
      </c>
    </row>
    <row r="890" spans="1:2" x14ac:dyDescent="0.25">
      <c r="A890" s="38">
        <v>5.3997000000000002</v>
      </c>
      <c r="B890" s="21">
        <v>46003.42321523148</v>
      </c>
    </row>
    <row r="891" spans="1:2" x14ac:dyDescent="0.25">
      <c r="A891" s="38">
        <v>5.4237000000000002</v>
      </c>
      <c r="B891" s="21">
        <v>46002.544057037034</v>
      </c>
    </row>
    <row r="892" spans="1:2" x14ac:dyDescent="0.25">
      <c r="A892" s="38">
        <v>5.4051</v>
      </c>
      <c r="B892" s="21">
        <v>46002.544056979168</v>
      </c>
    </row>
    <row r="893" spans="1:2" x14ac:dyDescent="0.25">
      <c r="A893" s="38">
        <v>5.4206000000000003</v>
      </c>
      <c r="B893" s="21">
        <v>46002.501681956019</v>
      </c>
    </row>
    <row r="894" spans="1:2" x14ac:dyDescent="0.25">
      <c r="A894" s="38">
        <v>5.4261999999999997</v>
      </c>
      <c r="B894" s="21">
        <v>46002.464874490739</v>
      </c>
    </row>
    <row r="895" spans="1:2" x14ac:dyDescent="0.25">
      <c r="A895" s="38">
        <v>5.4428000000000001</v>
      </c>
      <c r="B895" s="21">
        <v>46002.419043495371</v>
      </c>
    </row>
    <row r="896" spans="1:2" x14ac:dyDescent="0.25">
      <c r="A896" s="38">
        <v>5.4656000000000002</v>
      </c>
      <c r="B896" s="21">
        <v>46001.548668750002</v>
      </c>
    </row>
    <row r="897" spans="1:2" x14ac:dyDescent="0.25">
      <c r="A897" s="38">
        <v>5.4819000000000004</v>
      </c>
      <c r="B897" s="21">
        <v>46001.548668692129</v>
      </c>
    </row>
    <row r="898" spans="1:2" x14ac:dyDescent="0.25">
      <c r="A898" s="38">
        <v>5.4619999999999997</v>
      </c>
      <c r="B898" s="21">
        <v>46001.504913483797</v>
      </c>
    </row>
    <row r="899" spans="1:2" x14ac:dyDescent="0.25">
      <c r="A899" s="38">
        <v>5.4630999999999998</v>
      </c>
      <c r="B899" s="21">
        <v>46001.461249305554</v>
      </c>
    </row>
    <row r="900" spans="1:2" x14ac:dyDescent="0.25">
      <c r="A900" s="38">
        <v>5.4551999999999996</v>
      </c>
      <c r="B900" s="21">
        <v>46001.422844884262</v>
      </c>
    </row>
    <row r="901" spans="1:2" x14ac:dyDescent="0.25">
      <c r="A901" s="38">
        <v>5.4569999999999999</v>
      </c>
      <c r="B901" s="21">
        <v>46000.549615011572</v>
      </c>
    </row>
    <row r="902" spans="1:2" x14ac:dyDescent="0.25">
      <c r="A902" s="38">
        <v>5.4279999999999999</v>
      </c>
      <c r="B902" s="21">
        <v>46000.549614930555</v>
      </c>
    </row>
    <row r="903" spans="1:2" x14ac:dyDescent="0.25">
      <c r="A903" s="38">
        <v>5.4678000000000004</v>
      </c>
      <c r="B903" s="21">
        <v>46000.508169363427</v>
      </c>
    </row>
    <row r="904" spans="1:2" x14ac:dyDescent="0.25">
      <c r="A904" s="38">
        <v>5.4690000000000003</v>
      </c>
      <c r="B904" s="21">
        <v>46000.461103726855</v>
      </c>
    </row>
    <row r="905" spans="1:2" x14ac:dyDescent="0.25">
      <c r="A905" s="38">
        <v>5.4633000000000003</v>
      </c>
      <c r="B905" s="21">
        <v>46000.423972581018</v>
      </c>
    </row>
    <row r="906" spans="1:2" x14ac:dyDescent="0.25">
      <c r="A906" s="38">
        <v>5.4249000000000001</v>
      </c>
      <c r="B906" s="21">
        <v>45999.543835925928</v>
      </c>
    </row>
    <row r="907" spans="1:2" x14ac:dyDescent="0.25">
      <c r="A907" s="38">
        <v>5.4478</v>
      </c>
      <c r="B907" s="21">
        <v>45999.543835879631</v>
      </c>
    </row>
    <row r="908" spans="1:2" x14ac:dyDescent="0.25">
      <c r="A908" s="38">
        <v>5.4414999999999996</v>
      </c>
      <c r="B908" s="21">
        <v>45999.508711481481</v>
      </c>
    </row>
    <row r="909" spans="1:2" x14ac:dyDescent="0.25">
      <c r="A909" s="38">
        <v>5.3940999999999999</v>
      </c>
      <c r="B909" s="21">
        <v>45999.465973865743</v>
      </c>
    </row>
    <row r="910" spans="1:2" x14ac:dyDescent="0.25">
      <c r="A910" s="38">
        <v>5.4161999999999999</v>
      </c>
      <c r="B910" s="21">
        <v>45999.418523194443</v>
      </c>
    </row>
    <row r="911" spans="1:2" x14ac:dyDescent="0.25">
      <c r="A911" s="38">
        <v>5.3404999999999996</v>
      </c>
      <c r="B911" s="21">
        <v>45996.548015185188</v>
      </c>
    </row>
    <row r="912" spans="1:2" x14ac:dyDescent="0.25">
      <c r="A912" s="38">
        <v>5.3879999999999999</v>
      </c>
      <c r="B912" s="21">
        <v>45996.54801510417</v>
      </c>
    </row>
    <row r="913" spans="1:2" x14ac:dyDescent="0.25">
      <c r="A913" s="38">
        <v>5.3445</v>
      </c>
      <c r="B913" s="21">
        <v>45996.502922060186</v>
      </c>
    </row>
    <row r="914" spans="1:2" x14ac:dyDescent="0.25">
      <c r="A914" s="38">
        <v>5.3174000000000001</v>
      </c>
      <c r="B914" s="21">
        <v>45996.466407581021</v>
      </c>
    </row>
    <row r="915" spans="1:2" x14ac:dyDescent="0.25">
      <c r="A915" s="38">
        <v>5.3120000000000003</v>
      </c>
      <c r="B915" s="21">
        <v>45996.424849212963</v>
      </c>
    </row>
    <row r="916" spans="1:2" x14ac:dyDescent="0.25">
      <c r="A916" s="38">
        <v>5.2952000000000004</v>
      </c>
      <c r="B916" s="21">
        <v>45995.547428692131</v>
      </c>
    </row>
    <row r="917" spans="1:2" x14ac:dyDescent="0.25">
      <c r="A917" s="38">
        <v>5.2934999999999999</v>
      </c>
      <c r="B917" s="21">
        <v>45995.547428622682</v>
      </c>
    </row>
    <row r="918" spans="1:2" x14ac:dyDescent="0.25">
      <c r="A918" s="38">
        <v>5.2941000000000003</v>
      </c>
      <c r="B918" s="21">
        <v>45995.506115381948</v>
      </c>
    </row>
    <row r="919" spans="1:2" x14ac:dyDescent="0.25">
      <c r="A919" s="38">
        <v>5.2888999999999999</v>
      </c>
      <c r="B919" s="21">
        <v>45995.461962442132</v>
      </c>
    </row>
    <row r="920" spans="1:2" x14ac:dyDescent="0.25">
      <c r="A920" s="38">
        <v>5.3041999999999998</v>
      </c>
      <c r="B920" s="21">
        <v>45995.420502152781</v>
      </c>
    </row>
    <row r="921" spans="1:2" x14ac:dyDescent="0.25">
      <c r="A921" s="38">
        <v>5.3113999999999999</v>
      </c>
      <c r="B921" s="21">
        <v>45994.54543489583</v>
      </c>
    </row>
    <row r="922" spans="1:2" x14ac:dyDescent="0.25">
      <c r="A922" s="38">
        <v>5.3010999999999999</v>
      </c>
      <c r="B922" s="21">
        <v>45994.545434837964</v>
      </c>
    </row>
    <row r="923" spans="1:2" x14ac:dyDescent="0.25">
      <c r="A923" s="38">
        <v>5.3101000000000003</v>
      </c>
      <c r="B923" s="21">
        <v>45994.502485729165</v>
      </c>
    </row>
    <row r="924" spans="1:2" x14ac:dyDescent="0.25">
      <c r="A924" s="38">
        <v>5.3163999999999998</v>
      </c>
      <c r="B924" s="21">
        <v>45994.462905914355</v>
      </c>
    </row>
    <row r="925" spans="1:2" x14ac:dyDescent="0.25">
      <c r="A925" s="38">
        <v>5.3179999999999996</v>
      </c>
      <c r="B925" s="21">
        <v>45994.423734537035</v>
      </c>
    </row>
    <row r="926" spans="1:2" x14ac:dyDescent="0.25">
      <c r="A926" s="38">
        <v>5.3464999999999998</v>
      </c>
      <c r="B926" s="21">
        <v>45993.546565266202</v>
      </c>
    </row>
    <row r="927" spans="1:2" x14ac:dyDescent="0.25">
      <c r="A927" s="38">
        <v>5.3407</v>
      </c>
      <c r="B927" s="21">
        <v>45993.546565196761</v>
      </c>
    </row>
    <row r="928" spans="1:2" x14ac:dyDescent="0.25">
      <c r="A928" s="38">
        <v>5.3394000000000004</v>
      </c>
      <c r="B928" s="21">
        <v>45993.502611504628</v>
      </c>
    </row>
    <row r="929" spans="1:2" x14ac:dyDescent="0.25">
      <c r="A929" s="38">
        <v>5.3461999999999996</v>
      </c>
      <c r="B929" s="21">
        <v>45993.460056643518</v>
      </c>
    </row>
    <row r="930" spans="1:2" x14ac:dyDescent="0.25">
      <c r="A930" s="38">
        <v>5.3597999999999999</v>
      </c>
      <c r="B930" s="21">
        <v>45993.424935069444</v>
      </c>
    </row>
    <row r="931" spans="1:2" x14ac:dyDescent="0.25">
      <c r="A931" s="38">
        <v>5.3468999999999998</v>
      </c>
      <c r="B931" s="21">
        <v>45992.546947175928</v>
      </c>
    </row>
    <row r="932" spans="1:2" x14ac:dyDescent="0.25">
      <c r="A932" s="38">
        <v>5.3459000000000003</v>
      </c>
      <c r="B932" s="21">
        <v>45992.546947118055</v>
      </c>
    </row>
    <row r="933" spans="1:2" x14ac:dyDescent="0.25">
      <c r="A933" s="38">
        <v>5.3448000000000002</v>
      </c>
      <c r="B933" s="21">
        <v>45992.50608634259</v>
      </c>
    </row>
    <row r="934" spans="1:2" x14ac:dyDescent="0.25">
      <c r="A934" s="38">
        <v>5.3461999999999996</v>
      </c>
      <c r="B934" s="21">
        <v>45992.460064571758</v>
      </c>
    </row>
    <row r="935" spans="1:2" x14ac:dyDescent="0.25">
      <c r="A935" s="38">
        <v>5.3507999999999996</v>
      </c>
      <c r="B935" s="21">
        <v>45992.424887037036</v>
      </c>
    </row>
    <row r="936" spans="1:2" x14ac:dyDescent="0.25">
      <c r="A936" s="38">
        <v>5.3338000000000001</v>
      </c>
      <c r="B936" s="21">
        <v>45989.548978252315</v>
      </c>
    </row>
    <row r="937" spans="1:2" x14ac:dyDescent="0.25">
      <c r="A937" s="38">
        <v>5.3414000000000001</v>
      </c>
      <c r="B937" s="21">
        <v>45989.548978182873</v>
      </c>
    </row>
    <row r="938" spans="1:2" x14ac:dyDescent="0.25">
      <c r="A938" s="38">
        <v>5.3277999999999999</v>
      </c>
      <c r="B938" s="21">
        <v>45989.504174224538</v>
      </c>
    </row>
    <row r="939" spans="1:2" x14ac:dyDescent="0.25">
      <c r="A939" s="38">
        <v>5.3301999999999996</v>
      </c>
      <c r="B939" s="21">
        <v>45989.465572870373</v>
      </c>
    </row>
    <row r="940" spans="1:2" x14ac:dyDescent="0.25">
      <c r="A940" s="38">
        <v>5.3357000000000001</v>
      </c>
      <c r="B940" s="21">
        <v>45989.419059837965</v>
      </c>
    </row>
    <row r="941" spans="1:2" x14ac:dyDescent="0.25">
      <c r="A941" s="38">
        <v>5.3490000000000002</v>
      </c>
      <c r="B941" s="21">
        <v>45988.546834745372</v>
      </c>
    </row>
    <row r="942" spans="1:2" x14ac:dyDescent="0.25">
      <c r="A942" s="38">
        <v>5.3478000000000003</v>
      </c>
      <c r="B942" s="21">
        <v>45988.546834629633</v>
      </c>
    </row>
    <row r="943" spans="1:2" x14ac:dyDescent="0.25">
      <c r="A943" s="38">
        <v>5.3525999999999998</v>
      </c>
      <c r="B943" s="21">
        <v>45988.506538518515</v>
      </c>
    </row>
    <row r="944" spans="1:2" x14ac:dyDescent="0.25">
      <c r="A944" s="38">
        <v>5.3491</v>
      </c>
      <c r="B944" s="21">
        <v>45988.463494675925</v>
      </c>
    </row>
    <row r="945" spans="1:2" x14ac:dyDescent="0.25">
      <c r="A945" s="38">
        <v>5.3464</v>
      </c>
      <c r="B945" s="21">
        <v>45988.419050254626</v>
      </c>
    </row>
    <row r="946" spans="1:2" x14ac:dyDescent="0.25">
      <c r="A946" s="38">
        <v>5.3693999999999997</v>
      </c>
      <c r="B946" s="21">
        <v>45987.544108043985</v>
      </c>
    </row>
    <row r="947" spans="1:2" x14ac:dyDescent="0.25">
      <c r="A947" s="38">
        <v>5.3536999999999999</v>
      </c>
      <c r="B947" s="21">
        <v>45987.54410796296</v>
      </c>
    </row>
    <row r="948" spans="1:2" x14ac:dyDescent="0.25">
      <c r="A948" s="38">
        <v>5.3685999999999998</v>
      </c>
      <c r="B948" s="21">
        <v>45987.507925682869</v>
      </c>
    </row>
    <row r="949" spans="1:2" x14ac:dyDescent="0.25">
      <c r="A949" s="38">
        <v>5.3792999999999997</v>
      </c>
      <c r="B949" s="21">
        <v>45987.462782974537</v>
      </c>
    </row>
    <row r="950" spans="1:2" x14ac:dyDescent="0.25">
      <c r="A950" s="38">
        <v>5.3760000000000003</v>
      </c>
      <c r="B950" s="21">
        <v>45987.421123680557</v>
      </c>
    </row>
    <row r="951" spans="1:2" x14ac:dyDescent="0.25">
      <c r="A951" s="38">
        <v>5.3841000000000001</v>
      </c>
      <c r="B951" s="21">
        <v>45986.545459317131</v>
      </c>
    </row>
    <row r="952" spans="1:2" x14ac:dyDescent="0.25">
      <c r="A952" s="38">
        <v>5.3952</v>
      </c>
      <c r="B952" s="21">
        <v>45986.545459236113</v>
      </c>
    </row>
    <row r="953" spans="1:2" x14ac:dyDescent="0.25">
      <c r="A953" s="38">
        <v>5.3956999999999997</v>
      </c>
      <c r="B953" s="21">
        <v>45986.506545717595</v>
      </c>
    </row>
    <row r="954" spans="1:2" x14ac:dyDescent="0.25">
      <c r="A954" s="38">
        <v>5.3756000000000004</v>
      </c>
      <c r="B954" s="21">
        <v>45986.466262361108</v>
      </c>
    </row>
    <row r="955" spans="1:2" x14ac:dyDescent="0.25">
      <c r="A955" s="38">
        <v>5.37</v>
      </c>
      <c r="B955" s="21">
        <v>45986.42044199074</v>
      </c>
    </row>
    <row r="956" spans="1:2" x14ac:dyDescent="0.25">
      <c r="A956" s="38">
        <v>5.3948</v>
      </c>
      <c r="B956" s="21">
        <v>45985.543365057871</v>
      </c>
    </row>
    <row r="957" spans="1:2" x14ac:dyDescent="0.25">
      <c r="A957" s="38">
        <v>5.3921000000000001</v>
      </c>
      <c r="B957" s="21">
        <v>45985.543364965277</v>
      </c>
    </row>
    <row r="958" spans="1:2" x14ac:dyDescent="0.25">
      <c r="A958" s="38">
        <v>5.3940999999999999</v>
      </c>
      <c r="B958" s="21">
        <v>45985.507236018515</v>
      </c>
    </row>
    <row r="959" spans="1:2" x14ac:dyDescent="0.25">
      <c r="A959" s="38">
        <v>5.4023000000000003</v>
      </c>
      <c r="B959" s="21">
        <v>45985.462788900462</v>
      </c>
    </row>
    <row r="960" spans="1:2" x14ac:dyDescent="0.25">
      <c r="A960" s="38">
        <v>5.3905000000000003</v>
      </c>
      <c r="B960" s="21">
        <v>45985.421146909721</v>
      </c>
    </row>
    <row r="961" spans="1:2" x14ac:dyDescent="0.25">
      <c r="A961" s="38">
        <v>5.3902000000000001</v>
      </c>
      <c r="B961" s="21">
        <v>45982.546219849537</v>
      </c>
    </row>
    <row r="962" spans="1:2" x14ac:dyDescent="0.25">
      <c r="A962" s="38">
        <v>5.4203000000000001</v>
      </c>
      <c r="B962" s="21">
        <v>45982.546219791664</v>
      </c>
    </row>
    <row r="963" spans="1:2" x14ac:dyDescent="0.25">
      <c r="A963" s="38">
        <v>5.3955000000000002</v>
      </c>
      <c r="B963" s="21">
        <v>45982.511481527778</v>
      </c>
    </row>
    <row r="964" spans="1:2" x14ac:dyDescent="0.25">
      <c r="A964" s="38">
        <v>5.3822999999999999</v>
      </c>
      <c r="B964" s="21">
        <v>45982.466261203706</v>
      </c>
    </row>
    <row r="965" spans="1:2" x14ac:dyDescent="0.25">
      <c r="A965" s="38">
        <v>5.3625999999999996</v>
      </c>
      <c r="B965" s="21">
        <v>45982.421826967591</v>
      </c>
    </row>
    <row r="966" spans="1:2" x14ac:dyDescent="0.25">
      <c r="A966" s="38">
        <v>5.3346</v>
      </c>
      <c r="B966" s="21">
        <v>45980.54823641204</v>
      </c>
    </row>
    <row r="967" spans="1:2" x14ac:dyDescent="0.25">
      <c r="A967" s="38">
        <v>5.3376999999999999</v>
      </c>
      <c r="B967" s="21">
        <v>45980.54823630787</v>
      </c>
    </row>
    <row r="968" spans="1:2" x14ac:dyDescent="0.25">
      <c r="A968" s="38">
        <v>5.3297999999999996</v>
      </c>
      <c r="B968" s="21">
        <v>45980.504469224536</v>
      </c>
    </row>
    <row r="969" spans="1:2" x14ac:dyDescent="0.25">
      <c r="A969" s="38">
        <v>5.3357999999999999</v>
      </c>
      <c r="B969" s="21">
        <v>45980.460021828701</v>
      </c>
    </row>
    <row r="970" spans="1:2" x14ac:dyDescent="0.25">
      <c r="A970" s="38">
        <v>5.3352000000000004</v>
      </c>
      <c r="B970" s="21">
        <v>45980.423216400464</v>
      </c>
    </row>
    <row r="971" spans="1:2" x14ac:dyDescent="0.25">
      <c r="A971" s="38">
        <v>5.3361000000000001</v>
      </c>
      <c r="B971" s="21">
        <v>45979.548917349537</v>
      </c>
    </row>
    <row r="972" spans="1:2" x14ac:dyDescent="0.25">
      <c r="A972" s="38">
        <v>5.3400999999999996</v>
      </c>
      <c r="B972" s="21">
        <v>45979.548917291664</v>
      </c>
    </row>
    <row r="973" spans="1:2" x14ac:dyDescent="0.25">
      <c r="A973" s="38">
        <v>5.3384999999999998</v>
      </c>
      <c r="B973" s="21">
        <v>45979.502754502311</v>
      </c>
    </row>
    <row r="974" spans="1:2" x14ac:dyDescent="0.25">
      <c r="A974" s="38">
        <v>5.3220000000000001</v>
      </c>
      <c r="B974" s="21">
        <v>45979.462096099538</v>
      </c>
    </row>
    <row r="975" spans="1:2" x14ac:dyDescent="0.25">
      <c r="A975" s="38">
        <v>5.3438999999999997</v>
      </c>
      <c r="B975" s="21">
        <v>45979.419737384262</v>
      </c>
    </row>
    <row r="976" spans="1:2" x14ac:dyDescent="0.25">
      <c r="A976" s="38">
        <v>5.3108000000000004</v>
      </c>
      <c r="B976" s="21">
        <v>45978.546860717594</v>
      </c>
    </row>
    <row r="977" spans="1:2" x14ac:dyDescent="0.25">
      <c r="A977" s="38">
        <v>5.3112000000000004</v>
      </c>
      <c r="B977" s="21">
        <v>45978.54686052083</v>
      </c>
    </row>
    <row r="978" spans="1:2" x14ac:dyDescent="0.25">
      <c r="A978" s="38">
        <v>5.3146000000000004</v>
      </c>
      <c r="B978" s="21">
        <v>45978.507237824073</v>
      </c>
    </row>
    <row r="979" spans="1:2" x14ac:dyDescent="0.25">
      <c r="A979" s="38">
        <v>5.3105000000000002</v>
      </c>
      <c r="B979" s="21">
        <v>45978.462801481481</v>
      </c>
    </row>
    <row r="980" spans="1:2" x14ac:dyDescent="0.25">
      <c r="A980" s="38">
        <v>5.3068</v>
      </c>
      <c r="B980" s="21">
        <v>45978.419749108798</v>
      </c>
    </row>
    <row r="981" spans="1:2" x14ac:dyDescent="0.25">
      <c r="A981" s="38">
        <v>5.2952000000000004</v>
      </c>
      <c r="B981" s="21">
        <v>45975.549631967595</v>
      </c>
    </row>
    <row r="982" spans="1:2" x14ac:dyDescent="0.25">
      <c r="A982" s="38">
        <v>5.2804000000000002</v>
      </c>
      <c r="B982" s="21">
        <v>45975.549631875001</v>
      </c>
    </row>
    <row r="983" spans="1:2" x14ac:dyDescent="0.25">
      <c r="A983" s="38">
        <v>5.2901999999999996</v>
      </c>
      <c r="B983" s="21">
        <v>45975.50794152778</v>
      </c>
    </row>
    <row r="984" spans="1:2" x14ac:dyDescent="0.25">
      <c r="A984" s="38">
        <v>5.3094999999999999</v>
      </c>
      <c r="B984" s="21">
        <v>45975.460711342595</v>
      </c>
    </row>
    <row r="985" spans="1:2" x14ac:dyDescent="0.25">
      <c r="A985" s="38">
        <v>5.3007999999999997</v>
      </c>
      <c r="B985" s="21">
        <v>45975.419042581016</v>
      </c>
    </row>
    <row r="986" spans="1:2" x14ac:dyDescent="0.25">
      <c r="A986" s="38">
        <v>5.282</v>
      </c>
      <c r="B986" s="21">
        <v>45974.546846793979</v>
      </c>
    </row>
    <row r="987" spans="1:2" x14ac:dyDescent="0.25">
      <c r="A987" s="38">
        <v>5.2843999999999998</v>
      </c>
      <c r="B987" s="21">
        <v>45974.546846712961</v>
      </c>
    </row>
    <row r="988" spans="1:2" x14ac:dyDescent="0.25">
      <c r="A988" s="38">
        <v>5.2876000000000003</v>
      </c>
      <c r="B988" s="21">
        <v>45974.505160196757</v>
      </c>
    </row>
    <row r="989" spans="1:2" x14ac:dyDescent="0.25">
      <c r="A989" s="38">
        <v>5.2777000000000003</v>
      </c>
      <c r="B989" s="21">
        <v>45974.460051562499</v>
      </c>
    </row>
    <row r="990" spans="1:2" x14ac:dyDescent="0.25">
      <c r="A990" s="38">
        <v>5.2782999999999998</v>
      </c>
      <c r="B990" s="21">
        <v>45974.423208182867</v>
      </c>
    </row>
    <row r="991" spans="1:2" x14ac:dyDescent="0.25">
      <c r="A991" s="38">
        <v>5.2885</v>
      </c>
      <c r="B991" s="21">
        <v>45973.549596863428</v>
      </c>
    </row>
    <row r="992" spans="1:2" x14ac:dyDescent="0.25">
      <c r="A992" s="38">
        <v>5.2992999999999997</v>
      </c>
      <c r="B992" s="21">
        <v>45973.549596805555</v>
      </c>
    </row>
    <row r="993" spans="1:2" x14ac:dyDescent="0.25">
      <c r="A993" s="38">
        <v>5.2957999999999998</v>
      </c>
      <c r="B993" s="21">
        <v>45973.505153275466</v>
      </c>
    </row>
    <row r="994" spans="1:2" x14ac:dyDescent="0.25">
      <c r="A994" s="38">
        <v>5.2908999999999997</v>
      </c>
      <c r="B994" s="21">
        <v>45973.46556689815</v>
      </c>
    </row>
    <row r="995" spans="1:2" x14ac:dyDescent="0.25">
      <c r="A995" s="38">
        <v>5.2678000000000003</v>
      </c>
      <c r="B995" s="21">
        <v>45973.422524097223</v>
      </c>
    </row>
    <row r="996" spans="1:2" x14ac:dyDescent="0.25">
      <c r="A996" s="38">
        <v>5.2728999999999999</v>
      </c>
      <c r="B996" s="21">
        <v>45972.546875046297</v>
      </c>
    </row>
    <row r="997" spans="1:2" x14ac:dyDescent="0.25">
      <c r="A997" s="38">
        <v>5.2732999999999999</v>
      </c>
      <c r="B997" s="21">
        <v>45972.546874965279</v>
      </c>
    </row>
    <row r="998" spans="1:2" x14ac:dyDescent="0.25">
      <c r="A998" s="38">
        <v>5.2667000000000002</v>
      </c>
      <c r="B998" s="21">
        <v>45972.507932314817</v>
      </c>
    </row>
    <row r="999" spans="1:2" x14ac:dyDescent="0.25">
      <c r="A999" s="38">
        <v>5.2645</v>
      </c>
      <c r="B999" s="21">
        <v>45972.480131446762</v>
      </c>
    </row>
    <row r="1000" spans="1:2" x14ac:dyDescent="0.25">
      <c r="A1000" s="38">
        <v>5.2870999999999997</v>
      </c>
      <c r="B1000" s="21">
        <v>45972.421842986114</v>
      </c>
    </row>
    <row r="1001" spans="1:2" x14ac:dyDescent="0.25">
      <c r="A1001" s="38">
        <v>5.3181000000000003</v>
      </c>
      <c r="B1001" s="21">
        <v>45971.544110393515</v>
      </c>
    </row>
    <row r="1002" spans="1:2" x14ac:dyDescent="0.25">
      <c r="A1002" s="38">
        <v>5.3186</v>
      </c>
      <c r="B1002" s="21">
        <v>45971.544110219904</v>
      </c>
    </row>
    <row r="1003" spans="1:2" x14ac:dyDescent="0.25">
      <c r="A1003" s="38">
        <v>5.3183999999999996</v>
      </c>
      <c r="B1003" s="21">
        <v>45971.50793537037</v>
      </c>
    </row>
    <row r="1004" spans="1:2" x14ac:dyDescent="0.25">
      <c r="A1004" s="38">
        <v>5.3201000000000001</v>
      </c>
      <c r="B1004" s="21">
        <v>45971.466281435183</v>
      </c>
    </row>
    <row r="1005" spans="1:2" x14ac:dyDescent="0.25">
      <c r="A1005" s="38">
        <v>5.3152999999999997</v>
      </c>
      <c r="B1005" s="21">
        <v>45971.42114186343</v>
      </c>
    </row>
    <row r="1006" spans="1:2" x14ac:dyDescent="0.25">
      <c r="A1006" s="38">
        <v>5.3567</v>
      </c>
      <c r="B1006" s="21">
        <v>45968.548980416665</v>
      </c>
    </row>
    <row r="1007" spans="1:2" x14ac:dyDescent="0.25">
      <c r="A1007" s="38">
        <v>5.3491999999999997</v>
      </c>
      <c r="B1007" s="21">
        <v>45968.548980300926</v>
      </c>
    </row>
    <row r="1008" spans="1:2" x14ac:dyDescent="0.25">
      <c r="A1008" s="38">
        <v>5.3524000000000003</v>
      </c>
      <c r="B1008" s="21">
        <v>45968.503764317131</v>
      </c>
    </row>
    <row r="1009" spans="1:2" x14ac:dyDescent="0.25">
      <c r="A1009" s="38">
        <v>5.3606999999999996</v>
      </c>
      <c r="B1009" s="21">
        <v>45968.463495289354</v>
      </c>
    </row>
    <row r="1010" spans="1:2" x14ac:dyDescent="0.25">
      <c r="A1010" s="38">
        <v>5.3644999999999996</v>
      </c>
      <c r="B1010" s="21">
        <v>45968.423893530089</v>
      </c>
    </row>
    <row r="1011" spans="1:2" x14ac:dyDescent="0.25">
      <c r="A1011" s="38">
        <v>5.3451000000000004</v>
      </c>
      <c r="B1011" s="21">
        <v>45967.543627604166</v>
      </c>
    </row>
    <row r="1012" spans="1:2" x14ac:dyDescent="0.25">
      <c r="A1012" s="38">
        <v>5.3550000000000004</v>
      </c>
      <c r="B1012" s="21">
        <v>45967.543627534724</v>
      </c>
    </row>
    <row r="1013" spans="1:2" x14ac:dyDescent="0.25">
      <c r="A1013" s="38">
        <v>5.3494000000000002</v>
      </c>
      <c r="B1013" s="21">
        <v>45967.506801296295</v>
      </c>
    </row>
    <row r="1014" spans="1:2" x14ac:dyDescent="0.25">
      <c r="A1014" s="38">
        <v>5.3369</v>
      </c>
      <c r="B1014" s="21">
        <v>45967.464870763892</v>
      </c>
    </row>
    <row r="1015" spans="1:2" x14ac:dyDescent="0.25">
      <c r="A1015" s="38">
        <v>5.3388999999999998</v>
      </c>
      <c r="B1015" s="21">
        <v>45967.423215347226</v>
      </c>
    </row>
    <row r="1016" spans="1:2" x14ac:dyDescent="0.25">
      <c r="A1016" s="38">
        <v>5.3798000000000004</v>
      </c>
      <c r="B1016" s="21">
        <v>45966.546838009257</v>
      </c>
    </row>
    <row r="1017" spans="1:2" x14ac:dyDescent="0.25">
      <c r="A1017" s="38">
        <v>5.3635999999999999</v>
      </c>
      <c r="B1017" s="21">
        <v>45966.546837893518</v>
      </c>
    </row>
    <row r="1018" spans="1:2" x14ac:dyDescent="0.25">
      <c r="A1018" s="38">
        <v>5.3741000000000003</v>
      </c>
      <c r="B1018" s="21">
        <v>45966.503075266206</v>
      </c>
    </row>
    <row r="1019" spans="1:2" x14ac:dyDescent="0.25">
      <c r="A1019" s="38">
        <v>5.3832000000000004</v>
      </c>
      <c r="B1019" s="21">
        <v>45966.463487696761</v>
      </c>
    </row>
    <row r="1020" spans="1:2" x14ac:dyDescent="0.25">
      <c r="A1020" s="38">
        <v>5.3981000000000003</v>
      </c>
      <c r="B1020" s="21">
        <v>45966.420425034725</v>
      </c>
    </row>
    <row r="1021" spans="1:2" x14ac:dyDescent="0.25">
      <c r="A1021" s="38">
        <v>5.3845999999999998</v>
      </c>
      <c r="B1021" s="21">
        <v>45965.546840115741</v>
      </c>
    </row>
    <row r="1022" spans="1:2" x14ac:dyDescent="0.25">
      <c r="A1022" s="38">
        <v>5.3823999999999996</v>
      </c>
      <c r="B1022" s="21">
        <v>45965.5468400463</v>
      </c>
    </row>
    <row r="1023" spans="1:2" x14ac:dyDescent="0.25">
      <c r="A1023" s="38">
        <v>5.3823999999999996</v>
      </c>
      <c r="B1023" s="21">
        <v>45965.507233993056</v>
      </c>
    </row>
    <row r="1024" spans="1:2" x14ac:dyDescent="0.25">
      <c r="A1024" s="38">
        <v>5.3891</v>
      </c>
      <c r="B1024" s="21">
        <v>45965.466269432873</v>
      </c>
    </row>
    <row r="1025" spans="1:2" x14ac:dyDescent="0.25">
      <c r="A1025" s="38">
        <v>5.3845000000000001</v>
      </c>
      <c r="B1025" s="21">
        <v>45965.419749826389</v>
      </c>
    </row>
    <row r="1026" spans="1:2" x14ac:dyDescent="0.25">
      <c r="A1026" s="38">
        <v>5.3505000000000003</v>
      </c>
      <c r="B1026" s="21">
        <v>45964.546126539353</v>
      </c>
    </row>
    <row r="1027" spans="1:2" x14ac:dyDescent="0.25">
      <c r="A1027" s="38">
        <v>5.3550000000000004</v>
      </c>
      <c r="B1027" s="21">
        <v>45964.546126412039</v>
      </c>
    </row>
    <row r="1028" spans="1:2" x14ac:dyDescent="0.25">
      <c r="A1028" s="38">
        <v>5.3460999999999999</v>
      </c>
      <c r="B1028" s="21">
        <v>45964.504462002318</v>
      </c>
    </row>
    <row r="1029" spans="1:2" x14ac:dyDescent="0.25">
      <c r="A1029" s="38">
        <v>5.3503999999999996</v>
      </c>
      <c r="B1029" s="21">
        <v>45964.464173333334</v>
      </c>
    </row>
    <row r="1030" spans="1:2" x14ac:dyDescent="0.25">
      <c r="A1030" s="38">
        <v>5.3505000000000003</v>
      </c>
      <c r="B1030" s="21">
        <v>45964.420467048614</v>
      </c>
    </row>
    <row r="1031" spans="1:2" x14ac:dyDescent="0.25">
      <c r="A1031" s="38">
        <v>5.3842999999999996</v>
      </c>
      <c r="B1031" s="21">
        <v>45961.54685741898</v>
      </c>
    </row>
    <row r="1032" spans="1:2" x14ac:dyDescent="0.25">
      <c r="A1032" s="38">
        <v>5.3841000000000001</v>
      </c>
      <c r="B1032" s="21">
        <v>45961.546857314817</v>
      </c>
    </row>
    <row r="1033" spans="1:2" x14ac:dyDescent="0.25">
      <c r="A1033" s="38">
        <v>5.3921000000000001</v>
      </c>
      <c r="B1033" s="21">
        <v>45961.506143541665</v>
      </c>
    </row>
    <row r="1034" spans="1:2" x14ac:dyDescent="0.25">
      <c r="A1034" s="38">
        <v>5.3811999999999998</v>
      </c>
      <c r="B1034" s="21">
        <v>45961.461393877318</v>
      </c>
    </row>
    <row r="1035" spans="1:2" x14ac:dyDescent="0.25">
      <c r="A1035" s="38">
        <v>5.3795999999999999</v>
      </c>
      <c r="B1035" s="21">
        <v>45961.419741087964</v>
      </c>
    </row>
    <row r="1036" spans="1:2" x14ac:dyDescent="0.25">
      <c r="A1036" s="38">
        <v>5.3849999999999998</v>
      </c>
      <c r="B1036" s="21">
        <v>45960.548234224538</v>
      </c>
    </row>
    <row r="1037" spans="1:2" x14ac:dyDescent="0.25">
      <c r="A1037" s="38">
        <v>5.3822000000000001</v>
      </c>
      <c r="B1037" s="21">
        <v>45960.548234131944</v>
      </c>
    </row>
    <row r="1038" spans="1:2" x14ac:dyDescent="0.25">
      <c r="A1038" s="38">
        <v>5.3837000000000002</v>
      </c>
      <c r="B1038" s="21">
        <v>45960.501712696758</v>
      </c>
    </row>
    <row r="1039" spans="1:2" x14ac:dyDescent="0.25">
      <c r="A1039" s="38">
        <v>5.3817000000000004</v>
      </c>
      <c r="B1039" s="21">
        <v>45960.465177893515</v>
      </c>
    </row>
    <row r="1040" spans="1:2" x14ac:dyDescent="0.25">
      <c r="A1040" s="38">
        <v>5.3921999999999999</v>
      </c>
      <c r="B1040" s="21">
        <v>45960.421210115739</v>
      </c>
    </row>
    <row r="1041" spans="1:2" x14ac:dyDescent="0.25">
      <c r="A1041" s="38">
        <v>5.3415999999999997</v>
      </c>
      <c r="B1041" s="21">
        <v>45959.544695381941</v>
      </c>
    </row>
    <row r="1042" spans="1:2" x14ac:dyDescent="0.25">
      <c r="A1042" s="38">
        <v>5.3467000000000002</v>
      </c>
      <c r="B1042" s="21">
        <v>45959.54469516204</v>
      </c>
    </row>
    <row r="1043" spans="1:2" x14ac:dyDescent="0.25">
      <c r="A1043" s="38">
        <v>5.3346999999999998</v>
      </c>
      <c r="B1043" s="21">
        <v>45959.50778915509</v>
      </c>
    </row>
    <row r="1044" spans="1:2" x14ac:dyDescent="0.25">
      <c r="A1044" s="38">
        <v>5.3387000000000002</v>
      </c>
      <c r="B1044" s="21">
        <v>45959.466290289354</v>
      </c>
    </row>
    <row r="1045" spans="1:2" x14ac:dyDescent="0.25">
      <c r="A1045" s="38">
        <v>5.3460999999999999</v>
      </c>
      <c r="B1045" s="21">
        <v>45959.427917083332</v>
      </c>
    </row>
    <row r="1046" spans="1:2" x14ac:dyDescent="0.25">
      <c r="A1046" s="38">
        <v>5.3689999999999998</v>
      </c>
      <c r="B1046" s="21">
        <v>45958.544770636574</v>
      </c>
    </row>
    <row r="1047" spans="1:2" x14ac:dyDescent="0.25">
      <c r="A1047" s="38">
        <v>5.3605</v>
      </c>
      <c r="B1047" s="21">
        <v>45958.54477054398</v>
      </c>
    </row>
    <row r="1048" spans="1:2" x14ac:dyDescent="0.25">
      <c r="A1048" s="38">
        <v>5.3661000000000003</v>
      </c>
      <c r="B1048" s="21">
        <v>45958.504913206016</v>
      </c>
    </row>
    <row r="1049" spans="1:2" x14ac:dyDescent="0.25">
      <c r="A1049" s="38">
        <v>5.3712</v>
      </c>
      <c r="B1049" s="21">
        <v>45958.46071634259</v>
      </c>
    </row>
    <row r="1050" spans="1:2" x14ac:dyDescent="0.25">
      <c r="A1050" s="38">
        <v>5.3783000000000003</v>
      </c>
      <c r="B1050" s="21">
        <v>45958.41974351852</v>
      </c>
    </row>
    <row r="1051" spans="1:2" x14ac:dyDescent="0.25">
      <c r="A1051" s="38">
        <v>5.3743999999999996</v>
      </c>
      <c r="B1051" s="21">
        <v>45957.546832233798</v>
      </c>
    </row>
    <row r="1052" spans="1:2" x14ac:dyDescent="0.25">
      <c r="A1052" s="38">
        <v>5.3769</v>
      </c>
      <c r="B1052" s="21">
        <v>45957.546832071763</v>
      </c>
    </row>
    <row r="1053" spans="1:2" x14ac:dyDescent="0.25">
      <c r="A1053" s="38">
        <v>5.3720999999999997</v>
      </c>
      <c r="B1053" s="21">
        <v>45957.507099918985</v>
      </c>
    </row>
    <row r="1054" spans="1:2" x14ac:dyDescent="0.25">
      <c r="A1054" s="38">
        <v>5.3800999999999997</v>
      </c>
      <c r="B1054" s="21">
        <v>45957.462792418984</v>
      </c>
    </row>
    <row r="1055" spans="1:2" x14ac:dyDescent="0.25">
      <c r="A1055" s="38">
        <v>5.3684000000000003</v>
      </c>
      <c r="B1055" s="21">
        <v>45957.423237337964</v>
      </c>
    </row>
    <row r="1056" spans="1:2" x14ac:dyDescent="0.25">
      <c r="A1056" s="38">
        <v>5.3796999999999997</v>
      </c>
      <c r="B1056" s="21">
        <v>45954.547543414352</v>
      </c>
    </row>
    <row r="1057" spans="1:2" x14ac:dyDescent="0.25">
      <c r="A1057" s="38">
        <v>5.3837000000000002</v>
      </c>
      <c r="B1057" s="21">
        <v>45954.547543298613</v>
      </c>
    </row>
    <row r="1058" spans="1:2" x14ac:dyDescent="0.25">
      <c r="A1058" s="38">
        <v>5.3868</v>
      </c>
      <c r="B1058" s="21">
        <v>45954.501701111112</v>
      </c>
    </row>
    <row r="1059" spans="1:2" x14ac:dyDescent="0.25">
      <c r="A1059" s="38">
        <v>5.3810000000000002</v>
      </c>
      <c r="B1059" s="21">
        <v>45954.464883229164</v>
      </c>
    </row>
    <row r="1060" spans="1:2" x14ac:dyDescent="0.25">
      <c r="A1060" s="38">
        <v>5.3672000000000004</v>
      </c>
      <c r="B1060" s="21">
        <v>45954.421840127317</v>
      </c>
    </row>
    <row r="1061" spans="1:2" x14ac:dyDescent="0.25">
      <c r="A1061" s="38">
        <v>5.3840000000000003</v>
      </c>
      <c r="B1061" s="21">
        <v>45953.543383622688</v>
      </c>
    </row>
    <row r="1062" spans="1:2" x14ac:dyDescent="0.25">
      <c r="A1062" s="38">
        <v>5.3842999999999996</v>
      </c>
      <c r="B1062" s="21">
        <v>45953.543383553239</v>
      </c>
    </row>
    <row r="1063" spans="1:2" x14ac:dyDescent="0.25">
      <c r="A1063" s="38">
        <v>5.3841999999999999</v>
      </c>
      <c r="B1063" s="21">
        <v>45953.506575694446</v>
      </c>
    </row>
    <row r="1064" spans="1:2" x14ac:dyDescent="0.25">
      <c r="A1064" s="38">
        <v>5.3815999999999997</v>
      </c>
      <c r="B1064" s="21">
        <v>45953.465589328705</v>
      </c>
    </row>
    <row r="1065" spans="1:2" x14ac:dyDescent="0.25">
      <c r="A1065" s="38">
        <v>5.3859000000000004</v>
      </c>
      <c r="B1065" s="21">
        <v>45953.419040590277</v>
      </c>
    </row>
    <row r="1066" spans="1:2" x14ac:dyDescent="0.25">
      <c r="A1066" s="38">
        <v>5.3898000000000001</v>
      </c>
      <c r="B1066" s="21">
        <v>45952.54617559028</v>
      </c>
    </row>
    <row r="1067" spans="1:2" x14ac:dyDescent="0.25">
      <c r="A1067" s="38">
        <v>5.3941999999999997</v>
      </c>
      <c r="B1067" s="21">
        <v>45952.546175509262</v>
      </c>
    </row>
    <row r="1068" spans="1:2" x14ac:dyDescent="0.25">
      <c r="A1068" s="38">
        <v>5.3906999999999998</v>
      </c>
      <c r="B1068" s="21">
        <v>45952.505156516207</v>
      </c>
    </row>
    <row r="1069" spans="1:2" x14ac:dyDescent="0.25">
      <c r="A1069" s="38">
        <v>5.3879000000000001</v>
      </c>
      <c r="B1069" s="21">
        <v>45952.465589722226</v>
      </c>
    </row>
    <row r="1070" spans="1:2" x14ac:dyDescent="0.25">
      <c r="A1070" s="38">
        <v>5.3864000000000001</v>
      </c>
      <c r="B1070" s="21">
        <v>45952.419051331017</v>
      </c>
    </row>
    <row r="1071" spans="1:2" x14ac:dyDescent="0.25">
      <c r="A1071" s="38">
        <v>5.3848000000000003</v>
      </c>
      <c r="B1071" s="21">
        <v>45951.547569062503</v>
      </c>
    </row>
    <row r="1072" spans="1:2" x14ac:dyDescent="0.25">
      <c r="A1072" s="38">
        <v>5.3731</v>
      </c>
      <c r="B1072" s="21">
        <v>45951.547568888891</v>
      </c>
    </row>
    <row r="1073" spans="1:2" x14ac:dyDescent="0.25">
      <c r="A1073" s="38">
        <v>5.3825000000000003</v>
      </c>
      <c r="B1073" s="21">
        <v>45951.506537835645</v>
      </c>
    </row>
    <row r="1074" spans="1:2" x14ac:dyDescent="0.25">
      <c r="A1074" s="38">
        <v>5.3977000000000004</v>
      </c>
      <c r="B1074" s="21">
        <v>45951.46627730324</v>
      </c>
    </row>
    <row r="1075" spans="1:2" x14ac:dyDescent="0.25">
      <c r="A1075" s="38">
        <v>5.3857999999999997</v>
      </c>
      <c r="B1075" s="21">
        <v>45951.419054062499</v>
      </c>
    </row>
    <row r="1076" spans="1:2" x14ac:dyDescent="0.25">
      <c r="A1076" s="38">
        <v>5.3771000000000004</v>
      </c>
      <c r="B1076" s="21">
        <v>45950.549631921298</v>
      </c>
    </row>
    <row r="1077" spans="1:2" x14ac:dyDescent="0.25">
      <c r="A1077" s="38">
        <v>5.3715999999999999</v>
      </c>
      <c r="B1077" s="21">
        <v>45950.549631678237</v>
      </c>
    </row>
    <row r="1078" spans="1:2" x14ac:dyDescent="0.25">
      <c r="A1078" s="38">
        <v>5.38</v>
      </c>
      <c r="B1078" s="21">
        <v>45950.505844039355</v>
      </c>
    </row>
    <row r="1079" spans="1:2" x14ac:dyDescent="0.25">
      <c r="A1079" s="38">
        <v>5.3769999999999998</v>
      </c>
      <c r="B1079" s="21">
        <v>45950.465580300923</v>
      </c>
    </row>
    <row r="1080" spans="1:2" x14ac:dyDescent="0.25">
      <c r="A1080" s="38">
        <v>5.3798000000000004</v>
      </c>
      <c r="B1080" s="21">
        <v>45950.422536759259</v>
      </c>
    </row>
    <row r="1081" spans="1:2" x14ac:dyDescent="0.25">
      <c r="A1081" s="38">
        <v>5.4390000000000001</v>
      </c>
      <c r="B1081" s="21">
        <v>45947.552159386571</v>
      </c>
    </row>
    <row r="1082" spans="1:2" x14ac:dyDescent="0.25">
      <c r="A1082" s="38">
        <v>5.4183000000000003</v>
      </c>
      <c r="B1082" s="21">
        <v>45947.552159340281</v>
      </c>
    </row>
    <row r="1083" spans="1:2" x14ac:dyDescent="0.25">
      <c r="A1083" s="38">
        <v>5.4301000000000004</v>
      </c>
      <c r="B1083" s="21">
        <v>45947.505664548611</v>
      </c>
    </row>
    <row r="1084" spans="1:2" x14ac:dyDescent="0.25">
      <c r="A1084" s="38">
        <v>5.4520999999999997</v>
      </c>
      <c r="B1084" s="21">
        <v>45947.465655219909</v>
      </c>
    </row>
    <row r="1085" spans="1:2" x14ac:dyDescent="0.25">
      <c r="A1085" s="38">
        <v>5.4554</v>
      </c>
      <c r="B1085" s="21">
        <v>45947.431057939815</v>
      </c>
    </row>
    <row r="1086" spans="1:2" x14ac:dyDescent="0.25">
      <c r="A1086" s="38">
        <v>5.4353999999999996</v>
      </c>
      <c r="B1086" s="21">
        <v>45946.548997800928</v>
      </c>
    </row>
    <row r="1087" spans="1:2" x14ac:dyDescent="0.25">
      <c r="A1087" s="38">
        <v>5.4340000000000002</v>
      </c>
      <c r="B1087" s="21">
        <v>45946.548997731479</v>
      </c>
    </row>
    <row r="1088" spans="1:2" x14ac:dyDescent="0.25">
      <c r="A1088" s="38">
        <v>5.4233000000000002</v>
      </c>
      <c r="B1088" s="21">
        <v>45946.507713564817</v>
      </c>
    </row>
    <row r="1089" spans="1:2" x14ac:dyDescent="0.25">
      <c r="A1089" s="38">
        <v>5.4382000000000001</v>
      </c>
      <c r="B1089" s="21">
        <v>45946.460074224538</v>
      </c>
    </row>
    <row r="1090" spans="1:2" x14ac:dyDescent="0.25">
      <c r="A1090" s="38">
        <v>5.4462000000000002</v>
      </c>
      <c r="B1090" s="21">
        <v>45946.422553321761</v>
      </c>
    </row>
    <row r="1091" spans="1:2" x14ac:dyDescent="0.25">
      <c r="A1091" s="38">
        <v>5.4463999999999997</v>
      </c>
      <c r="B1091" s="21">
        <v>45945.546845636571</v>
      </c>
    </row>
    <row r="1092" spans="1:2" x14ac:dyDescent="0.25">
      <c r="A1092" s="38">
        <v>5.4470000000000001</v>
      </c>
      <c r="B1092" s="21">
        <v>45945.546845543984</v>
      </c>
    </row>
    <row r="1093" spans="1:2" x14ac:dyDescent="0.25">
      <c r="A1093" s="38">
        <v>5.4344000000000001</v>
      </c>
      <c r="B1093" s="21">
        <v>45945.501699259257</v>
      </c>
    </row>
    <row r="1094" spans="1:2" x14ac:dyDescent="0.25">
      <c r="A1094" s="38">
        <v>5.4451999999999998</v>
      </c>
      <c r="B1094" s="21">
        <v>45945.463498032404</v>
      </c>
    </row>
    <row r="1095" spans="1:2" x14ac:dyDescent="0.25">
      <c r="A1095" s="38">
        <v>5.4589999999999996</v>
      </c>
      <c r="B1095" s="21">
        <v>45945.421831087966</v>
      </c>
    </row>
    <row r="1096" spans="1:2" x14ac:dyDescent="0.25">
      <c r="A1096" s="38">
        <v>5.4981999999999998</v>
      </c>
      <c r="B1096" s="21">
        <v>45944.549610486109</v>
      </c>
    </row>
    <row r="1097" spans="1:2" x14ac:dyDescent="0.25">
      <c r="A1097" s="38">
        <v>5.4832999999999998</v>
      </c>
      <c r="B1097" s="21">
        <v>45944.549610335649</v>
      </c>
    </row>
    <row r="1098" spans="1:2" x14ac:dyDescent="0.25">
      <c r="A1098" s="38">
        <v>5.5007000000000001</v>
      </c>
      <c r="B1098" s="21">
        <v>45944.507808888891</v>
      </c>
    </row>
    <row r="1099" spans="1:2" x14ac:dyDescent="0.25">
      <c r="A1099" s="38">
        <v>5.5069999999999997</v>
      </c>
      <c r="B1099" s="21">
        <v>45944.465575439812</v>
      </c>
    </row>
    <row r="1100" spans="1:2" x14ac:dyDescent="0.25">
      <c r="A1100" s="38">
        <v>5.5019</v>
      </c>
      <c r="B1100" s="21">
        <v>45944.419764756945</v>
      </c>
    </row>
    <row r="1101" spans="1:2" x14ac:dyDescent="0.25">
      <c r="A1101" s="38">
        <v>5.4629000000000003</v>
      </c>
      <c r="B1101" s="21">
        <v>45943.543561944447</v>
      </c>
    </row>
    <row r="1102" spans="1:2" x14ac:dyDescent="0.25">
      <c r="A1102" s="38">
        <v>5.4532999999999996</v>
      </c>
      <c r="B1102" s="21">
        <v>45943.543561840277</v>
      </c>
    </row>
    <row r="1103" spans="1:2" x14ac:dyDescent="0.25">
      <c r="A1103" s="38">
        <v>5.4503000000000004</v>
      </c>
      <c r="B1103" s="21">
        <v>45943.504466932871</v>
      </c>
    </row>
    <row r="1104" spans="1:2" x14ac:dyDescent="0.25">
      <c r="A1104" s="38">
        <v>5.4779999999999998</v>
      </c>
      <c r="B1104" s="21">
        <v>45943.462114212962</v>
      </c>
    </row>
    <row r="1105" spans="1:2" x14ac:dyDescent="0.25">
      <c r="A1105" s="38">
        <v>5.4698000000000002</v>
      </c>
      <c r="B1105" s="21">
        <v>45943.424613287039</v>
      </c>
    </row>
    <row r="1106" spans="1:2" x14ac:dyDescent="0.25">
      <c r="A1106" s="38">
        <v>5.4446000000000003</v>
      </c>
      <c r="B1106" s="21">
        <v>45940.549601782404</v>
      </c>
    </row>
    <row r="1107" spans="1:2" x14ac:dyDescent="0.25">
      <c r="A1107" s="38">
        <v>5.4775999999999998</v>
      </c>
      <c r="B1107" s="21">
        <v>45940.549601736115</v>
      </c>
    </row>
    <row r="1108" spans="1:2" x14ac:dyDescent="0.25">
      <c r="A1108" s="38">
        <v>5.4614000000000003</v>
      </c>
      <c r="B1108" s="21">
        <v>45940.508235995374</v>
      </c>
    </row>
    <row r="1109" spans="1:2" x14ac:dyDescent="0.25">
      <c r="A1109" s="38">
        <v>5.4463999999999997</v>
      </c>
      <c r="B1109" s="21">
        <v>45940.461889467595</v>
      </c>
    </row>
    <row r="1110" spans="1:2" x14ac:dyDescent="0.25">
      <c r="A1110" s="38">
        <v>5.3930999999999996</v>
      </c>
      <c r="B1110" s="21">
        <v>45940.419744641207</v>
      </c>
    </row>
    <row r="1111" spans="1:2" x14ac:dyDescent="0.25">
      <c r="A1111" s="38">
        <v>5.3537999999999997</v>
      </c>
      <c r="B1111" s="21">
        <v>45939.548248252315</v>
      </c>
    </row>
    <row r="1112" spans="1:2" x14ac:dyDescent="0.25">
      <c r="A1112" s="38">
        <v>5.3651</v>
      </c>
      <c r="B1112" s="21">
        <v>45939.548248171297</v>
      </c>
    </row>
    <row r="1113" spans="1:2" x14ac:dyDescent="0.25">
      <c r="A1113" s="38">
        <v>5.3643000000000001</v>
      </c>
      <c r="B1113" s="21">
        <v>45939.5074612963</v>
      </c>
    </row>
    <row r="1114" spans="1:2" x14ac:dyDescent="0.25">
      <c r="A1114" s="38">
        <v>5.3528000000000002</v>
      </c>
      <c r="B1114" s="21">
        <v>45939.465570173612</v>
      </c>
    </row>
    <row r="1115" spans="1:2" x14ac:dyDescent="0.25">
      <c r="A1115" s="38">
        <v>5.3330000000000002</v>
      </c>
      <c r="B1115" s="21">
        <v>45939.420423750002</v>
      </c>
    </row>
    <row r="1116" spans="1:2" x14ac:dyDescent="0.25">
      <c r="A1116" s="38">
        <v>5.3426999999999998</v>
      </c>
      <c r="B1116" s="21">
        <v>45938.548236377312</v>
      </c>
    </row>
    <row r="1117" spans="1:2" x14ac:dyDescent="0.25">
      <c r="A1117" s="38">
        <v>5.3444000000000003</v>
      </c>
      <c r="B1117" s="21">
        <v>45938.548236261573</v>
      </c>
    </row>
    <row r="1118" spans="1:2" x14ac:dyDescent="0.25">
      <c r="A1118" s="38">
        <v>5.3483999999999998</v>
      </c>
      <c r="B1118" s="21">
        <v>45938.503072673608</v>
      </c>
    </row>
    <row r="1119" spans="1:2" x14ac:dyDescent="0.25">
      <c r="A1119" s="38">
        <v>5.3414000000000001</v>
      </c>
      <c r="B1119" s="21">
        <v>45938.463483888889</v>
      </c>
    </row>
    <row r="1120" spans="1:2" x14ac:dyDescent="0.25">
      <c r="A1120" s="38">
        <v>5.3364000000000003</v>
      </c>
      <c r="B1120" s="21">
        <v>45938.419060706015</v>
      </c>
    </row>
    <row r="1121" spans="1:2" x14ac:dyDescent="0.25">
      <c r="A1121" s="38">
        <v>5.3362999999999996</v>
      </c>
      <c r="B1121" s="21">
        <v>45937.54617814815</v>
      </c>
    </row>
    <row r="1122" spans="1:2" x14ac:dyDescent="0.25">
      <c r="A1122" s="38">
        <v>5.3410000000000002</v>
      </c>
      <c r="B1122" s="21">
        <v>45937.546178078701</v>
      </c>
    </row>
    <row r="1123" spans="1:2" x14ac:dyDescent="0.25">
      <c r="A1123" s="38">
        <v>5.3357000000000001</v>
      </c>
      <c r="B1123" s="21">
        <v>45937.504374548611</v>
      </c>
    </row>
    <row r="1124" spans="1:2" x14ac:dyDescent="0.25">
      <c r="A1124" s="38">
        <v>5.3335999999999997</v>
      </c>
      <c r="B1124" s="21">
        <v>45937.464182476855</v>
      </c>
    </row>
    <row r="1125" spans="1:2" x14ac:dyDescent="0.25">
      <c r="A1125" s="38">
        <v>5.3348000000000004</v>
      </c>
      <c r="B1125" s="21">
        <v>45937.419045949071</v>
      </c>
    </row>
    <row r="1126" spans="1:2" x14ac:dyDescent="0.25">
      <c r="A1126" s="38">
        <v>5.3226000000000004</v>
      </c>
      <c r="B1126" s="21">
        <v>45936.546889050929</v>
      </c>
    </row>
    <row r="1127" spans="1:2" x14ac:dyDescent="0.25">
      <c r="A1127" s="38">
        <v>5.3201000000000001</v>
      </c>
      <c r="B1127" s="21">
        <v>45936.546888958335</v>
      </c>
    </row>
    <row r="1128" spans="1:2" x14ac:dyDescent="0.25">
      <c r="A1128" s="38">
        <v>5.3223000000000003</v>
      </c>
      <c r="B1128" s="21">
        <v>45936.505348553241</v>
      </c>
    </row>
    <row r="1129" spans="1:2" x14ac:dyDescent="0.25">
      <c r="A1129" s="38">
        <v>5.3211000000000004</v>
      </c>
      <c r="B1129" s="21">
        <v>45936.462812465281</v>
      </c>
    </row>
    <row r="1130" spans="1:2" x14ac:dyDescent="0.25">
      <c r="A1130" s="38">
        <v>5.3268000000000004</v>
      </c>
      <c r="B1130" s="21">
        <v>45936.423937604166</v>
      </c>
    </row>
    <row r="1131" spans="1:2" x14ac:dyDescent="0.25">
      <c r="A1131" s="38">
        <v>5.3498000000000001</v>
      </c>
      <c r="B1131" s="21">
        <v>45933.545455648149</v>
      </c>
    </row>
    <row r="1132" spans="1:2" x14ac:dyDescent="0.25">
      <c r="A1132" s="38">
        <v>5.3525</v>
      </c>
      <c r="B1132" s="21">
        <v>45933.545455567131</v>
      </c>
    </row>
    <row r="1133" spans="1:2" x14ac:dyDescent="0.25">
      <c r="A1133" s="38">
        <v>5.3564999999999996</v>
      </c>
      <c r="B1133" s="21">
        <v>45933.502375509262</v>
      </c>
    </row>
    <row r="1134" spans="1:2" x14ac:dyDescent="0.25">
      <c r="A1134" s="38">
        <v>5.3498000000000001</v>
      </c>
      <c r="B1134" s="21">
        <v>45933.460020578706</v>
      </c>
    </row>
    <row r="1135" spans="1:2" x14ac:dyDescent="0.25">
      <c r="A1135" s="38">
        <v>5.3404999999999996</v>
      </c>
      <c r="B1135" s="21">
        <v>45933.421837048612</v>
      </c>
    </row>
    <row r="1136" spans="1:2" x14ac:dyDescent="0.25">
      <c r="A1136" s="38">
        <v>5.3449</v>
      </c>
      <c r="B1136" s="21">
        <v>45932.54823695602</v>
      </c>
    </row>
    <row r="1137" spans="1:2" x14ac:dyDescent="0.25">
      <c r="A1137" s="38">
        <v>5.3648999999999996</v>
      </c>
      <c r="B1137" s="21">
        <v>45932.548236863426</v>
      </c>
    </row>
    <row r="1138" spans="1:2" x14ac:dyDescent="0.25">
      <c r="A1138" s="38">
        <v>5.3482000000000003</v>
      </c>
      <c r="B1138" s="21">
        <v>45932.507935034722</v>
      </c>
    </row>
    <row r="1139" spans="1:2" x14ac:dyDescent="0.25">
      <c r="A1139" s="38">
        <v>5.3390000000000004</v>
      </c>
      <c r="B1139" s="21">
        <v>45932.466263206021</v>
      </c>
    </row>
    <row r="1140" spans="1:2" x14ac:dyDescent="0.25">
      <c r="A1140" s="38">
        <v>5.3273999999999999</v>
      </c>
      <c r="B1140" s="21">
        <v>45932.423221724537</v>
      </c>
    </row>
    <row r="1141" spans="1:2" x14ac:dyDescent="0.25">
      <c r="A1141" s="38">
        <v>5.3208000000000002</v>
      </c>
      <c r="B1141" s="21">
        <v>45931.543404618053</v>
      </c>
    </row>
    <row r="1142" spans="1:2" x14ac:dyDescent="0.25">
      <c r="A1142" s="38">
        <v>5.3349000000000002</v>
      </c>
      <c r="B1142" s="21">
        <v>45931.54340451389</v>
      </c>
    </row>
    <row r="1143" spans="1:2" x14ac:dyDescent="0.25">
      <c r="A1143" s="38">
        <v>5.3238000000000003</v>
      </c>
      <c r="B1143" s="21">
        <v>45931.506549699072</v>
      </c>
    </row>
    <row r="1144" spans="1:2" x14ac:dyDescent="0.25">
      <c r="A1144" s="38">
        <v>5.3110999999999997</v>
      </c>
      <c r="B1144" s="21">
        <v>45931.460714490742</v>
      </c>
    </row>
    <row r="1145" spans="1:2" x14ac:dyDescent="0.25">
      <c r="A1145" s="38">
        <v>5.3132000000000001</v>
      </c>
      <c r="B1145" s="21">
        <v>45931.421142395833</v>
      </c>
    </row>
    <row r="1146" spans="1:2" x14ac:dyDescent="0.25">
      <c r="A1146" s="38">
        <v>5.3186</v>
      </c>
      <c r="B1146" s="21">
        <v>45930.547559502316</v>
      </c>
    </row>
    <row r="1147" spans="1:2" x14ac:dyDescent="0.25">
      <c r="A1147" s="38">
        <v>5.3263999999999996</v>
      </c>
      <c r="B1147" s="21">
        <v>45930.547559432867</v>
      </c>
    </row>
    <row r="1148" spans="1:2" x14ac:dyDescent="0.25">
      <c r="A1148" s="38">
        <v>5.3221999999999996</v>
      </c>
      <c r="B1148" s="21">
        <v>45930.507236076388</v>
      </c>
    </row>
    <row r="1149" spans="1:2" x14ac:dyDescent="0.25">
      <c r="A1149" s="38">
        <v>5.3148</v>
      </c>
      <c r="B1149" s="21">
        <v>45930.464873252313</v>
      </c>
    </row>
    <row r="1150" spans="1:2" x14ac:dyDescent="0.25">
      <c r="A1150" s="38">
        <v>5.3108000000000004</v>
      </c>
      <c r="B1150" s="21">
        <v>45930.423210833331</v>
      </c>
    </row>
    <row r="1151" spans="1:2" x14ac:dyDescent="0.25">
      <c r="A1151" s="38">
        <v>5.3228999999999997</v>
      </c>
      <c r="B1151" s="21">
        <v>45929.544755613424</v>
      </c>
    </row>
    <row r="1152" spans="1:2" x14ac:dyDescent="0.25">
      <c r="A1152" s="38">
        <v>5.3254999999999999</v>
      </c>
      <c r="B1152" s="21">
        <v>45929.54475552083</v>
      </c>
    </row>
    <row r="1153" spans="1:2" x14ac:dyDescent="0.25">
      <c r="A1153" s="38">
        <v>5.3259999999999996</v>
      </c>
      <c r="B1153" s="21">
        <v>45929.507919317133</v>
      </c>
    </row>
    <row r="1154" spans="1:2" x14ac:dyDescent="0.25">
      <c r="A1154" s="38">
        <v>5.3155999999999999</v>
      </c>
      <c r="B1154" s="21">
        <v>45929.463499293983</v>
      </c>
    </row>
    <row r="1155" spans="1:2" x14ac:dyDescent="0.25">
      <c r="A1155" s="38">
        <v>5.3243</v>
      </c>
      <c r="B1155" s="21">
        <v>45929.420180127316</v>
      </c>
    </row>
    <row r="1156" spans="1:2" x14ac:dyDescent="0.25">
      <c r="A1156" s="38">
        <v>5.3445</v>
      </c>
      <c r="B1156" s="21">
        <v>45926.543379351853</v>
      </c>
    </row>
    <row r="1157" spans="1:2" x14ac:dyDescent="0.25">
      <c r="A1157" s="38">
        <v>5.3409000000000004</v>
      </c>
      <c r="B1157" s="21">
        <v>45926.543379282404</v>
      </c>
    </row>
    <row r="1158" spans="1:2" x14ac:dyDescent="0.25">
      <c r="A1158" s="38">
        <v>5.3468999999999998</v>
      </c>
      <c r="B1158" s="21">
        <v>45926.501680520836</v>
      </c>
    </row>
    <row r="1159" spans="1:2" x14ac:dyDescent="0.25">
      <c r="A1159" s="38">
        <v>5.3509000000000002</v>
      </c>
      <c r="B1159" s="21">
        <v>45926.464173611108</v>
      </c>
    </row>
    <row r="1160" spans="1:2" x14ac:dyDescent="0.25">
      <c r="A1160" s="38">
        <v>5.3394000000000004</v>
      </c>
      <c r="B1160" s="21">
        <v>45926.42459357639</v>
      </c>
    </row>
    <row r="1161" spans="1:2" x14ac:dyDescent="0.25">
      <c r="A1161" s="38">
        <v>5.3425000000000002</v>
      </c>
      <c r="B1161" s="21">
        <v>45925.545447291668</v>
      </c>
    </row>
    <row r="1162" spans="1:2" x14ac:dyDescent="0.25">
      <c r="A1162" s="38">
        <v>5.3475999999999999</v>
      </c>
      <c r="B1162" s="21">
        <v>45925.545447222219</v>
      </c>
    </row>
    <row r="1163" spans="1:2" x14ac:dyDescent="0.25">
      <c r="A1163" s="38">
        <v>5.3521000000000001</v>
      </c>
      <c r="B1163" s="21">
        <v>45925.503753912039</v>
      </c>
    </row>
    <row r="1164" spans="1:2" x14ac:dyDescent="0.25">
      <c r="A1164" s="38">
        <v>5.3445999999999998</v>
      </c>
      <c r="B1164" s="21">
        <v>45925.465566597224</v>
      </c>
    </row>
    <row r="1165" spans="1:2" x14ac:dyDescent="0.25">
      <c r="A1165" s="38">
        <v>5.3257000000000003</v>
      </c>
      <c r="B1165" s="21">
        <v>45925.427175370372</v>
      </c>
    </row>
    <row r="1166" spans="1:2" x14ac:dyDescent="0.25">
      <c r="A1166" s="38">
        <v>5.3112000000000004</v>
      </c>
      <c r="B1166" s="21">
        <v>45924.548223252314</v>
      </c>
    </row>
    <row r="1167" spans="1:2" x14ac:dyDescent="0.25">
      <c r="A1167" s="38">
        <v>5.3178999999999998</v>
      </c>
      <c r="B1167" s="21">
        <v>45924.548223171296</v>
      </c>
    </row>
    <row r="1168" spans="1:2" x14ac:dyDescent="0.25">
      <c r="A1168" s="38">
        <v>5.3090000000000002</v>
      </c>
      <c r="B1168" s="21">
        <v>45924.505127962962</v>
      </c>
    </row>
    <row r="1169" spans="1:2" x14ac:dyDescent="0.25">
      <c r="A1169" s="38">
        <v>5.3129</v>
      </c>
      <c r="B1169" s="21">
        <v>45924.463478715275</v>
      </c>
    </row>
    <row r="1170" spans="1:2" x14ac:dyDescent="0.25">
      <c r="A1170" s="38">
        <v>5.3048999999999999</v>
      </c>
      <c r="B1170" s="21">
        <v>45924.418351736109</v>
      </c>
    </row>
    <row r="1171" spans="1:2" x14ac:dyDescent="0.25">
      <c r="A1171" s="38">
        <v>5.3063000000000002</v>
      </c>
      <c r="B1171" s="21">
        <v>45923.546328657409</v>
      </c>
    </row>
    <row r="1172" spans="1:2" x14ac:dyDescent="0.25">
      <c r="A1172" s="38">
        <v>5.2931999999999997</v>
      </c>
      <c r="B1172" s="21">
        <v>45923.546328576391</v>
      </c>
    </row>
    <row r="1173" spans="1:2" x14ac:dyDescent="0.25">
      <c r="A1173" s="38">
        <v>5.2916999999999996</v>
      </c>
      <c r="B1173" s="21">
        <v>45923.507253923613</v>
      </c>
    </row>
    <row r="1174" spans="1:2" x14ac:dyDescent="0.25">
      <c r="A1174" s="38">
        <v>5.3136999999999999</v>
      </c>
      <c r="B1174" s="21">
        <v>45923.464870115742</v>
      </c>
    </row>
    <row r="1175" spans="1:2" x14ac:dyDescent="0.25">
      <c r="A1175" s="38">
        <v>5.3263999999999996</v>
      </c>
      <c r="B1175" s="21">
        <v>45923.42460604167</v>
      </c>
    </row>
    <row r="1176" spans="1:2" x14ac:dyDescent="0.25">
      <c r="A1176" s="38">
        <v>5.3456999999999999</v>
      </c>
      <c r="B1176" s="21">
        <v>45922.54618114583</v>
      </c>
    </row>
    <row r="1177" spans="1:2" x14ac:dyDescent="0.25">
      <c r="A1177" s="38">
        <v>5.3472</v>
      </c>
      <c r="B1177" s="21">
        <v>45922.546181030091</v>
      </c>
    </row>
    <row r="1178" spans="1:2" x14ac:dyDescent="0.25">
      <c r="A1178" s="38">
        <v>5.3524000000000003</v>
      </c>
      <c r="B1178" s="21">
        <v>45922.50792989583</v>
      </c>
    </row>
    <row r="1179" spans="1:2" x14ac:dyDescent="0.25">
      <c r="A1179" s="38">
        <v>5.3472</v>
      </c>
      <c r="B1179" s="21">
        <v>45922.46141679398</v>
      </c>
    </row>
    <row r="1180" spans="1:2" x14ac:dyDescent="0.25">
      <c r="A1180" s="38">
        <v>5.3358999999999996</v>
      </c>
      <c r="B1180" s="21">
        <v>45922.42114056713</v>
      </c>
    </row>
    <row r="1181" spans="1:2" x14ac:dyDescent="0.25">
      <c r="A1181" s="38">
        <v>5.3276000000000003</v>
      </c>
      <c r="B1181" s="21">
        <v>45919.545456967593</v>
      </c>
    </row>
    <row r="1182" spans="1:2" x14ac:dyDescent="0.25">
      <c r="A1182" s="38">
        <v>5.3274999999999997</v>
      </c>
      <c r="B1182" s="21">
        <v>45919.545456863423</v>
      </c>
    </row>
    <row r="1183" spans="1:2" x14ac:dyDescent="0.25">
      <c r="A1183" s="38">
        <v>5.3280000000000003</v>
      </c>
      <c r="B1183" s="21">
        <v>45919.507938356481</v>
      </c>
    </row>
    <row r="1184" spans="1:2" x14ac:dyDescent="0.25">
      <c r="A1184" s="38">
        <v>5.3250999999999999</v>
      </c>
      <c r="B1184" s="21">
        <v>45919.463494722222</v>
      </c>
    </row>
    <row r="1185" spans="1:2" x14ac:dyDescent="0.25">
      <c r="A1185" s="38">
        <v>5.3299000000000003</v>
      </c>
      <c r="B1185" s="21">
        <v>45919.420431493054</v>
      </c>
    </row>
    <row r="1186" spans="1:2" x14ac:dyDescent="0.25">
      <c r="A1186" s="38">
        <v>5.3010000000000002</v>
      </c>
      <c r="B1186" s="21">
        <v>45918.548972638891</v>
      </c>
    </row>
    <row r="1187" spans="1:2" x14ac:dyDescent="0.25">
      <c r="A1187" s="38">
        <v>5.2999000000000001</v>
      </c>
      <c r="B1187" s="21">
        <v>45918.548972569442</v>
      </c>
    </row>
    <row r="1188" spans="1:2" x14ac:dyDescent="0.25">
      <c r="A1188" s="38">
        <v>5.3002000000000002</v>
      </c>
      <c r="B1188" s="21">
        <v>45918.506545439814</v>
      </c>
    </row>
    <row r="1189" spans="1:2" x14ac:dyDescent="0.25">
      <c r="A1189" s="38">
        <v>5.3037000000000001</v>
      </c>
      <c r="B1189" s="21">
        <v>45918.462087083331</v>
      </c>
    </row>
    <row r="1190" spans="1:2" x14ac:dyDescent="0.25">
      <c r="A1190" s="38">
        <v>5.3</v>
      </c>
      <c r="B1190" s="21">
        <v>45918.42321064815</v>
      </c>
    </row>
    <row r="1191" spans="1:2" x14ac:dyDescent="0.25">
      <c r="A1191" s="38">
        <v>5.3010999999999999</v>
      </c>
      <c r="B1191" s="21">
        <v>45917.548929652781</v>
      </c>
    </row>
    <row r="1192" spans="1:2" x14ac:dyDescent="0.25">
      <c r="A1192" s="38">
        <v>5.3061999999999996</v>
      </c>
      <c r="B1192" s="21">
        <v>45917.54892951389</v>
      </c>
    </row>
    <row r="1193" spans="1:2" x14ac:dyDescent="0.25">
      <c r="A1193" s="38">
        <v>5.3005000000000004</v>
      </c>
      <c r="B1193" s="21">
        <v>45917.506550196762</v>
      </c>
    </row>
    <row r="1194" spans="1:2" x14ac:dyDescent="0.25">
      <c r="A1194" s="38">
        <v>5.2986000000000004</v>
      </c>
      <c r="B1194" s="21">
        <v>45917.462121331017</v>
      </c>
    </row>
    <row r="1195" spans="1:2" x14ac:dyDescent="0.25">
      <c r="A1195" s="38">
        <v>5.2991999999999999</v>
      </c>
      <c r="B1195" s="21">
        <v>45917.420428622689</v>
      </c>
    </row>
    <row r="1196" spans="1:2" x14ac:dyDescent="0.25">
      <c r="A1196" s="38">
        <v>5.3095999999999997</v>
      </c>
      <c r="B1196" s="21">
        <v>45916.547529930554</v>
      </c>
    </row>
    <row r="1197" spans="1:2" x14ac:dyDescent="0.25">
      <c r="A1197" s="38">
        <v>5.3022999999999998</v>
      </c>
      <c r="B1197" s="21">
        <v>45916.547529837961</v>
      </c>
    </row>
    <row r="1198" spans="1:2" x14ac:dyDescent="0.25">
      <c r="A1198" s="38">
        <v>5.3117000000000001</v>
      </c>
      <c r="B1198" s="21">
        <v>45916.501689039353</v>
      </c>
    </row>
    <row r="1199" spans="1:2" x14ac:dyDescent="0.25">
      <c r="A1199" s="38">
        <v>5.3185000000000002</v>
      </c>
      <c r="B1199" s="21">
        <v>45916.462826539355</v>
      </c>
    </row>
    <row r="1200" spans="1:2" x14ac:dyDescent="0.25">
      <c r="A1200" s="38">
        <v>5.3056999999999999</v>
      </c>
      <c r="B1200" s="21">
        <v>45916.419730775466</v>
      </c>
    </row>
    <row r="1201" spans="1:2" x14ac:dyDescent="0.25">
      <c r="A1201" s="38">
        <v>5.3208000000000002</v>
      </c>
      <c r="B1201" s="21">
        <v>45915.54686422454</v>
      </c>
    </row>
    <row r="1202" spans="1:2" x14ac:dyDescent="0.25">
      <c r="A1202" s="38">
        <v>5.3113999999999999</v>
      </c>
      <c r="B1202" s="21">
        <v>45915.546864108794</v>
      </c>
    </row>
    <row r="1203" spans="1:2" x14ac:dyDescent="0.25">
      <c r="A1203" s="38">
        <v>5.3169000000000004</v>
      </c>
      <c r="B1203" s="21">
        <v>45915.502403726852</v>
      </c>
    </row>
    <row r="1204" spans="1:2" x14ac:dyDescent="0.25">
      <c r="A1204" s="38">
        <v>5.3305999999999996</v>
      </c>
      <c r="B1204" s="21">
        <v>45915.460705509257</v>
      </c>
    </row>
    <row r="1205" spans="1:2" x14ac:dyDescent="0.25">
      <c r="A1205" s="38">
        <v>5.3243999999999998</v>
      </c>
      <c r="B1205" s="21">
        <v>45915.423246458333</v>
      </c>
    </row>
    <row r="1206" spans="1:2" x14ac:dyDescent="0.25">
      <c r="A1206" s="38">
        <v>5.3677000000000001</v>
      </c>
      <c r="B1206" s="21">
        <v>45912.548950821758</v>
      </c>
    </row>
    <row r="1207" spans="1:2" x14ac:dyDescent="0.25">
      <c r="A1207" s="38">
        <v>5.3537999999999997</v>
      </c>
      <c r="B1207" s="21">
        <v>45912.548950752316</v>
      </c>
    </row>
    <row r="1208" spans="1:2" x14ac:dyDescent="0.25">
      <c r="A1208" s="38">
        <v>5.3628</v>
      </c>
      <c r="B1208" s="21">
        <v>45912.502378715275</v>
      </c>
    </row>
    <row r="1209" spans="1:2" x14ac:dyDescent="0.25">
      <c r="A1209" s="38">
        <v>5.3697999999999997</v>
      </c>
      <c r="B1209" s="21">
        <v>45912.464868518517</v>
      </c>
    </row>
    <row r="1210" spans="1:2" x14ac:dyDescent="0.25">
      <c r="A1210" s="38">
        <v>5.3842999999999996</v>
      </c>
      <c r="B1210" s="21">
        <v>45912.424604432868</v>
      </c>
    </row>
    <row r="1211" spans="1:2" x14ac:dyDescent="0.25">
      <c r="A1211" s="38">
        <v>5.3857999999999997</v>
      </c>
      <c r="B1211" s="21">
        <v>45911.546143935186</v>
      </c>
    </row>
    <row r="1212" spans="1:2" x14ac:dyDescent="0.25">
      <c r="A1212" s="38">
        <v>5.3794000000000004</v>
      </c>
      <c r="B1212" s="21">
        <v>45911.546143854168</v>
      </c>
    </row>
    <row r="1213" spans="1:2" x14ac:dyDescent="0.25">
      <c r="A1213" s="38">
        <v>5.3798000000000004</v>
      </c>
      <c r="B1213" s="21">
        <v>45911.506541620372</v>
      </c>
    </row>
    <row r="1214" spans="1:2" x14ac:dyDescent="0.25">
      <c r="A1214" s="38">
        <v>5.3880999999999997</v>
      </c>
      <c r="B1214" s="21">
        <v>45911.460712997687</v>
      </c>
    </row>
    <row r="1215" spans="1:2" x14ac:dyDescent="0.25">
      <c r="A1215" s="38">
        <v>5.3958000000000004</v>
      </c>
      <c r="B1215" s="21">
        <v>45911.420434490741</v>
      </c>
    </row>
    <row r="1216" spans="1:2" x14ac:dyDescent="0.25">
      <c r="A1216" s="38">
        <v>5.4123000000000001</v>
      </c>
      <c r="B1216" s="21">
        <v>45910.546171249996</v>
      </c>
    </row>
    <row r="1217" spans="1:2" x14ac:dyDescent="0.25">
      <c r="A1217" s="38">
        <v>5.4067999999999996</v>
      </c>
      <c r="B1217" s="21">
        <v>45910.546171192131</v>
      </c>
    </row>
    <row r="1218" spans="1:2" x14ac:dyDescent="0.25">
      <c r="A1218" s="38">
        <v>5.3997999999999999</v>
      </c>
      <c r="B1218" s="21">
        <v>45910.507244432869</v>
      </c>
    </row>
    <row r="1219" spans="1:2" x14ac:dyDescent="0.25">
      <c r="A1219" s="38">
        <v>5.4108999999999998</v>
      </c>
      <c r="B1219" s="21">
        <v>45910.462789780089</v>
      </c>
    </row>
    <row r="1220" spans="1:2" x14ac:dyDescent="0.25">
      <c r="A1220" s="38">
        <v>5.4317000000000002</v>
      </c>
      <c r="B1220" s="21">
        <v>45910.422632824077</v>
      </c>
    </row>
    <row r="1221" spans="1:2" x14ac:dyDescent="0.25">
      <c r="A1221" s="38">
        <v>5.4278000000000004</v>
      </c>
      <c r="B1221" s="21">
        <v>45909.546849375001</v>
      </c>
    </row>
    <row r="1222" spans="1:2" x14ac:dyDescent="0.25">
      <c r="A1222" s="38">
        <v>5.4261999999999997</v>
      </c>
      <c r="B1222" s="21">
        <v>45909.546849224535</v>
      </c>
    </row>
    <row r="1223" spans="1:2" x14ac:dyDescent="0.25">
      <c r="A1223" s="38">
        <v>5.4263000000000003</v>
      </c>
      <c r="B1223" s="21">
        <v>45909.50722550926</v>
      </c>
    </row>
    <row r="1224" spans="1:2" x14ac:dyDescent="0.25">
      <c r="A1224" s="38">
        <v>5.4234</v>
      </c>
      <c r="B1224" s="21">
        <v>45909.462106932871</v>
      </c>
    </row>
    <row r="1225" spans="1:2" x14ac:dyDescent="0.25">
      <c r="A1225" s="38">
        <v>5.4352999999999998</v>
      </c>
      <c r="B1225" s="21">
        <v>45909.420436736109</v>
      </c>
    </row>
    <row r="1226" spans="1:2" x14ac:dyDescent="0.25">
      <c r="A1226" s="38">
        <v>5.4278000000000004</v>
      </c>
      <c r="B1226" s="21">
        <v>45908.548386666669</v>
      </c>
    </row>
    <row r="1227" spans="1:2" x14ac:dyDescent="0.25">
      <c r="A1227" s="38">
        <v>5.4284999999999997</v>
      </c>
      <c r="B1227" s="21">
        <v>45908.548386516202</v>
      </c>
    </row>
    <row r="1228" spans="1:2" x14ac:dyDescent="0.25">
      <c r="A1228" s="38">
        <v>5.4352</v>
      </c>
      <c r="B1228" s="21">
        <v>45908.506531122686</v>
      </c>
    </row>
    <row r="1229" spans="1:2" x14ac:dyDescent="0.25">
      <c r="A1229" s="38">
        <v>5.4356</v>
      </c>
      <c r="B1229" s="21">
        <v>45908.462803391201</v>
      </c>
    </row>
    <row r="1230" spans="1:2" x14ac:dyDescent="0.25">
      <c r="A1230" s="38">
        <v>5.4119999999999999</v>
      </c>
      <c r="B1230" s="21">
        <v>45908.421848969905</v>
      </c>
    </row>
    <row r="1231" spans="1:2" x14ac:dyDescent="0.25">
      <c r="A1231" s="38">
        <v>5.3967999999999998</v>
      </c>
      <c r="B1231" s="21">
        <v>45905.544653506942</v>
      </c>
    </row>
    <row r="1232" spans="1:2" x14ac:dyDescent="0.25">
      <c r="A1232" s="38">
        <v>5.3994999999999997</v>
      </c>
      <c r="B1232" s="21">
        <v>45905.544653449077</v>
      </c>
    </row>
    <row r="1233" spans="1:2" x14ac:dyDescent="0.25">
      <c r="A1233" s="38">
        <v>5.4076000000000004</v>
      </c>
      <c r="B1233" s="21">
        <v>45905.503062928241</v>
      </c>
    </row>
    <row r="1234" spans="1:2" x14ac:dyDescent="0.25">
      <c r="A1234" s="38">
        <v>5.3868999999999998</v>
      </c>
      <c r="B1234" s="21">
        <v>45905.460711319443</v>
      </c>
    </row>
    <row r="1235" spans="1:2" x14ac:dyDescent="0.25">
      <c r="A1235" s="38">
        <v>5.3933</v>
      </c>
      <c r="B1235" s="21">
        <v>45905.42184466435</v>
      </c>
    </row>
    <row r="1236" spans="1:2" x14ac:dyDescent="0.25">
      <c r="A1236" s="38">
        <v>5.4587000000000003</v>
      </c>
      <c r="B1236" s="21">
        <v>45904.544121747684</v>
      </c>
    </row>
    <row r="1237" spans="1:2" x14ac:dyDescent="0.25">
      <c r="A1237" s="38">
        <v>5.4638</v>
      </c>
      <c r="B1237" s="21">
        <v>45904.54412165509</v>
      </c>
    </row>
    <row r="1238" spans="1:2" x14ac:dyDescent="0.25">
      <c r="A1238" s="38">
        <v>5.4592999999999998</v>
      </c>
      <c r="B1238" s="21">
        <v>45904.505425648145</v>
      </c>
    </row>
    <row r="1239" spans="1:2" x14ac:dyDescent="0.25">
      <c r="A1239" s="38">
        <v>5.4562999999999997</v>
      </c>
      <c r="B1239" s="21">
        <v>45904.462802037036</v>
      </c>
    </row>
    <row r="1240" spans="1:2" x14ac:dyDescent="0.25">
      <c r="A1240" s="38">
        <v>5.4554</v>
      </c>
      <c r="B1240" s="21">
        <v>45904.41836822917</v>
      </c>
    </row>
    <row r="1241" spans="1:2" x14ac:dyDescent="0.25">
      <c r="A1241" s="38">
        <v>5.4485000000000001</v>
      </c>
      <c r="B1241" s="21">
        <v>45903.545868298614</v>
      </c>
    </row>
    <row r="1242" spans="1:2" x14ac:dyDescent="0.25">
      <c r="A1242" s="38">
        <v>5.4603000000000002</v>
      </c>
      <c r="B1242" s="21">
        <v>45903.54586820602</v>
      </c>
    </row>
    <row r="1243" spans="1:2" x14ac:dyDescent="0.25">
      <c r="A1243" s="38">
        <v>5.4417999999999997</v>
      </c>
      <c r="B1243" s="21">
        <v>45903.501690775462</v>
      </c>
    </row>
    <row r="1244" spans="1:2" x14ac:dyDescent="0.25">
      <c r="A1244" s="38">
        <v>5.4386000000000001</v>
      </c>
      <c r="B1244" s="21">
        <v>45903.463501782404</v>
      </c>
    </row>
    <row r="1245" spans="1:2" x14ac:dyDescent="0.25">
      <c r="A1245" s="38">
        <v>5.4531000000000001</v>
      </c>
      <c r="B1245" s="21">
        <v>45903.419770717592</v>
      </c>
    </row>
    <row r="1246" spans="1:2" x14ac:dyDescent="0.25">
      <c r="A1246" s="38">
        <v>5.468</v>
      </c>
      <c r="B1246" s="21">
        <v>45902.547085509257</v>
      </c>
    </row>
    <row r="1247" spans="1:2" x14ac:dyDescent="0.25">
      <c r="A1247" s="38">
        <v>5.4640000000000004</v>
      </c>
      <c r="B1247" s="21">
        <v>45902.547085439815</v>
      </c>
    </row>
    <row r="1248" spans="1:2" x14ac:dyDescent="0.25">
      <c r="A1248" s="38">
        <v>5.4565000000000001</v>
      </c>
      <c r="B1248" s="21">
        <v>45902.507919629628</v>
      </c>
    </row>
    <row r="1249" spans="1:2" x14ac:dyDescent="0.25">
      <c r="A1249" s="38">
        <v>5.4604999999999997</v>
      </c>
      <c r="B1249" s="21">
        <v>45902.461581215277</v>
      </c>
    </row>
    <row r="1250" spans="1:2" x14ac:dyDescent="0.25">
      <c r="A1250" s="38">
        <v>5.4908999999999999</v>
      </c>
      <c r="B1250" s="21">
        <v>45902.424602708335</v>
      </c>
    </row>
    <row r="1251" spans="1:2" x14ac:dyDescent="0.25">
      <c r="A1251" s="38">
        <v>5.4378000000000002</v>
      </c>
      <c r="B1251" s="21">
        <v>45901.546233321758</v>
      </c>
    </row>
    <row r="1252" spans="1:2" x14ac:dyDescent="0.25">
      <c r="A1252" s="38">
        <v>5.4481999999999999</v>
      </c>
      <c r="B1252" s="21">
        <v>45901.546233194444</v>
      </c>
    </row>
    <row r="1253" spans="1:2" x14ac:dyDescent="0.25">
      <c r="A1253" s="38">
        <v>5.4497999999999998</v>
      </c>
      <c r="B1253" s="21">
        <v>45901.505841851853</v>
      </c>
    </row>
    <row r="1254" spans="1:2" x14ac:dyDescent="0.25">
      <c r="A1254" s="38">
        <v>5.4290000000000003</v>
      </c>
      <c r="B1254" s="21">
        <v>45901.466267199074</v>
      </c>
    </row>
    <row r="1255" spans="1:2" x14ac:dyDescent="0.25">
      <c r="A1255" s="38">
        <v>5.4241000000000001</v>
      </c>
      <c r="B1255" s="21">
        <v>45901.41977241898</v>
      </c>
    </row>
    <row r="1256" spans="1:2" x14ac:dyDescent="0.25">
      <c r="A1256" s="38">
        <v>5.4264000000000001</v>
      </c>
      <c r="B1256" s="21">
        <v>45898.548856076392</v>
      </c>
    </row>
    <row r="1257" spans="1:2" x14ac:dyDescent="0.25">
      <c r="A1257" s="38">
        <v>5.4314</v>
      </c>
      <c r="B1257" s="21">
        <v>45898.548856006943</v>
      </c>
    </row>
    <row r="1258" spans="1:2" x14ac:dyDescent="0.25">
      <c r="A1258" s="38">
        <v>5.4295999999999998</v>
      </c>
      <c r="B1258" s="21">
        <v>45898.503089027778</v>
      </c>
    </row>
    <row r="1259" spans="1:2" x14ac:dyDescent="0.25">
      <c r="A1259" s="38">
        <v>5.4241000000000001</v>
      </c>
      <c r="B1259" s="21">
        <v>45898.466276122686</v>
      </c>
    </row>
    <row r="1260" spans="1:2" x14ac:dyDescent="0.25">
      <c r="A1260" s="38">
        <v>5.4206000000000003</v>
      </c>
      <c r="B1260" s="21">
        <v>45898.421146932873</v>
      </c>
    </row>
    <row r="1261" spans="1:2" x14ac:dyDescent="0.25">
      <c r="A1261" s="38">
        <v>5.4115000000000002</v>
      </c>
      <c r="B1261" s="21">
        <v>45897.550912870371</v>
      </c>
    </row>
    <row r="1262" spans="1:2" x14ac:dyDescent="0.25">
      <c r="A1262" s="38">
        <v>5.4097</v>
      </c>
      <c r="B1262" s="21">
        <v>45897.550912824074</v>
      </c>
    </row>
    <row r="1263" spans="1:2" x14ac:dyDescent="0.25">
      <c r="A1263" s="38">
        <v>5.4089</v>
      </c>
      <c r="B1263" s="21">
        <v>45897.506612962963</v>
      </c>
    </row>
    <row r="1264" spans="1:2" x14ac:dyDescent="0.25">
      <c r="A1264" s="38">
        <v>5.4146000000000001</v>
      </c>
      <c r="B1264" s="21">
        <v>45897.469332708337</v>
      </c>
    </row>
    <row r="1265" spans="1:2" x14ac:dyDescent="0.25">
      <c r="A1265" s="38">
        <v>5.4128999999999996</v>
      </c>
      <c r="B1265" s="21">
        <v>45897.422187986114</v>
      </c>
    </row>
    <row r="1266" spans="1:2" x14ac:dyDescent="0.25">
      <c r="A1266" s="38">
        <v>5.4428000000000001</v>
      </c>
      <c r="B1266" s="21">
        <v>45896.550942233793</v>
      </c>
    </row>
    <row r="1267" spans="1:2" x14ac:dyDescent="0.25">
      <c r="A1267" s="38">
        <v>5.4329999999999998</v>
      </c>
      <c r="B1267" s="21">
        <v>45896.55094212963</v>
      </c>
    </row>
    <row r="1268" spans="1:2" x14ac:dyDescent="0.25">
      <c r="A1268" s="38">
        <v>5.4457000000000004</v>
      </c>
      <c r="B1268" s="21">
        <v>45896.501690949073</v>
      </c>
    </row>
    <row r="1269" spans="1:2" x14ac:dyDescent="0.25">
      <c r="A1269" s="38">
        <v>5.4490999999999996</v>
      </c>
      <c r="B1269" s="21">
        <v>45896.465579074073</v>
      </c>
    </row>
    <row r="1270" spans="1:2" x14ac:dyDescent="0.25">
      <c r="A1270" s="38">
        <v>5.4433999999999996</v>
      </c>
      <c r="B1270" s="21">
        <v>45896.421151319446</v>
      </c>
    </row>
    <row r="1271" spans="1:2" x14ac:dyDescent="0.25">
      <c r="A1271" s="38">
        <v>5.4218000000000002</v>
      </c>
      <c r="B1271" s="21">
        <v>45895.546369837961</v>
      </c>
    </row>
    <row r="1272" spans="1:2" x14ac:dyDescent="0.25">
      <c r="A1272" s="38">
        <v>5.4375</v>
      </c>
      <c r="B1272" s="21">
        <v>45895.546369756943</v>
      </c>
    </row>
    <row r="1273" spans="1:2" x14ac:dyDescent="0.25">
      <c r="A1273" s="38">
        <v>5.4295999999999998</v>
      </c>
      <c r="B1273" s="21">
        <v>45895.502389479167</v>
      </c>
    </row>
    <row r="1274" spans="1:2" x14ac:dyDescent="0.25">
      <c r="A1274" s="38">
        <v>5.4131</v>
      </c>
      <c r="B1274" s="21">
        <v>45895.463504918982</v>
      </c>
    </row>
    <row r="1275" spans="1:2" x14ac:dyDescent="0.25">
      <c r="A1275" s="38">
        <v>5.4067999999999996</v>
      </c>
      <c r="B1275" s="21">
        <v>45895.418374733796</v>
      </c>
    </row>
    <row r="1276" spans="1:2" x14ac:dyDescent="0.25">
      <c r="A1276" s="38">
        <v>5.4173999999999998</v>
      </c>
      <c r="B1276" s="21">
        <v>45894.546415671299</v>
      </c>
    </row>
    <row r="1277" spans="1:2" x14ac:dyDescent="0.25">
      <c r="A1277" s="38">
        <v>5.4093999999999998</v>
      </c>
      <c r="B1277" s="21">
        <v>45894.546415497687</v>
      </c>
    </row>
    <row r="1278" spans="1:2" x14ac:dyDescent="0.25">
      <c r="A1278" s="38">
        <v>5.4077999999999999</v>
      </c>
      <c r="B1278" s="21">
        <v>45894.507946111109</v>
      </c>
    </row>
    <row r="1279" spans="1:2" x14ac:dyDescent="0.25">
      <c r="A1279" s="38">
        <v>5.4252000000000002</v>
      </c>
      <c r="B1279" s="21">
        <v>45894.460038229168</v>
      </c>
    </row>
    <row r="1280" spans="1:2" x14ac:dyDescent="0.25">
      <c r="A1280" s="38">
        <v>5.4272</v>
      </c>
      <c r="B1280" s="21">
        <v>45894.422555034726</v>
      </c>
    </row>
    <row r="1281" spans="1:2" x14ac:dyDescent="0.25">
      <c r="A1281" s="38">
        <v>5.4391999999999996</v>
      </c>
      <c r="B1281" s="21">
        <v>45891.546046076386</v>
      </c>
    </row>
    <row r="1282" spans="1:2" x14ac:dyDescent="0.25">
      <c r="A1282" s="38">
        <v>5.4241999999999999</v>
      </c>
      <c r="B1282" s="21">
        <v>45891.546046006944</v>
      </c>
    </row>
    <row r="1283" spans="1:2" x14ac:dyDescent="0.25">
      <c r="A1283" s="38">
        <v>5.4173999999999998</v>
      </c>
      <c r="B1283" s="21">
        <v>45891.506415451389</v>
      </c>
    </row>
    <row r="1284" spans="1:2" x14ac:dyDescent="0.25">
      <c r="A1284" s="38">
        <v>5.4462999999999999</v>
      </c>
      <c r="B1284" s="21">
        <v>45891.465589004627</v>
      </c>
    </row>
    <row r="1285" spans="1:2" x14ac:dyDescent="0.25">
      <c r="A1285" s="38">
        <v>5.4690000000000003</v>
      </c>
      <c r="B1285" s="21">
        <v>45891.418374942128</v>
      </c>
    </row>
    <row r="1286" spans="1:2" x14ac:dyDescent="0.25">
      <c r="A1286" s="38">
        <v>5.4828000000000001</v>
      </c>
      <c r="B1286" s="21">
        <v>45890.549185902775</v>
      </c>
    </row>
    <row r="1287" spans="1:2" x14ac:dyDescent="0.25">
      <c r="A1287" s="38">
        <v>5.492</v>
      </c>
      <c r="B1287" s="21">
        <v>45890.549185775461</v>
      </c>
    </row>
    <row r="1288" spans="1:2" x14ac:dyDescent="0.25">
      <c r="A1288" s="38">
        <v>5.4843999999999999</v>
      </c>
      <c r="B1288" s="21">
        <v>45890.503086331017</v>
      </c>
    </row>
    <row r="1289" spans="1:2" x14ac:dyDescent="0.25">
      <c r="A1289" s="38">
        <v>5.4757999999999996</v>
      </c>
      <c r="B1289" s="21">
        <v>45890.462804085648</v>
      </c>
    </row>
    <row r="1290" spans="1:2" x14ac:dyDescent="0.25">
      <c r="A1290" s="38">
        <v>5.4789000000000003</v>
      </c>
      <c r="B1290" s="21">
        <v>45890.42322261574</v>
      </c>
    </row>
    <row r="1291" spans="1:2" x14ac:dyDescent="0.25">
      <c r="A1291" s="38">
        <v>5.4725999999999999</v>
      </c>
      <c r="B1291" s="21">
        <v>45889.550302442127</v>
      </c>
    </row>
    <row r="1292" spans="1:2" x14ac:dyDescent="0.25">
      <c r="A1292" s="38">
        <v>5.4718</v>
      </c>
      <c r="B1292" s="21">
        <v>45889.550302337964</v>
      </c>
    </row>
    <row r="1293" spans="1:2" x14ac:dyDescent="0.25">
      <c r="A1293" s="38">
        <v>5.4713000000000003</v>
      </c>
      <c r="B1293" s="21">
        <v>45889.504476331022</v>
      </c>
    </row>
    <row r="1294" spans="1:2" x14ac:dyDescent="0.25">
      <c r="A1294" s="38">
        <v>5.4752999999999998</v>
      </c>
      <c r="B1294" s="21">
        <v>45889.460035925928</v>
      </c>
    </row>
    <row r="1295" spans="1:2" x14ac:dyDescent="0.25">
      <c r="A1295" s="38">
        <v>5.4721000000000002</v>
      </c>
      <c r="B1295" s="21">
        <v>45889.422541817126</v>
      </c>
    </row>
    <row r="1296" spans="1:2" x14ac:dyDescent="0.25">
      <c r="A1296" s="38">
        <v>5.4715999999999996</v>
      </c>
      <c r="B1296" s="21">
        <v>45888.544925347225</v>
      </c>
    </row>
    <row r="1297" spans="1:2" x14ac:dyDescent="0.25">
      <c r="A1297" s="38">
        <v>5.4775999999999998</v>
      </c>
      <c r="B1297" s="21">
        <v>45888.5449252662</v>
      </c>
    </row>
    <row r="1298" spans="1:2" x14ac:dyDescent="0.25">
      <c r="A1298" s="38">
        <v>5.4813999999999998</v>
      </c>
      <c r="B1298" s="21">
        <v>45888.503091145831</v>
      </c>
    </row>
    <row r="1299" spans="1:2" x14ac:dyDescent="0.25">
      <c r="A1299" s="38">
        <v>5.4649000000000001</v>
      </c>
      <c r="B1299" s="21">
        <v>45888.466279872686</v>
      </c>
    </row>
    <row r="1300" spans="1:2" x14ac:dyDescent="0.25">
      <c r="A1300" s="38">
        <v>5.4626000000000001</v>
      </c>
      <c r="B1300" s="21">
        <v>45888.421141296298</v>
      </c>
    </row>
    <row r="1301" spans="1:2" x14ac:dyDescent="0.25">
      <c r="A1301" s="38">
        <v>5.4154999999999998</v>
      </c>
      <c r="B1301" s="21">
        <v>45887.549438136572</v>
      </c>
    </row>
    <row r="1302" spans="1:2" x14ac:dyDescent="0.25">
      <c r="A1302" s="38">
        <v>5.4226999999999999</v>
      </c>
      <c r="B1302" s="21">
        <v>45887.549437881942</v>
      </c>
    </row>
    <row r="1303" spans="1:2" x14ac:dyDescent="0.25">
      <c r="A1303" s="38">
        <v>5.4164000000000003</v>
      </c>
      <c r="B1303" s="21">
        <v>45887.505894895832</v>
      </c>
    </row>
    <row r="1304" spans="1:2" x14ac:dyDescent="0.25">
      <c r="A1304" s="38">
        <v>5.4100999999999999</v>
      </c>
      <c r="B1304" s="21">
        <v>45887.460062071761</v>
      </c>
    </row>
    <row r="1305" spans="1:2" x14ac:dyDescent="0.25">
      <c r="A1305" s="38">
        <v>5.4127000000000001</v>
      </c>
      <c r="B1305" s="21">
        <v>45887.422545810186</v>
      </c>
    </row>
    <row r="1306" spans="1:2" x14ac:dyDescent="0.25">
      <c r="A1306" s="38">
        <v>5.3928000000000003</v>
      </c>
      <c r="B1306" s="21">
        <v>45884.543738692133</v>
      </c>
    </row>
    <row r="1307" spans="1:2" x14ac:dyDescent="0.25">
      <c r="A1307" s="38">
        <v>5.3970000000000002</v>
      </c>
      <c r="B1307" s="21">
        <v>45884.543738622684</v>
      </c>
    </row>
    <row r="1308" spans="1:2" x14ac:dyDescent="0.25">
      <c r="A1308" s="38">
        <v>5.3936999999999999</v>
      </c>
      <c r="B1308" s="21">
        <v>45884.501718310188</v>
      </c>
    </row>
    <row r="1309" spans="1:2" x14ac:dyDescent="0.25">
      <c r="A1309" s="38">
        <v>5.3939000000000004</v>
      </c>
      <c r="B1309" s="21">
        <v>45884.463497442128</v>
      </c>
    </row>
    <row r="1310" spans="1:2" x14ac:dyDescent="0.25">
      <c r="A1310" s="38">
        <v>5.3864999999999998</v>
      </c>
      <c r="B1310" s="21">
        <v>45884.42461209491</v>
      </c>
    </row>
    <row r="1311" spans="1:2" x14ac:dyDescent="0.25">
      <c r="A1311" s="38">
        <v>5.4095000000000004</v>
      </c>
      <c r="B1311" s="21">
        <v>45883.547532106481</v>
      </c>
    </row>
    <row r="1312" spans="1:2" x14ac:dyDescent="0.25">
      <c r="A1312" s="38">
        <v>5.4071999999999996</v>
      </c>
      <c r="B1312" s="21">
        <v>45883.547532037039</v>
      </c>
    </row>
    <row r="1313" spans="1:2" x14ac:dyDescent="0.25">
      <c r="A1313" s="38">
        <v>5.4020999999999999</v>
      </c>
      <c r="B1313" s="21">
        <v>45883.50655337963</v>
      </c>
    </row>
    <row r="1314" spans="1:2" x14ac:dyDescent="0.25">
      <c r="A1314" s="38">
        <v>5.4206000000000003</v>
      </c>
      <c r="B1314" s="21">
        <v>45883.464888055554</v>
      </c>
    </row>
    <row r="1315" spans="1:2" x14ac:dyDescent="0.25">
      <c r="A1315" s="38">
        <v>5.4081999999999999</v>
      </c>
      <c r="B1315" s="21">
        <v>45883.422532638891</v>
      </c>
    </row>
    <row r="1316" spans="1:2" x14ac:dyDescent="0.25">
      <c r="A1316" s="38">
        <v>5.3928000000000003</v>
      </c>
      <c r="B1316" s="21">
        <v>45882.550338981484</v>
      </c>
    </row>
    <row r="1317" spans="1:2" x14ac:dyDescent="0.25">
      <c r="A1317" s="38">
        <v>5.4005000000000001</v>
      </c>
      <c r="B1317" s="21">
        <v>45882.550338912035</v>
      </c>
    </row>
    <row r="1318" spans="1:2" x14ac:dyDescent="0.25">
      <c r="A1318" s="38">
        <v>5.3928000000000003</v>
      </c>
      <c r="B1318" s="21">
        <v>45882.504958101854</v>
      </c>
    </row>
    <row r="1319" spans="1:2" x14ac:dyDescent="0.25">
      <c r="A1319" s="38">
        <v>5.3933999999999997</v>
      </c>
      <c r="B1319" s="21">
        <v>45882.4648915625</v>
      </c>
    </row>
    <row r="1320" spans="1:2" x14ac:dyDescent="0.25">
      <c r="A1320" s="38">
        <v>5.3845000000000001</v>
      </c>
      <c r="B1320" s="21">
        <v>45882.421144583335</v>
      </c>
    </row>
    <row r="1321" spans="1:2" x14ac:dyDescent="0.25">
      <c r="A1321" s="38">
        <v>5.4051999999999998</v>
      </c>
      <c r="B1321" s="21">
        <v>45881.548934907405</v>
      </c>
    </row>
    <row r="1322" spans="1:2" x14ac:dyDescent="0.25">
      <c r="A1322" s="38">
        <v>5.3944999999999999</v>
      </c>
      <c r="B1322" s="21">
        <v>45881.548934768522</v>
      </c>
    </row>
    <row r="1323" spans="1:2" x14ac:dyDescent="0.25">
      <c r="A1323" s="38">
        <v>5.4062000000000001</v>
      </c>
      <c r="B1323" s="21">
        <v>45881.507241238425</v>
      </c>
    </row>
    <row r="1324" spans="1:2" x14ac:dyDescent="0.25">
      <c r="A1324" s="38">
        <v>5.4132999999999996</v>
      </c>
      <c r="B1324" s="21">
        <v>45881.466292731478</v>
      </c>
    </row>
    <row r="1325" spans="1:2" x14ac:dyDescent="0.25">
      <c r="A1325" s="38">
        <v>5.4069000000000003</v>
      </c>
      <c r="B1325" s="21">
        <v>45881.422524189817</v>
      </c>
    </row>
    <row r="1326" spans="1:2" x14ac:dyDescent="0.25">
      <c r="A1326" s="38">
        <v>5.4473000000000003</v>
      </c>
      <c r="B1326" s="21">
        <v>45880.547929201392</v>
      </c>
    </row>
    <row r="1327" spans="1:2" x14ac:dyDescent="0.25">
      <c r="A1327" s="38">
        <v>5.4398999999999997</v>
      </c>
      <c r="B1327" s="21">
        <v>45880.547929085646</v>
      </c>
    </row>
    <row r="1328" spans="1:2" x14ac:dyDescent="0.25">
      <c r="A1328" s="38">
        <v>5.4503000000000004</v>
      </c>
      <c r="B1328" s="21">
        <v>45880.502393877316</v>
      </c>
    </row>
    <row r="1329" spans="1:2" x14ac:dyDescent="0.25">
      <c r="A1329" s="38">
        <v>5.4486999999999997</v>
      </c>
      <c r="B1329" s="21">
        <v>45880.464194074077</v>
      </c>
    </row>
    <row r="1330" spans="1:2" x14ac:dyDescent="0.25">
      <c r="A1330" s="38">
        <v>5.4500999999999999</v>
      </c>
      <c r="B1330" s="21">
        <v>45880.419080949076</v>
      </c>
    </row>
    <row r="1331" spans="1:2" x14ac:dyDescent="0.25">
      <c r="A1331" s="38">
        <v>5.4253999999999998</v>
      </c>
      <c r="B1331" s="21">
        <v>45877.549145127312</v>
      </c>
    </row>
    <row r="1332" spans="1:2" x14ac:dyDescent="0.25">
      <c r="A1332" s="38">
        <v>5.4212999999999996</v>
      </c>
      <c r="B1332" s="21">
        <v>45877.54914505787</v>
      </c>
    </row>
    <row r="1333" spans="1:2" x14ac:dyDescent="0.25">
      <c r="A1333" s="38">
        <v>5.4203000000000001</v>
      </c>
      <c r="B1333" s="21">
        <v>45877.505912337961</v>
      </c>
    </row>
    <row r="1334" spans="1:2" x14ac:dyDescent="0.25">
      <c r="A1334" s="38">
        <v>5.4294000000000002</v>
      </c>
      <c r="B1334" s="21">
        <v>45877.462839525462</v>
      </c>
    </row>
    <row r="1335" spans="1:2" x14ac:dyDescent="0.25">
      <c r="A1335" s="38">
        <v>5.4306000000000001</v>
      </c>
      <c r="B1335" s="21">
        <v>45877.419886157404</v>
      </c>
    </row>
    <row r="1336" spans="1:2" x14ac:dyDescent="0.25">
      <c r="A1336" s="38">
        <v>5.4638</v>
      </c>
      <c r="B1336" s="21">
        <v>45876.548937106483</v>
      </c>
    </row>
    <row r="1337" spans="1:2" x14ac:dyDescent="0.25">
      <c r="A1337" s="38">
        <v>5.4558</v>
      </c>
      <c r="B1337" s="21">
        <v>45876.548937037034</v>
      </c>
    </row>
    <row r="1338" spans="1:2" x14ac:dyDescent="0.25">
      <c r="A1338" s="38">
        <v>5.4713000000000003</v>
      </c>
      <c r="B1338" s="21">
        <v>45876.502433692127</v>
      </c>
    </row>
    <row r="1339" spans="1:2" x14ac:dyDescent="0.25">
      <c r="A1339" s="38">
        <v>5.4652000000000003</v>
      </c>
      <c r="B1339" s="21">
        <v>45876.464920335646</v>
      </c>
    </row>
    <row r="1340" spans="1:2" x14ac:dyDescent="0.25">
      <c r="A1340" s="38">
        <v>5.4630000000000001</v>
      </c>
      <c r="B1340" s="21">
        <v>45876.419783611113</v>
      </c>
    </row>
    <row r="1341" spans="1:2" x14ac:dyDescent="0.25">
      <c r="A1341" s="38">
        <v>5.4802</v>
      </c>
      <c r="B1341" s="21">
        <v>45875.546285648146</v>
      </c>
    </row>
    <row r="1342" spans="1:2" x14ac:dyDescent="0.25">
      <c r="A1342" s="38">
        <v>5.4791999999999996</v>
      </c>
      <c r="B1342" s="21">
        <v>45875.546285555552</v>
      </c>
    </row>
    <row r="1343" spans="1:2" x14ac:dyDescent="0.25">
      <c r="A1343" s="38">
        <v>5.4791999999999996</v>
      </c>
      <c r="B1343" s="21">
        <v>45875.505902199075</v>
      </c>
    </row>
    <row r="1344" spans="1:2" x14ac:dyDescent="0.25">
      <c r="A1344" s="38">
        <v>5.4721000000000002</v>
      </c>
      <c r="B1344" s="21">
        <v>45875.46353390046</v>
      </c>
    </row>
    <row r="1345" spans="1:2" x14ac:dyDescent="0.25">
      <c r="A1345" s="38">
        <v>5.4901</v>
      </c>
      <c r="B1345" s="21">
        <v>45875.422583437503</v>
      </c>
    </row>
    <row r="1346" spans="1:2" x14ac:dyDescent="0.25">
      <c r="A1346" s="38">
        <v>5.5118999999999998</v>
      </c>
      <c r="B1346" s="21">
        <v>45874.545122546297</v>
      </c>
    </row>
    <row r="1347" spans="1:2" x14ac:dyDescent="0.25">
      <c r="A1347" s="38">
        <v>5.5065999999999997</v>
      </c>
      <c r="B1347" s="21">
        <v>45874.545122465279</v>
      </c>
    </row>
    <row r="1348" spans="1:2" x14ac:dyDescent="0.25">
      <c r="A1348" s="38">
        <v>5.5129999999999999</v>
      </c>
      <c r="B1348" s="21">
        <v>45874.501743865738</v>
      </c>
    </row>
    <row r="1349" spans="1:2" x14ac:dyDescent="0.25">
      <c r="A1349" s="38">
        <v>5.5087000000000002</v>
      </c>
      <c r="B1349" s="21">
        <v>45874.462154386572</v>
      </c>
    </row>
    <row r="1350" spans="1:2" x14ac:dyDescent="0.25">
      <c r="A1350" s="38">
        <v>5.5191999999999997</v>
      </c>
      <c r="B1350" s="21">
        <v>45874.419128263886</v>
      </c>
    </row>
    <row r="1351" spans="1:2" x14ac:dyDescent="0.25">
      <c r="A1351" s="38">
        <v>5.5113000000000003</v>
      </c>
      <c r="B1351" s="21">
        <v>45873.547617175929</v>
      </c>
    </row>
    <row r="1352" spans="1:2" x14ac:dyDescent="0.25">
      <c r="A1352" s="38">
        <v>5.5185000000000004</v>
      </c>
      <c r="B1352" s="21">
        <v>45873.547617060183</v>
      </c>
    </row>
    <row r="1353" spans="1:2" x14ac:dyDescent="0.25">
      <c r="A1353" s="38">
        <v>5.5094000000000003</v>
      </c>
      <c r="B1353" s="21">
        <v>45873.508012881946</v>
      </c>
    </row>
    <row r="1354" spans="1:2" x14ac:dyDescent="0.25">
      <c r="A1354" s="38">
        <v>5.4987000000000004</v>
      </c>
      <c r="B1354" s="21">
        <v>45873.460768842589</v>
      </c>
    </row>
    <row r="1355" spans="1:2" x14ac:dyDescent="0.25">
      <c r="A1355" s="38">
        <v>5.5186999999999999</v>
      </c>
      <c r="B1355" s="21">
        <v>45873.422585659719</v>
      </c>
    </row>
    <row r="1356" spans="1:2" x14ac:dyDescent="0.25">
      <c r="A1356" s="38">
        <v>5.5435999999999996</v>
      </c>
      <c r="B1356" s="21">
        <v>45870.543794571757</v>
      </c>
    </row>
    <row r="1357" spans="1:2" x14ac:dyDescent="0.25">
      <c r="A1357" s="38">
        <v>5.5430999999999999</v>
      </c>
      <c r="B1357" s="21">
        <v>45870.543794224533</v>
      </c>
    </row>
    <row r="1358" spans="1:2" x14ac:dyDescent="0.25">
      <c r="A1358" s="38">
        <v>5.5480999999999998</v>
      </c>
      <c r="B1358" s="21">
        <v>45870.502440891207</v>
      </c>
    </row>
    <row r="1359" spans="1:2" x14ac:dyDescent="0.25">
      <c r="A1359" s="38">
        <v>5.5461</v>
      </c>
      <c r="B1359" s="21">
        <v>45870.464919502316</v>
      </c>
    </row>
    <row r="1360" spans="1:2" x14ac:dyDescent="0.25">
      <c r="A1360" s="38">
        <v>5.5369999999999999</v>
      </c>
      <c r="B1360" s="21">
        <v>45870.421882199073</v>
      </c>
    </row>
    <row r="1361" spans="1:2" x14ac:dyDescent="0.25">
      <c r="A1361" s="38">
        <v>5.6021000000000001</v>
      </c>
      <c r="B1361" s="21">
        <v>45869.543441944443</v>
      </c>
    </row>
    <row r="1362" spans="1:2" x14ac:dyDescent="0.25">
      <c r="A1362" s="38">
        <v>5.5854999999999997</v>
      </c>
      <c r="B1362" s="21">
        <v>45869.543441875001</v>
      </c>
    </row>
    <row r="1363" spans="1:2" x14ac:dyDescent="0.25">
      <c r="A1363" s="38">
        <v>5.5934999999999997</v>
      </c>
      <c r="B1363" s="21">
        <v>45869.506576296299</v>
      </c>
    </row>
    <row r="1364" spans="1:2" x14ac:dyDescent="0.25">
      <c r="A1364" s="38">
        <v>5.6144999999999996</v>
      </c>
      <c r="B1364" s="21">
        <v>45869.465629745369</v>
      </c>
    </row>
    <row r="1365" spans="1:2" x14ac:dyDescent="0.25">
      <c r="A1365" s="38">
        <v>5.6147</v>
      </c>
      <c r="B1365" s="21">
        <v>45869.424650335648</v>
      </c>
    </row>
    <row r="1366" spans="1:2" x14ac:dyDescent="0.25">
      <c r="A1366" s="38">
        <v>5.6033999999999997</v>
      </c>
      <c r="B1366" s="21">
        <v>45868.551518333334</v>
      </c>
    </row>
    <row r="1367" spans="1:2" x14ac:dyDescent="0.25">
      <c r="A1367" s="38">
        <v>5.6254999999999997</v>
      </c>
      <c r="B1367" s="21">
        <v>45868.551518275461</v>
      </c>
    </row>
    <row r="1368" spans="1:2" x14ac:dyDescent="0.25">
      <c r="A1368" s="38">
        <v>5.6039000000000003</v>
      </c>
      <c r="B1368" s="21">
        <v>45868.506065173613</v>
      </c>
    </row>
    <row r="1369" spans="1:2" x14ac:dyDescent="0.25">
      <c r="A1369" s="38">
        <v>5.5955000000000004</v>
      </c>
      <c r="B1369" s="21">
        <v>45868.466797962959</v>
      </c>
    </row>
    <row r="1370" spans="1:2" x14ac:dyDescent="0.25">
      <c r="A1370" s="38">
        <v>5.5885999999999996</v>
      </c>
      <c r="B1370" s="21">
        <v>45868.419795844908</v>
      </c>
    </row>
    <row r="1371" spans="1:2" x14ac:dyDescent="0.25">
      <c r="A1371" s="38">
        <v>5.5763999999999996</v>
      </c>
      <c r="B1371" s="21">
        <v>45867.552718865743</v>
      </c>
    </row>
    <row r="1372" spans="1:2" x14ac:dyDescent="0.25">
      <c r="A1372" s="38">
        <v>5.5622999999999996</v>
      </c>
      <c r="B1372" s="21">
        <v>45867.552718749997</v>
      </c>
    </row>
    <row r="1373" spans="1:2" x14ac:dyDescent="0.25">
      <c r="A1373" s="38">
        <v>5.5791000000000004</v>
      </c>
      <c r="B1373" s="21">
        <v>45867.507290879628</v>
      </c>
    </row>
    <row r="1374" spans="1:2" x14ac:dyDescent="0.25">
      <c r="A1374" s="38">
        <v>5.5759999999999996</v>
      </c>
      <c r="B1374" s="21">
        <v>45867.466308194445</v>
      </c>
    </row>
    <row r="1375" spans="1:2" x14ac:dyDescent="0.25">
      <c r="A1375" s="38">
        <v>5.5880999999999998</v>
      </c>
      <c r="B1375" s="21">
        <v>45867.419795624999</v>
      </c>
    </row>
    <row r="1376" spans="1:2" x14ac:dyDescent="0.25">
      <c r="A1376" s="38">
        <v>5.5876999999999999</v>
      </c>
      <c r="B1376" s="21">
        <v>45866.546981238425</v>
      </c>
    </row>
    <row r="1377" spans="1:2" x14ac:dyDescent="0.25">
      <c r="A1377" s="38">
        <v>5.5915999999999997</v>
      </c>
      <c r="B1377" s="21">
        <v>45866.546981111111</v>
      </c>
    </row>
    <row r="1378" spans="1:2" x14ac:dyDescent="0.25">
      <c r="A1378" s="38">
        <v>5.5848000000000004</v>
      </c>
      <c r="B1378" s="21">
        <v>45866.504515000001</v>
      </c>
    </row>
    <row r="1379" spans="1:2" x14ac:dyDescent="0.25">
      <c r="A1379" s="38">
        <v>5.5983000000000001</v>
      </c>
      <c r="B1379" s="21">
        <v>45866.462860462962</v>
      </c>
    </row>
    <row r="1380" spans="1:2" x14ac:dyDescent="0.25">
      <c r="A1380" s="38">
        <v>5.5759999999999996</v>
      </c>
      <c r="B1380" s="21">
        <v>45866.423947708332</v>
      </c>
    </row>
    <row r="1381" spans="1:2" x14ac:dyDescent="0.25">
      <c r="A1381" s="38">
        <v>5.5426000000000002</v>
      </c>
      <c r="B1381" s="21">
        <v>45863.546338310189</v>
      </c>
    </row>
    <row r="1382" spans="1:2" x14ac:dyDescent="0.25">
      <c r="A1382" s="38">
        <v>5.5650000000000004</v>
      </c>
      <c r="B1382" s="21">
        <v>45863.54633824074</v>
      </c>
    </row>
    <row r="1383" spans="1:2" x14ac:dyDescent="0.25">
      <c r="A1383" s="38">
        <v>5.5423</v>
      </c>
      <c r="B1383" s="21">
        <v>45863.505867499996</v>
      </c>
    </row>
    <row r="1384" spans="1:2" x14ac:dyDescent="0.25">
      <c r="A1384" s="38">
        <v>5.5335999999999999</v>
      </c>
      <c r="B1384" s="21">
        <v>45863.460729872684</v>
      </c>
    </row>
    <row r="1385" spans="1:2" x14ac:dyDescent="0.25">
      <c r="A1385" s="38">
        <v>5.5293999999999999</v>
      </c>
      <c r="B1385" s="21">
        <v>45863.419754976851</v>
      </c>
    </row>
    <row r="1386" spans="1:2" x14ac:dyDescent="0.25">
      <c r="A1386" s="38">
        <v>5.5239000000000003</v>
      </c>
      <c r="B1386" s="21">
        <v>45862.547929120374</v>
      </c>
    </row>
    <row r="1387" spans="1:2" x14ac:dyDescent="0.25">
      <c r="A1387" s="38">
        <v>5.5186000000000002</v>
      </c>
      <c r="B1387" s="21">
        <v>45862.547929074077</v>
      </c>
    </row>
    <row r="1388" spans="1:2" x14ac:dyDescent="0.25">
      <c r="A1388" s="38">
        <v>5.5236000000000001</v>
      </c>
      <c r="B1388" s="21">
        <v>45862.507944351855</v>
      </c>
    </row>
    <row r="1389" spans="1:2" x14ac:dyDescent="0.25">
      <c r="A1389" s="38">
        <v>5.5332999999999997</v>
      </c>
      <c r="B1389" s="21">
        <v>45862.460028414353</v>
      </c>
    </row>
    <row r="1390" spans="1:2" x14ac:dyDescent="0.25">
      <c r="A1390" s="38">
        <v>5.52</v>
      </c>
      <c r="B1390" s="21">
        <v>45862.422672835652</v>
      </c>
    </row>
    <row r="1391" spans="1:2" x14ac:dyDescent="0.25">
      <c r="A1391" s="38">
        <v>5.5537000000000001</v>
      </c>
      <c r="B1391" s="21">
        <v>45861.545525949077</v>
      </c>
    </row>
    <row r="1392" spans="1:2" x14ac:dyDescent="0.25">
      <c r="A1392" s="38">
        <v>5.5392000000000001</v>
      </c>
      <c r="B1392" s="21">
        <v>45861.545525891204</v>
      </c>
    </row>
    <row r="1393" spans="1:2" x14ac:dyDescent="0.25">
      <c r="A1393" s="38">
        <v>5.5597000000000003</v>
      </c>
      <c r="B1393" s="21">
        <v>45861.504516331021</v>
      </c>
    </row>
    <row r="1394" spans="1:2" x14ac:dyDescent="0.25">
      <c r="A1394" s="38">
        <v>5.5576999999999996</v>
      </c>
      <c r="B1394" s="21">
        <v>45861.464223379633</v>
      </c>
    </row>
    <row r="1395" spans="1:2" x14ac:dyDescent="0.25">
      <c r="A1395" s="38">
        <v>5.5579999999999998</v>
      </c>
      <c r="B1395" s="21">
        <v>45861.420501053239</v>
      </c>
    </row>
    <row r="1396" spans="1:2" x14ac:dyDescent="0.25">
      <c r="A1396" s="38">
        <v>5.5709</v>
      </c>
      <c r="B1396" s="21">
        <v>45860.54569071759</v>
      </c>
    </row>
    <row r="1397" spans="1:2" x14ac:dyDescent="0.25">
      <c r="A1397" s="38">
        <v>5.5576999999999996</v>
      </c>
      <c r="B1397" s="21">
        <v>45860.545690590276</v>
      </c>
    </row>
    <row r="1398" spans="1:2" x14ac:dyDescent="0.25">
      <c r="A1398" s="38">
        <v>5.5670000000000002</v>
      </c>
      <c r="B1398" s="21">
        <v>45860.503127430558</v>
      </c>
    </row>
    <row r="1399" spans="1:2" x14ac:dyDescent="0.25">
      <c r="A1399" s="38">
        <v>5.5899000000000001</v>
      </c>
      <c r="B1399" s="21">
        <v>45860.465605949074</v>
      </c>
    </row>
    <row r="1400" spans="1:2" x14ac:dyDescent="0.25">
      <c r="A1400" s="38">
        <v>5.569</v>
      </c>
      <c r="B1400" s="21">
        <v>45860.423281724536</v>
      </c>
    </row>
    <row r="1401" spans="1:2" x14ac:dyDescent="0.25">
      <c r="A1401" s="38">
        <v>5.5625</v>
      </c>
      <c r="B1401" s="21">
        <v>45859.544419849539</v>
      </c>
    </row>
    <row r="1402" spans="1:2" x14ac:dyDescent="0.25">
      <c r="A1402" s="38">
        <v>5.5521000000000003</v>
      </c>
      <c r="B1402" s="21">
        <v>45859.544419791666</v>
      </c>
    </row>
    <row r="1403" spans="1:2" x14ac:dyDescent="0.25">
      <c r="A1403" s="38">
        <v>5.5582000000000003</v>
      </c>
      <c r="B1403" s="21">
        <v>45859.503114247687</v>
      </c>
    </row>
    <row r="1404" spans="1:2" x14ac:dyDescent="0.25">
      <c r="A1404" s="38">
        <v>5.5770999999999997</v>
      </c>
      <c r="B1404" s="21">
        <v>45859.462082303238</v>
      </c>
    </row>
    <row r="1405" spans="1:2" x14ac:dyDescent="0.25">
      <c r="A1405" s="38">
        <v>5.5624000000000002</v>
      </c>
      <c r="B1405" s="21">
        <v>45859.42258583333</v>
      </c>
    </row>
    <row r="1406" spans="1:2" x14ac:dyDescent="0.25">
      <c r="A1406" s="38">
        <v>5.5465999999999998</v>
      </c>
      <c r="B1406" s="21">
        <v>45856.549715474539</v>
      </c>
    </row>
    <row r="1407" spans="1:2" x14ac:dyDescent="0.25">
      <c r="A1407" s="38">
        <v>5.5621</v>
      </c>
      <c r="B1407" s="21">
        <v>45856.54971540509</v>
      </c>
    </row>
    <row r="1408" spans="1:2" x14ac:dyDescent="0.25">
      <c r="A1408" s="38">
        <v>5.5419999999999998</v>
      </c>
      <c r="B1408" s="21">
        <v>45856.50381451389</v>
      </c>
    </row>
    <row r="1409" spans="1:2" x14ac:dyDescent="0.25">
      <c r="A1409" s="38">
        <v>5.5255999999999998</v>
      </c>
      <c r="B1409" s="21">
        <v>45856.463539895834</v>
      </c>
    </row>
    <row r="1410" spans="1:2" x14ac:dyDescent="0.25">
      <c r="A1410" s="38">
        <v>5.5567000000000002</v>
      </c>
      <c r="B1410" s="21">
        <v>45856.419812488428</v>
      </c>
    </row>
    <row r="1411" spans="1:2" x14ac:dyDescent="0.25">
      <c r="A1411" s="38">
        <v>5.5736999999999997</v>
      </c>
      <c r="B1411" s="21">
        <v>45855.543417997687</v>
      </c>
    </row>
    <row r="1412" spans="1:2" x14ac:dyDescent="0.25">
      <c r="A1412" s="38">
        <v>5.5643000000000002</v>
      </c>
      <c r="B1412" s="21">
        <v>45855.543417928238</v>
      </c>
    </row>
    <row r="1413" spans="1:2" x14ac:dyDescent="0.25">
      <c r="A1413" s="38">
        <v>5.5618999999999996</v>
      </c>
      <c r="B1413" s="21">
        <v>45855.504502743053</v>
      </c>
    </row>
    <row r="1414" spans="1:2" x14ac:dyDescent="0.25">
      <c r="A1414" s="38">
        <v>5.5879000000000003</v>
      </c>
      <c r="B1414" s="21">
        <v>45855.463539884258</v>
      </c>
    </row>
    <row r="1415" spans="1:2" x14ac:dyDescent="0.25">
      <c r="A1415" s="38">
        <v>5.5807000000000002</v>
      </c>
      <c r="B1415" s="21">
        <v>45855.424649525463</v>
      </c>
    </row>
    <row r="1416" spans="1:2" x14ac:dyDescent="0.25">
      <c r="A1416" s="38">
        <v>5.5721999999999996</v>
      </c>
      <c r="B1416" s="21">
        <v>45854.54768609954</v>
      </c>
    </row>
    <row r="1417" spans="1:2" x14ac:dyDescent="0.25">
      <c r="A1417" s="38">
        <v>5.5651999999999999</v>
      </c>
      <c r="B1417" s="21">
        <v>45854.547686018515</v>
      </c>
    </row>
    <row r="1418" spans="1:2" x14ac:dyDescent="0.25">
      <c r="A1418" s="38">
        <v>5.5721999999999996</v>
      </c>
      <c r="B1418" s="21">
        <v>45854.501738657411</v>
      </c>
    </row>
    <row r="1419" spans="1:2" x14ac:dyDescent="0.25">
      <c r="A1419" s="38">
        <v>5.5842000000000001</v>
      </c>
      <c r="B1419" s="21">
        <v>45854.460082557867</v>
      </c>
    </row>
    <row r="1420" spans="1:2" x14ac:dyDescent="0.25">
      <c r="A1420" s="38">
        <v>5.5670999999999999</v>
      </c>
      <c r="B1420" s="21">
        <v>45854.421176585645</v>
      </c>
    </row>
    <row r="1421" spans="1:2" x14ac:dyDescent="0.25">
      <c r="A1421" s="38">
        <v>5.5575999999999999</v>
      </c>
      <c r="B1421" s="21">
        <v>45853.544799236108</v>
      </c>
    </row>
    <row r="1422" spans="1:2" x14ac:dyDescent="0.25">
      <c r="A1422" s="38">
        <v>5.5643000000000002</v>
      </c>
      <c r="B1422" s="21">
        <v>45853.544799131945</v>
      </c>
    </row>
    <row r="1423" spans="1:2" x14ac:dyDescent="0.25">
      <c r="A1423" s="38">
        <v>5.5564</v>
      </c>
      <c r="B1423" s="21">
        <v>45853.504500381947</v>
      </c>
    </row>
    <row r="1424" spans="1:2" x14ac:dyDescent="0.25">
      <c r="A1424" s="38">
        <v>5.5579000000000001</v>
      </c>
      <c r="B1424" s="21">
        <v>45853.465620300929</v>
      </c>
    </row>
    <row r="1425" spans="1:2" x14ac:dyDescent="0.25">
      <c r="A1425" s="38">
        <v>5.5515999999999996</v>
      </c>
      <c r="B1425" s="21">
        <v>45853.419105543981</v>
      </c>
    </row>
    <row r="1426" spans="1:2" x14ac:dyDescent="0.25">
      <c r="A1426" s="38">
        <v>5.5594999999999999</v>
      </c>
      <c r="B1426" s="21">
        <v>45852.547571597221</v>
      </c>
    </row>
    <row r="1427" spans="1:2" x14ac:dyDescent="0.25">
      <c r="A1427" s="38">
        <v>5.5675999999999997</v>
      </c>
      <c r="B1427" s="21">
        <v>45852.547571527779</v>
      </c>
    </row>
    <row r="1428" spans="1:2" x14ac:dyDescent="0.25">
      <c r="A1428" s="38">
        <v>5.5644</v>
      </c>
      <c r="B1428" s="21">
        <v>45852.502456504626</v>
      </c>
    </row>
    <row r="1429" spans="1:2" x14ac:dyDescent="0.25">
      <c r="A1429" s="38">
        <v>5.5487000000000002</v>
      </c>
      <c r="B1429" s="21">
        <v>45852.464134733797</v>
      </c>
    </row>
    <row r="1430" spans="1:2" x14ac:dyDescent="0.25">
      <c r="A1430" s="38">
        <v>5.5574000000000003</v>
      </c>
      <c r="B1430" s="21">
        <v>45852.418457268519</v>
      </c>
    </row>
    <row r="1431" spans="1:2" x14ac:dyDescent="0.25">
      <c r="A1431" s="38">
        <v>5.5721999999999996</v>
      </c>
      <c r="B1431" s="21">
        <v>45849.546444814812</v>
      </c>
    </row>
    <row r="1432" spans="1:2" x14ac:dyDescent="0.25">
      <c r="A1432" s="38">
        <v>5.5696000000000003</v>
      </c>
      <c r="B1432" s="21">
        <v>45849.546444756947</v>
      </c>
    </row>
    <row r="1433" spans="1:2" x14ac:dyDescent="0.25">
      <c r="A1433" s="38">
        <v>5.5681000000000003</v>
      </c>
      <c r="B1433" s="21">
        <v>45849.505205081019</v>
      </c>
    </row>
    <row r="1434" spans="1:2" x14ac:dyDescent="0.25">
      <c r="A1434" s="38">
        <v>5.5880999999999998</v>
      </c>
      <c r="B1434" s="21">
        <v>45849.464929930553</v>
      </c>
    </row>
    <row r="1435" spans="1:2" x14ac:dyDescent="0.25">
      <c r="A1435" s="38">
        <v>5.5631000000000004</v>
      </c>
      <c r="B1435" s="21">
        <v>45849.423995069446</v>
      </c>
    </row>
    <row r="1436" spans="1:2" x14ac:dyDescent="0.25">
      <c r="A1436" s="38">
        <v>5.5433000000000003</v>
      </c>
      <c r="B1436" s="21">
        <v>45848.543607627318</v>
      </c>
    </row>
    <row r="1437" spans="1:2" x14ac:dyDescent="0.25">
      <c r="A1437" s="38">
        <v>5.5364000000000004</v>
      </c>
      <c r="B1437" s="21">
        <v>45848.543607534724</v>
      </c>
    </row>
    <row r="1438" spans="1:2" x14ac:dyDescent="0.25">
      <c r="A1438" s="38">
        <v>5.5456000000000003</v>
      </c>
      <c r="B1438" s="21">
        <v>45848.505909050924</v>
      </c>
    </row>
    <row r="1439" spans="1:2" x14ac:dyDescent="0.25">
      <c r="A1439" s="38">
        <v>5.5448000000000004</v>
      </c>
      <c r="B1439" s="21">
        <v>45848.464243703704</v>
      </c>
    </row>
    <row r="1440" spans="1:2" x14ac:dyDescent="0.25">
      <c r="A1440" s="38">
        <v>5.5461999999999998</v>
      </c>
      <c r="B1440" s="21">
        <v>45848.424166817131</v>
      </c>
    </row>
    <row r="1441" spans="1:2" x14ac:dyDescent="0.25">
      <c r="A1441" s="38">
        <v>5.4626000000000001</v>
      </c>
      <c r="B1441" s="21">
        <v>45847.545554247685</v>
      </c>
    </row>
    <row r="1442" spans="1:2" x14ac:dyDescent="0.25">
      <c r="A1442" s="38">
        <v>5.4539999999999997</v>
      </c>
      <c r="B1442" s="21">
        <v>45847.545554166667</v>
      </c>
    </row>
    <row r="1443" spans="1:2" x14ac:dyDescent="0.25">
      <c r="A1443" s="38">
        <v>5.4669999999999996</v>
      </c>
      <c r="B1443" s="21">
        <v>45847.50659853009</v>
      </c>
    </row>
    <row r="1444" spans="1:2" x14ac:dyDescent="0.25">
      <c r="A1444" s="38">
        <v>5.46</v>
      </c>
      <c r="B1444" s="21">
        <v>45847.461458240738</v>
      </c>
    </row>
    <row r="1445" spans="1:2" x14ac:dyDescent="0.25">
      <c r="A1445" s="38">
        <v>5.4692999999999996</v>
      </c>
      <c r="B1445" s="21">
        <v>45847.418418645837</v>
      </c>
    </row>
    <row r="1446" spans="1:2" x14ac:dyDescent="0.25">
      <c r="A1446" s="38">
        <v>5.4570999999999996</v>
      </c>
      <c r="B1446" s="21">
        <v>45846.543716469911</v>
      </c>
    </row>
    <row r="1447" spans="1:2" x14ac:dyDescent="0.25">
      <c r="A1447" s="38">
        <v>5.4608999999999996</v>
      </c>
      <c r="B1447" s="21">
        <v>45846.543716388886</v>
      </c>
    </row>
    <row r="1448" spans="1:2" x14ac:dyDescent="0.25">
      <c r="A1448" s="38">
        <v>5.4604999999999997</v>
      </c>
      <c r="B1448" s="21">
        <v>45846.505904016201</v>
      </c>
    </row>
    <row r="1449" spans="1:2" x14ac:dyDescent="0.25">
      <c r="A1449" s="38">
        <v>5.4561999999999999</v>
      </c>
      <c r="B1449" s="21">
        <v>45846.462184953707</v>
      </c>
    </row>
    <row r="1450" spans="1:2" x14ac:dyDescent="0.25">
      <c r="A1450" s="38">
        <v>5.4505999999999997</v>
      </c>
      <c r="B1450" s="21">
        <v>45846.424668055559</v>
      </c>
    </row>
    <row r="1451" spans="1:2" x14ac:dyDescent="0.25">
      <c r="A1451" s="38">
        <v>5.4551999999999996</v>
      </c>
      <c r="B1451" s="21">
        <v>45845.543709884259</v>
      </c>
    </row>
    <row r="1452" spans="1:2" x14ac:dyDescent="0.25">
      <c r="A1452" s="38">
        <v>5.4653</v>
      </c>
      <c r="B1452" s="21">
        <v>45845.543709791666</v>
      </c>
    </row>
    <row r="1453" spans="1:2" x14ac:dyDescent="0.25">
      <c r="A1453" s="38">
        <v>5.4588000000000001</v>
      </c>
      <c r="B1453" s="21">
        <v>45845.50242157407</v>
      </c>
    </row>
    <row r="1454" spans="1:2" x14ac:dyDescent="0.25">
      <c r="A1454" s="38">
        <v>5.4508000000000001</v>
      </c>
      <c r="B1454" s="21">
        <v>45845.462856331018</v>
      </c>
    </row>
    <row r="1455" spans="1:2" x14ac:dyDescent="0.25">
      <c r="A1455" s="38">
        <v>5.4459</v>
      </c>
      <c r="B1455" s="21">
        <v>45845.421209398148</v>
      </c>
    </row>
    <row r="1456" spans="1:2" x14ac:dyDescent="0.25">
      <c r="A1456" s="38">
        <v>5.4089999999999998</v>
      </c>
      <c r="B1456" s="21">
        <v>45842.54478103009</v>
      </c>
    </row>
    <row r="1457" spans="1:2" x14ac:dyDescent="0.25">
      <c r="A1457" s="38">
        <v>5.4088000000000003</v>
      </c>
      <c r="B1457" s="21">
        <v>45842.544780960648</v>
      </c>
    </row>
    <row r="1458" spans="1:2" x14ac:dyDescent="0.25">
      <c r="A1458" s="38">
        <v>5.4073000000000002</v>
      </c>
      <c r="B1458" s="21">
        <v>45842.508002372684</v>
      </c>
    </row>
    <row r="1459" spans="1:2" x14ac:dyDescent="0.25">
      <c r="A1459" s="38">
        <v>5.4062999999999999</v>
      </c>
      <c r="B1459" s="21">
        <v>45842.466319988423</v>
      </c>
    </row>
    <row r="1460" spans="1:2" x14ac:dyDescent="0.25">
      <c r="A1460" s="38">
        <v>5.4134000000000002</v>
      </c>
      <c r="B1460" s="21">
        <v>45842.421875335647</v>
      </c>
    </row>
    <row r="1461" spans="1:2" x14ac:dyDescent="0.25">
      <c r="A1461" s="38">
        <v>5.4207999999999998</v>
      </c>
      <c r="B1461" s="21">
        <v>45841.546133263888</v>
      </c>
    </row>
    <row r="1462" spans="1:2" x14ac:dyDescent="0.25">
      <c r="A1462" s="38">
        <v>5.4199000000000002</v>
      </c>
      <c r="B1462" s="21">
        <v>45841.54613318287</v>
      </c>
    </row>
    <row r="1463" spans="1:2" x14ac:dyDescent="0.25">
      <c r="A1463" s="38">
        <v>5.4172000000000002</v>
      </c>
      <c r="B1463" s="21">
        <v>45841.504478819443</v>
      </c>
    </row>
    <row r="1464" spans="1:2" x14ac:dyDescent="0.25">
      <c r="A1464" s="38">
        <v>5.4123999999999999</v>
      </c>
      <c r="B1464" s="21">
        <v>45841.465581956021</v>
      </c>
    </row>
    <row r="1465" spans="1:2" x14ac:dyDescent="0.25">
      <c r="A1465" s="38">
        <v>5.4335000000000004</v>
      </c>
      <c r="B1465" s="21">
        <v>45841.419746736108</v>
      </c>
    </row>
    <row r="1466" spans="1:2" x14ac:dyDescent="0.25">
      <c r="A1466" s="38">
        <v>5.4512</v>
      </c>
      <c r="B1466" s="21">
        <v>45840.544895011575</v>
      </c>
    </row>
    <row r="1467" spans="1:2" x14ac:dyDescent="0.25">
      <c r="A1467" s="38">
        <v>5.4313000000000002</v>
      </c>
      <c r="B1467" s="21">
        <v>45840.544894930557</v>
      </c>
    </row>
    <row r="1468" spans="1:2" x14ac:dyDescent="0.25">
      <c r="A1468" s="38">
        <v>5.4455999999999998</v>
      </c>
      <c r="B1468" s="21">
        <v>45840.503775474535</v>
      </c>
    </row>
    <row r="1469" spans="1:2" x14ac:dyDescent="0.25">
      <c r="A1469" s="38">
        <v>5.4657</v>
      </c>
      <c r="B1469" s="21">
        <v>45840.461405624999</v>
      </c>
    </row>
    <row r="1470" spans="1:2" x14ac:dyDescent="0.25">
      <c r="A1470" s="38">
        <v>5.4619999999999997</v>
      </c>
      <c r="B1470" s="21">
        <v>45840.421136898149</v>
      </c>
    </row>
    <row r="1471" spans="1:2" x14ac:dyDescent="0.25">
      <c r="A1471" s="38">
        <v>5.4511000000000003</v>
      </c>
      <c r="B1471" s="21">
        <v>45839.546899837966</v>
      </c>
    </row>
    <row r="1472" spans="1:2" x14ac:dyDescent="0.25">
      <c r="A1472" s="38">
        <v>5.4615999999999998</v>
      </c>
      <c r="B1472" s="21">
        <v>45839.546899780093</v>
      </c>
    </row>
    <row r="1473" spans="1:2" x14ac:dyDescent="0.25">
      <c r="A1473" s="38">
        <v>5.4569000000000001</v>
      </c>
      <c r="B1473" s="21">
        <v>45839.505328437503</v>
      </c>
    </row>
    <row r="1474" spans="1:2" x14ac:dyDescent="0.25">
      <c r="A1474" s="38">
        <v>5.4511000000000003</v>
      </c>
      <c r="B1474" s="21">
        <v>45839.464194953704</v>
      </c>
    </row>
    <row r="1475" spans="1:2" x14ac:dyDescent="0.25">
      <c r="A1475" s="38">
        <v>5.4345999999999997</v>
      </c>
      <c r="B1475" s="21">
        <v>45839.424617488425</v>
      </c>
    </row>
    <row r="1476" spans="1:2" x14ac:dyDescent="0.25">
      <c r="A1476" s="38">
        <v>5.4570999999999996</v>
      </c>
      <c r="B1476" s="21">
        <v>45838.546191030095</v>
      </c>
    </row>
    <row r="1477" spans="1:2" x14ac:dyDescent="0.25">
      <c r="A1477" s="38">
        <v>5.4317000000000002</v>
      </c>
      <c r="B1477" s="21">
        <v>45838.546190914349</v>
      </c>
    </row>
    <row r="1478" spans="1:2" x14ac:dyDescent="0.25">
      <c r="A1478" s="38">
        <v>5.4565999999999999</v>
      </c>
      <c r="B1478" s="21">
        <v>45838.501703425929</v>
      </c>
    </row>
    <row r="1479" spans="1:2" x14ac:dyDescent="0.25">
      <c r="A1479" s="38">
        <v>5.4737</v>
      </c>
      <c r="B1479" s="21">
        <v>45838.462111076391</v>
      </c>
    </row>
    <row r="1480" spans="1:2" x14ac:dyDescent="0.25">
      <c r="A1480" s="38">
        <v>5.4663000000000004</v>
      </c>
      <c r="B1480" s="21">
        <v>45838.423238703705</v>
      </c>
    </row>
    <row r="1481" spans="1:2" x14ac:dyDescent="0.25">
      <c r="A1481" s="38">
        <v>5.4759000000000002</v>
      </c>
      <c r="B1481" s="21">
        <v>45835.547005208333</v>
      </c>
    </row>
    <row r="1482" spans="1:2" x14ac:dyDescent="0.25">
      <c r="A1482" s="38">
        <v>5.4650999999999996</v>
      </c>
      <c r="B1482" s="21">
        <v>45835.54700515046</v>
      </c>
    </row>
    <row r="1483" spans="1:2" x14ac:dyDescent="0.25">
      <c r="A1483" s="38">
        <v>5.476</v>
      </c>
      <c r="B1483" s="21">
        <v>45835.507270590278</v>
      </c>
    </row>
    <row r="1484" spans="1:2" x14ac:dyDescent="0.25">
      <c r="A1484" s="38">
        <v>5.4912000000000001</v>
      </c>
      <c r="B1484" s="21">
        <v>45835.465593715278</v>
      </c>
    </row>
    <row r="1485" spans="1:2" x14ac:dyDescent="0.25">
      <c r="A1485" s="38">
        <v>5.4714</v>
      </c>
      <c r="B1485" s="21">
        <v>45835.420841087966</v>
      </c>
    </row>
    <row r="1486" spans="1:2" x14ac:dyDescent="0.25">
      <c r="A1486" s="38">
        <v>5.5145</v>
      </c>
      <c r="B1486" s="21">
        <v>45834.54493984954</v>
      </c>
    </row>
    <row r="1487" spans="1:2" x14ac:dyDescent="0.25">
      <c r="A1487" s="38">
        <v>5.5073999999999996</v>
      </c>
      <c r="B1487" s="21">
        <v>45834.544939791667</v>
      </c>
    </row>
    <row r="1488" spans="1:2" x14ac:dyDescent="0.25">
      <c r="A1488" s="38">
        <v>5.5023</v>
      </c>
      <c r="B1488" s="21">
        <v>45834.504477199072</v>
      </c>
    </row>
    <row r="1489" spans="1:2" x14ac:dyDescent="0.25">
      <c r="A1489" s="38">
        <v>5.5152999999999999</v>
      </c>
      <c r="B1489" s="21">
        <v>45834.460039351849</v>
      </c>
    </row>
    <row r="1490" spans="1:2" x14ac:dyDescent="0.25">
      <c r="A1490" s="38">
        <v>5.5331000000000001</v>
      </c>
      <c r="B1490" s="21">
        <v>45834.423227870371</v>
      </c>
    </row>
    <row r="1491" spans="1:2" x14ac:dyDescent="0.25">
      <c r="A1491" s="38">
        <v>5.5427</v>
      </c>
      <c r="B1491" s="21">
        <v>45833.546157303237</v>
      </c>
    </row>
    <row r="1492" spans="1:2" x14ac:dyDescent="0.25">
      <c r="A1492" s="38">
        <v>5.5502000000000002</v>
      </c>
      <c r="B1492" s="21">
        <v>45833.546157210651</v>
      </c>
    </row>
    <row r="1493" spans="1:2" x14ac:dyDescent="0.25">
      <c r="A1493" s="38">
        <v>5.5486000000000004</v>
      </c>
      <c r="B1493" s="21">
        <v>45833.502394305557</v>
      </c>
    </row>
    <row r="1494" spans="1:2" x14ac:dyDescent="0.25">
      <c r="A1494" s="38">
        <v>5.5444000000000004</v>
      </c>
      <c r="B1494" s="21">
        <v>45833.462803634262</v>
      </c>
    </row>
    <row r="1495" spans="1:2" x14ac:dyDescent="0.25">
      <c r="A1495" s="38">
        <v>5.5274999999999999</v>
      </c>
      <c r="B1495" s="21">
        <v>45833.419077789353</v>
      </c>
    </row>
    <row r="1496" spans="1:2" x14ac:dyDescent="0.25">
      <c r="A1496" s="38">
        <v>5.4938000000000002</v>
      </c>
      <c r="B1496" s="21">
        <v>45832.543466064817</v>
      </c>
    </row>
    <row r="1497" spans="1:2" x14ac:dyDescent="0.25">
      <c r="A1497" s="38">
        <v>5.5</v>
      </c>
      <c r="B1497" s="21">
        <v>45832.543465972223</v>
      </c>
    </row>
    <row r="1498" spans="1:2" x14ac:dyDescent="0.25">
      <c r="A1498" s="38">
        <v>5.4873000000000003</v>
      </c>
      <c r="B1498" s="21">
        <v>45832.50448570602</v>
      </c>
    </row>
    <row r="1499" spans="1:2" x14ac:dyDescent="0.25">
      <c r="A1499" s="38">
        <v>5.4935999999999998</v>
      </c>
      <c r="B1499" s="21">
        <v>45832.466279085646</v>
      </c>
    </row>
    <row r="1500" spans="1:2" x14ac:dyDescent="0.25">
      <c r="A1500" s="38">
        <v>5.4943999999999997</v>
      </c>
      <c r="B1500" s="21">
        <v>45832.423932962964</v>
      </c>
    </row>
    <row r="1501" spans="1:2" x14ac:dyDescent="0.25">
      <c r="A1501" s="38">
        <v>5.5213000000000001</v>
      </c>
      <c r="B1501" s="21">
        <v>45831.548228009262</v>
      </c>
    </row>
    <row r="1502" spans="1:2" x14ac:dyDescent="0.25">
      <c r="A1502" s="38">
        <v>5.5186999999999999</v>
      </c>
      <c r="B1502" s="21">
        <v>45831.548227928244</v>
      </c>
    </row>
    <row r="1503" spans="1:2" x14ac:dyDescent="0.25">
      <c r="A1503" s="38">
        <v>5.5132000000000003</v>
      </c>
      <c r="B1503" s="21">
        <v>45831.503769432871</v>
      </c>
    </row>
    <row r="1504" spans="1:2" x14ac:dyDescent="0.25">
      <c r="A1504" s="38">
        <v>5.5303000000000004</v>
      </c>
      <c r="B1504" s="21">
        <v>45831.460509305558</v>
      </c>
    </row>
    <row r="1505" spans="1:2" x14ac:dyDescent="0.25">
      <c r="A1505" s="38">
        <v>5.5231000000000003</v>
      </c>
      <c r="B1505" s="21">
        <v>45831.421860856484</v>
      </c>
    </row>
    <row r="1506" spans="1:2" x14ac:dyDescent="0.25">
      <c r="A1506" s="38">
        <v>5.4957000000000003</v>
      </c>
      <c r="B1506" s="21">
        <v>45828.545677835646</v>
      </c>
    </row>
    <row r="1507" spans="1:2" x14ac:dyDescent="0.25">
      <c r="A1507" s="38">
        <v>5.5042999999999997</v>
      </c>
      <c r="B1507" s="21">
        <v>45828.545677789349</v>
      </c>
    </row>
    <row r="1508" spans="1:2" x14ac:dyDescent="0.25">
      <c r="A1508" s="38">
        <v>5.5052000000000003</v>
      </c>
      <c r="B1508" s="21">
        <v>45828.505173865742</v>
      </c>
    </row>
    <row r="1509" spans="1:2" x14ac:dyDescent="0.25">
      <c r="A1509" s="38">
        <v>5.4866999999999999</v>
      </c>
      <c r="B1509" s="21">
        <v>45828.469594699076</v>
      </c>
    </row>
    <row r="1510" spans="1:2" x14ac:dyDescent="0.25">
      <c r="A1510" s="38">
        <v>5.4863999999999997</v>
      </c>
      <c r="B1510" s="21">
        <v>45828.423620787034</v>
      </c>
    </row>
    <row r="1511" spans="1:2" x14ac:dyDescent="0.25">
      <c r="A1511" s="38">
        <v>5.4878999999999998</v>
      </c>
      <c r="B1511" s="21">
        <v>45826.548929409721</v>
      </c>
    </row>
    <row r="1512" spans="1:2" x14ac:dyDescent="0.25">
      <c r="A1512" s="38">
        <v>5.4927000000000001</v>
      </c>
      <c r="B1512" s="21">
        <v>45826.548929340279</v>
      </c>
    </row>
    <row r="1513" spans="1:2" x14ac:dyDescent="0.25">
      <c r="A1513" s="38">
        <v>5.4836</v>
      </c>
      <c r="B1513" s="21">
        <v>45826.505173194448</v>
      </c>
    </row>
    <row r="1514" spans="1:2" x14ac:dyDescent="0.25">
      <c r="A1514" s="38">
        <v>5.4771000000000001</v>
      </c>
      <c r="B1514" s="21">
        <v>45826.462807592594</v>
      </c>
    </row>
    <row r="1515" spans="1:2" x14ac:dyDescent="0.25">
      <c r="A1515" s="38">
        <v>5.4981</v>
      </c>
      <c r="B1515" s="21">
        <v>45826.419761469908</v>
      </c>
    </row>
    <row r="1516" spans="1:2" x14ac:dyDescent="0.25">
      <c r="A1516" s="38">
        <v>5.4772999999999996</v>
      </c>
      <c r="B1516" s="21">
        <v>45825.546857592592</v>
      </c>
    </row>
    <row r="1517" spans="1:2" x14ac:dyDescent="0.25">
      <c r="A1517" s="38">
        <v>5.4711999999999996</v>
      </c>
      <c r="B1517" s="21">
        <v>45825.546857546295</v>
      </c>
    </row>
    <row r="1518" spans="1:2" x14ac:dyDescent="0.25">
      <c r="A1518" s="38">
        <v>5.4836999999999998</v>
      </c>
      <c r="B1518" s="21">
        <v>45825.505781168984</v>
      </c>
    </row>
    <row r="1519" spans="1:2" x14ac:dyDescent="0.25">
      <c r="A1519" s="38">
        <v>5.4675000000000002</v>
      </c>
      <c r="B1519" s="21">
        <v>45825.466206249999</v>
      </c>
    </row>
    <row r="1520" spans="1:2" x14ac:dyDescent="0.25">
      <c r="A1520" s="38">
        <v>5.4869000000000003</v>
      </c>
      <c r="B1520" s="21">
        <v>45825.41906699074</v>
      </c>
    </row>
    <row r="1521" spans="1:2" x14ac:dyDescent="0.25">
      <c r="A1521" s="38">
        <v>5.5122999999999998</v>
      </c>
      <c r="B1521" s="21">
        <v>45824.547966874998</v>
      </c>
    </row>
    <row r="1522" spans="1:2" x14ac:dyDescent="0.25">
      <c r="A1522" s="38">
        <v>5.5171000000000001</v>
      </c>
      <c r="B1522" s="21">
        <v>45824.547966712962</v>
      </c>
    </row>
    <row r="1523" spans="1:2" x14ac:dyDescent="0.25">
      <c r="A1523" s="38">
        <v>5.5076000000000001</v>
      </c>
      <c r="B1523" s="21">
        <v>45824.504523379626</v>
      </c>
    </row>
    <row r="1524" spans="1:2" x14ac:dyDescent="0.25">
      <c r="A1524" s="38">
        <v>5.5039999999999996</v>
      </c>
      <c r="B1524" s="21">
        <v>45824.462171377316</v>
      </c>
    </row>
    <row r="1525" spans="1:2" x14ac:dyDescent="0.25">
      <c r="A1525" s="38">
        <v>5.5204000000000004</v>
      </c>
      <c r="B1525" s="21">
        <v>45824.418460474539</v>
      </c>
    </row>
    <row r="1526" spans="1:2" x14ac:dyDescent="0.25">
      <c r="A1526" s="38">
        <v>5.5651999999999999</v>
      </c>
      <c r="B1526" s="21">
        <v>45821.543478842592</v>
      </c>
    </row>
    <row r="1527" spans="1:2" x14ac:dyDescent="0.25">
      <c r="A1527" s="38">
        <v>5.5468000000000002</v>
      </c>
      <c r="B1527" s="21">
        <v>45821.543478784719</v>
      </c>
    </row>
    <row r="1528" spans="1:2" x14ac:dyDescent="0.25">
      <c r="A1528" s="38">
        <v>5.5536000000000003</v>
      </c>
      <c r="B1528" s="21">
        <v>45821.503127094904</v>
      </c>
    </row>
    <row r="1529" spans="1:2" x14ac:dyDescent="0.25">
      <c r="A1529" s="38">
        <v>5.5717999999999996</v>
      </c>
      <c r="B1529" s="21">
        <v>45821.466330208335</v>
      </c>
    </row>
    <row r="1530" spans="1:2" x14ac:dyDescent="0.25">
      <c r="A1530" s="38">
        <v>5.5887000000000002</v>
      </c>
      <c r="B1530" s="21">
        <v>45821.421187037035</v>
      </c>
    </row>
    <row r="1531" spans="1:2" x14ac:dyDescent="0.25">
      <c r="A1531" s="38">
        <v>5.5388000000000002</v>
      </c>
      <c r="B1531" s="21">
        <v>45820.544746956017</v>
      </c>
    </row>
    <row r="1532" spans="1:2" x14ac:dyDescent="0.25">
      <c r="A1532" s="38">
        <v>5.5465999999999998</v>
      </c>
      <c r="B1532" s="21">
        <v>45820.544746898151</v>
      </c>
    </row>
    <row r="1533" spans="1:2" x14ac:dyDescent="0.25">
      <c r="A1533" s="38">
        <v>5.5442</v>
      </c>
      <c r="B1533" s="21">
        <v>45820.50523383102</v>
      </c>
    </row>
    <row r="1534" spans="1:2" x14ac:dyDescent="0.25">
      <c r="A1534" s="38">
        <v>5.5347</v>
      </c>
      <c r="B1534" s="21">
        <v>45820.460087719905</v>
      </c>
    </row>
    <row r="1535" spans="1:2" x14ac:dyDescent="0.25">
      <c r="A1535" s="38">
        <v>5.5297000000000001</v>
      </c>
      <c r="B1535" s="21">
        <v>45820.421911296296</v>
      </c>
    </row>
    <row r="1536" spans="1:2" x14ac:dyDescent="0.25">
      <c r="A1536" s="38">
        <v>5.5389999999999997</v>
      </c>
      <c r="B1536" s="21">
        <v>45819.544977662037</v>
      </c>
    </row>
    <row r="1537" spans="1:2" x14ac:dyDescent="0.25">
      <c r="A1537" s="38">
        <v>5.5266999999999999</v>
      </c>
      <c r="B1537" s="21">
        <v>45819.544977546298</v>
      </c>
    </row>
    <row r="1538" spans="1:2" x14ac:dyDescent="0.25">
      <c r="A1538" s="38">
        <v>5.5416999999999996</v>
      </c>
      <c r="B1538" s="21">
        <v>45819.506590381941</v>
      </c>
    </row>
    <row r="1539" spans="1:2" x14ac:dyDescent="0.25">
      <c r="A1539" s="38">
        <v>5.5336999999999996</v>
      </c>
      <c r="B1539" s="21">
        <v>45819.464953877316</v>
      </c>
    </row>
    <row r="1540" spans="1:2" x14ac:dyDescent="0.25">
      <c r="A1540" s="38">
        <v>5.5540000000000003</v>
      </c>
      <c r="B1540" s="21">
        <v>45819.418456898151</v>
      </c>
    </row>
    <row r="1541" spans="1:2" x14ac:dyDescent="0.25">
      <c r="A1541" s="38">
        <v>5.5556999999999999</v>
      </c>
      <c r="B1541" s="21">
        <v>45818.547589374997</v>
      </c>
    </row>
    <row r="1542" spans="1:2" x14ac:dyDescent="0.25">
      <c r="A1542" s="38">
        <v>5.5647000000000002</v>
      </c>
      <c r="B1542" s="21">
        <v>45818.547589282411</v>
      </c>
    </row>
    <row r="1543" spans="1:2" x14ac:dyDescent="0.25">
      <c r="A1543" s="38">
        <v>5.5579999999999998</v>
      </c>
      <c r="B1543" s="21">
        <v>45818.507944930556</v>
      </c>
    </row>
    <row r="1544" spans="1:2" x14ac:dyDescent="0.25">
      <c r="A1544" s="38">
        <v>5.5484999999999998</v>
      </c>
      <c r="B1544" s="21">
        <v>45818.465595104164</v>
      </c>
    </row>
    <row r="1545" spans="1:2" x14ac:dyDescent="0.25">
      <c r="A1545" s="38">
        <v>5.5515999999999996</v>
      </c>
      <c r="B1545" s="21">
        <v>45818.419068912037</v>
      </c>
    </row>
    <row r="1546" spans="1:2" x14ac:dyDescent="0.25">
      <c r="A1546" s="38">
        <v>5.5759999999999996</v>
      </c>
      <c r="B1546" s="21">
        <v>45817.544959409723</v>
      </c>
    </row>
    <row r="1547" spans="1:2" x14ac:dyDescent="0.25">
      <c r="A1547" s="38">
        <v>5.5744999999999996</v>
      </c>
      <c r="B1547" s="21">
        <v>45817.544959282408</v>
      </c>
    </row>
    <row r="1548" spans="1:2" x14ac:dyDescent="0.25">
      <c r="A1548" s="38">
        <v>5.5823</v>
      </c>
      <c r="B1548" s="21">
        <v>45817.503788692127</v>
      </c>
    </row>
    <row r="1549" spans="1:2" x14ac:dyDescent="0.25">
      <c r="A1549" s="38">
        <v>5.5793999999999997</v>
      </c>
      <c r="B1549" s="21">
        <v>45817.461425046298</v>
      </c>
    </row>
    <row r="1550" spans="1:2" x14ac:dyDescent="0.25">
      <c r="A1550" s="38">
        <v>5.5675999999999997</v>
      </c>
      <c r="B1550" s="21">
        <v>45817.419788888888</v>
      </c>
    </row>
    <row r="1551" spans="1:2" x14ac:dyDescent="0.25">
      <c r="A1551" s="38">
        <v>5.5946999999999996</v>
      </c>
      <c r="B1551" s="21">
        <v>45814.547785613424</v>
      </c>
    </row>
    <row r="1552" spans="1:2" x14ac:dyDescent="0.25">
      <c r="A1552" s="38">
        <v>5.5934999999999997</v>
      </c>
      <c r="B1552" s="21">
        <v>45814.54778552083</v>
      </c>
    </row>
    <row r="1553" spans="1:2" x14ac:dyDescent="0.25">
      <c r="A1553" s="38">
        <v>5.6116999999999999</v>
      </c>
      <c r="B1553" s="21">
        <v>45814.503093321757</v>
      </c>
    </row>
    <row r="1554" spans="1:2" x14ac:dyDescent="0.25">
      <c r="A1554" s="38">
        <v>5.5911999999999997</v>
      </c>
      <c r="B1554" s="21">
        <v>45814.464889374998</v>
      </c>
    </row>
    <row r="1555" spans="1:2" x14ac:dyDescent="0.25">
      <c r="A1555" s="38">
        <v>5.5823999999999998</v>
      </c>
      <c r="B1555" s="21">
        <v>45814.41906359954</v>
      </c>
    </row>
    <row r="1556" spans="1:2" x14ac:dyDescent="0.25">
      <c r="A1556" s="38">
        <v>5.5968999999999998</v>
      </c>
      <c r="B1556" s="21">
        <v>45813.546886469907</v>
      </c>
    </row>
    <row r="1557" spans="1:2" x14ac:dyDescent="0.25">
      <c r="A1557" s="38">
        <v>5.5911</v>
      </c>
      <c r="B1557" s="21">
        <v>45813.546886365744</v>
      </c>
    </row>
    <row r="1558" spans="1:2" x14ac:dyDescent="0.25">
      <c r="A1558" s="38">
        <v>5.5934999999999997</v>
      </c>
      <c r="B1558" s="21">
        <v>45813.504469837964</v>
      </c>
    </row>
    <row r="1559" spans="1:2" x14ac:dyDescent="0.25">
      <c r="A1559" s="38">
        <v>5.6036000000000001</v>
      </c>
      <c r="B1559" s="21">
        <v>45813.463502777777</v>
      </c>
    </row>
    <row r="1560" spans="1:2" x14ac:dyDescent="0.25">
      <c r="A1560" s="38">
        <v>5.5994999999999999</v>
      </c>
      <c r="B1560" s="21">
        <v>45813.421840428244</v>
      </c>
    </row>
    <row r="1561" spans="1:2" x14ac:dyDescent="0.25">
      <c r="A1561" s="38">
        <v>5.6332000000000004</v>
      </c>
      <c r="B1561" s="21">
        <v>45812.549644988423</v>
      </c>
    </row>
    <row r="1562" spans="1:2" x14ac:dyDescent="0.25">
      <c r="A1562" s="38">
        <v>5.6387999999999998</v>
      </c>
      <c r="B1562" s="21">
        <v>45812.549644942126</v>
      </c>
    </row>
    <row r="1563" spans="1:2" x14ac:dyDescent="0.25">
      <c r="A1563" s="38">
        <v>5.6311</v>
      </c>
      <c r="B1563" s="21">
        <v>45812.503088032405</v>
      </c>
    </row>
    <row r="1564" spans="1:2" x14ac:dyDescent="0.25">
      <c r="A1564" s="38">
        <v>5.6351000000000004</v>
      </c>
      <c r="B1564" s="21">
        <v>45812.462379398145</v>
      </c>
    </row>
    <row r="1565" spans="1:2" x14ac:dyDescent="0.25">
      <c r="A1565" s="38">
        <v>5.6276999999999999</v>
      </c>
      <c r="B1565" s="21">
        <v>45812.424624930558</v>
      </c>
    </row>
    <row r="1566" spans="1:2" x14ac:dyDescent="0.25">
      <c r="A1566" s="38">
        <v>5.6694000000000004</v>
      </c>
      <c r="B1566" s="21">
        <v>45811.546869421298</v>
      </c>
    </row>
    <row r="1567" spans="1:2" x14ac:dyDescent="0.25">
      <c r="A1567" s="38">
        <v>5.6458000000000004</v>
      </c>
      <c r="B1567" s="21">
        <v>45811.546869305559</v>
      </c>
    </row>
    <row r="1568" spans="1:2" x14ac:dyDescent="0.25">
      <c r="A1568" s="38">
        <v>5.6440999999999999</v>
      </c>
      <c r="B1568" s="21">
        <v>45811.503093414351</v>
      </c>
    </row>
    <row r="1569" spans="1:2" x14ac:dyDescent="0.25">
      <c r="A1569" s="38">
        <v>5.6832000000000003</v>
      </c>
      <c r="B1569" s="21">
        <v>45811.463509398149</v>
      </c>
    </row>
    <row r="1570" spans="1:2" x14ac:dyDescent="0.25">
      <c r="A1570" s="38">
        <v>5.7043999999999997</v>
      </c>
      <c r="B1570" s="21">
        <v>45811.419055844905</v>
      </c>
    </row>
    <row r="1571" spans="1:2" x14ac:dyDescent="0.25">
      <c r="A1571" s="38">
        <v>5.6936999999999998</v>
      </c>
      <c r="B1571" s="21">
        <v>45810.547975775466</v>
      </c>
    </row>
    <row r="1572" spans="1:2" x14ac:dyDescent="0.25">
      <c r="A1572" s="38">
        <v>5.7076000000000002</v>
      </c>
      <c r="B1572" s="21">
        <v>45810.547975717593</v>
      </c>
    </row>
    <row r="1573" spans="1:2" x14ac:dyDescent="0.25">
      <c r="A1573" s="38">
        <v>5.6935000000000002</v>
      </c>
      <c r="B1573" s="21">
        <v>45810.504479606483</v>
      </c>
    </row>
    <row r="1574" spans="1:2" x14ac:dyDescent="0.25">
      <c r="A1574" s="38">
        <v>5.6859000000000002</v>
      </c>
      <c r="B1574" s="21">
        <v>45810.461209675923</v>
      </c>
    </row>
    <row r="1575" spans="1:2" x14ac:dyDescent="0.25">
      <c r="A1575" s="38">
        <v>5.6877000000000004</v>
      </c>
      <c r="B1575" s="21">
        <v>45810.423239212963</v>
      </c>
    </row>
    <row r="1576" spans="1:2" x14ac:dyDescent="0.25">
      <c r="A1576" s="38">
        <v>5.7087000000000003</v>
      </c>
      <c r="B1576" s="21">
        <v>45807.545452858794</v>
      </c>
    </row>
    <row r="1577" spans="1:2" x14ac:dyDescent="0.25">
      <c r="A1577" s="38">
        <v>5.7168999999999999</v>
      </c>
      <c r="B1577" s="21">
        <v>45807.5454527662</v>
      </c>
    </row>
    <row r="1578" spans="1:2" x14ac:dyDescent="0.25">
      <c r="A1578" s="38">
        <v>5.7218</v>
      </c>
      <c r="B1578" s="21">
        <v>45807.505175219907</v>
      </c>
    </row>
    <row r="1579" spans="1:2" x14ac:dyDescent="0.25">
      <c r="A1579" s="38">
        <v>5.7119999999999997</v>
      </c>
      <c r="B1579" s="21">
        <v>45807.464899155093</v>
      </c>
    </row>
    <row r="1580" spans="1:2" x14ac:dyDescent="0.25">
      <c r="A1580" s="38">
        <v>5.6841999999999997</v>
      </c>
      <c r="B1580" s="21">
        <v>45807.423943194444</v>
      </c>
    </row>
    <row r="1581" spans="1:2" x14ac:dyDescent="0.25">
      <c r="A1581" s="38">
        <v>5.6558999999999999</v>
      </c>
      <c r="B1581" s="21">
        <v>45806.545528807874</v>
      </c>
    </row>
    <row r="1582" spans="1:2" x14ac:dyDescent="0.25">
      <c r="A1582" s="38">
        <v>5.6524000000000001</v>
      </c>
      <c r="B1582" s="21">
        <v>45806.545528750001</v>
      </c>
    </row>
    <row r="1583" spans="1:2" x14ac:dyDescent="0.25">
      <c r="A1583" s="38">
        <v>5.6443000000000003</v>
      </c>
      <c r="B1583" s="21">
        <v>45806.503081608796</v>
      </c>
    </row>
    <row r="1584" spans="1:2" x14ac:dyDescent="0.25">
      <c r="A1584" s="38">
        <v>5.6627999999999998</v>
      </c>
      <c r="B1584" s="21">
        <v>45806.462116284725</v>
      </c>
    </row>
    <row r="1585" spans="1:2" x14ac:dyDescent="0.25">
      <c r="A1585" s="38">
        <v>5.6639999999999997</v>
      </c>
      <c r="B1585" s="21">
        <v>45806.421420995372</v>
      </c>
    </row>
    <row r="1586" spans="1:2" x14ac:dyDescent="0.25">
      <c r="A1586" s="38">
        <v>5.6936</v>
      </c>
      <c r="B1586" s="21">
        <v>45805.547045775464</v>
      </c>
    </row>
    <row r="1587" spans="1:2" x14ac:dyDescent="0.25">
      <c r="A1587" s="38">
        <v>5.7126000000000001</v>
      </c>
      <c r="B1587" s="21">
        <v>45805.547045717591</v>
      </c>
    </row>
    <row r="1588" spans="1:2" x14ac:dyDescent="0.25">
      <c r="A1588" s="38">
        <v>5.6988000000000003</v>
      </c>
      <c r="B1588" s="21">
        <v>45805.506576840278</v>
      </c>
    </row>
    <row r="1589" spans="1:2" x14ac:dyDescent="0.25">
      <c r="A1589" s="38">
        <v>5.6868999999999996</v>
      </c>
      <c r="B1589" s="21">
        <v>45805.462794282408</v>
      </c>
    </row>
    <row r="1590" spans="1:2" x14ac:dyDescent="0.25">
      <c r="A1590" s="38">
        <v>5.6760000000000002</v>
      </c>
      <c r="B1590" s="21">
        <v>45805.423914895837</v>
      </c>
    </row>
    <row r="1591" spans="1:2" x14ac:dyDescent="0.25">
      <c r="A1591" s="38">
        <v>5.6539000000000001</v>
      </c>
      <c r="B1591" s="21">
        <v>45804.54422585648</v>
      </c>
    </row>
    <row r="1592" spans="1:2" x14ac:dyDescent="0.25">
      <c r="A1592" s="38">
        <v>5.6531000000000002</v>
      </c>
      <c r="B1592" s="21">
        <v>45804.544225798614</v>
      </c>
    </row>
    <row r="1593" spans="1:2" x14ac:dyDescent="0.25">
      <c r="A1593" s="38">
        <v>5.6535000000000002</v>
      </c>
      <c r="B1593" s="21">
        <v>45804.507939780095</v>
      </c>
    </row>
    <row r="1594" spans="1:2" x14ac:dyDescent="0.25">
      <c r="A1594" s="38">
        <v>5.6581999999999999</v>
      </c>
      <c r="B1594" s="21">
        <v>45804.46071107639</v>
      </c>
    </row>
    <row r="1595" spans="1:2" x14ac:dyDescent="0.25">
      <c r="A1595" s="38">
        <v>5.6508000000000003</v>
      </c>
      <c r="B1595" s="21">
        <v>45804.423921215275</v>
      </c>
    </row>
    <row r="1596" spans="1:2" x14ac:dyDescent="0.25">
      <c r="A1596" s="38">
        <v>5.6619000000000002</v>
      </c>
      <c r="B1596" s="21">
        <v>45803.546185706022</v>
      </c>
    </row>
    <row r="1597" spans="1:2" x14ac:dyDescent="0.25">
      <c r="A1597" s="38">
        <v>5.6711999999999998</v>
      </c>
      <c r="B1597" s="21">
        <v>45803.546185578707</v>
      </c>
    </row>
    <row r="1598" spans="1:2" x14ac:dyDescent="0.25">
      <c r="A1598" s="38">
        <v>5.6616</v>
      </c>
      <c r="B1598" s="21">
        <v>45803.506552256942</v>
      </c>
    </row>
    <row r="1599" spans="1:2" x14ac:dyDescent="0.25">
      <c r="A1599" s="38">
        <v>5.6561000000000003</v>
      </c>
      <c r="B1599" s="21">
        <v>45803.460020844905</v>
      </c>
    </row>
    <row r="1600" spans="1:2" x14ac:dyDescent="0.25">
      <c r="A1600" s="38">
        <v>5.6586999999999996</v>
      </c>
      <c r="B1600" s="21">
        <v>45803.423232835645</v>
      </c>
    </row>
    <row r="1601" spans="1:2" x14ac:dyDescent="0.25">
      <c r="A1601" s="38">
        <v>5.6932</v>
      </c>
      <c r="B1601" s="21">
        <v>45800.549408078703</v>
      </c>
    </row>
    <row r="1602" spans="1:2" x14ac:dyDescent="0.25">
      <c r="A1602" s="38">
        <v>5.6824000000000003</v>
      </c>
      <c r="B1602" s="21">
        <v>45800.549408032406</v>
      </c>
    </row>
    <row r="1603" spans="1:2" x14ac:dyDescent="0.25">
      <c r="A1603" s="38">
        <v>5.68</v>
      </c>
      <c r="B1603" s="21">
        <v>45800.506559189816</v>
      </c>
    </row>
    <row r="1604" spans="1:2" x14ac:dyDescent="0.25">
      <c r="A1604" s="38">
        <v>5.7000999999999999</v>
      </c>
      <c r="B1604" s="21">
        <v>45800.464878495368</v>
      </c>
    </row>
    <row r="1605" spans="1:2" x14ac:dyDescent="0.25">
      <c r="A1605" s="38">
        <v>5.7102000000000004</v>
      </c>
      <c r="B1605" s="21">
        <v>45800.42182815972</v>
      </c>
    </row>
    <row r="1606" spans="1:2" x14ac:dyDescent="0.25">
      <c r="A1606" s="38">
        <v>5.6390000000000002</v>
      </c>
      <c r="B1606" s="21">
        <v>45799.546156851851</v>
      </c>
    </row>
    <row r="1607" spans="1:2" x14ac:dyDescent="0.25">
      <c r="A1607" s="38">
        <v>5.6246</v>
      </c>
      <c r="B1607" s="21">
        <v>45799.546156770833</v>
      </c>
    </row>
    <row r="1608" spans="1:2" x14ac:dyDescent="0.25">
      <c r="A1608" s="38">
        <v>5.6361999999999997</v>
      </c>
      <c r="B1608" s="21">
        <v>45799.506555358799</v>
      </c>
    </row>
    <row r="1609" spans="1:2" x14ac:dyDescent="0.25">
      <c r="A1609" s="38">
        <v>5.6426999999999996</v>
      </c>
      <c r="B1609" s="21">
        <v>45799.463511678237</v>
      </c>
    </row>
    <row r="1610" spans="1:2" x14ac:dyDescent="0.25">
      <c r="A1610" s="38">
        <v>5.6524000000000001</v>
      </c>
      <c r="B1610" s="21">
        <v>45799.419064814814</v>
      </c>
    </row>
    <row r="1611" spans="1:2" x14ac:dyDescent="0.25">
      <c r="A1611" s="38">
        <v>5.6570999999999998</v>
      </c>
      <c r="B1611" s="21">
        <v>45798.544816203706</v>
      </c>
    </row>
    <row r="1612" spans="1:2" x14ac:dyDescent="0.25">
      <c r="A1612" s="38">
        <v>5.6593</v>
      </c>
      <c r="B1612" s="21">
        <v>45798.544816111113</v>
      </c>
    </row>
    <row r="1613" spans="1:2" x14ac:dyDescent="0.25">
      <c r="A1613" s="38">
        <v>5.6504000000000003</v>
      </c>
      <c r="B1613" s="21">
        <v>45798.505190289354</v>
      </c>
    </row>
    <row r="1614" spans="1:2" x14ac:dyDescent="0.25">
      <c r="A1614" s="38">
        <v>5.6573000000000002</v>
      </c>
      <c r="B1614" s="21">
        <v>45798.464189675928</v>
      </c>
    </row>
    <row r="1615" spans="1:2" x14ac:dyDescent="0.25">
      <c r="A1615" s="38">
        <v>5.6615000000000002</v>
      </c>
      <c r="B1615" s="21">
        <v>45798.424606863424</v>
      </c>
    </row>
    <row r="1616" spans="1:2" x14ac:dyDescent="0.25">
      <c r="A1616" s="38">
        <v>5.6619999999999999</v>
      </c>
      <c r="B1616" s="21">
        <v>45797.54547380787</v>
      </c>
    </row>
    <row r="1617" spans="1:2" x14ac:dyDescent="0.25">
      <c r="A1617" s="38">
        <v>5.6646999999999998</v>
      </c>
      <c r="B1617" s="21">
        <v>45797.545473668979</v>
      </c>
    </row>
    <row r="1618" spans="1:2" x14ac:dyDescent="0.25">
      <c r="A1618" s="38">
        <v>5.6657000000000002</v>
      </c>
      <c r="B1618" s="21">
        <v>45797.507248090275</v>
      </c>
    </row>
    <row r="1619" spans="1:2" x14ac:dyDescent="0.25">
      <c r="A1619" s="38">
        <v>5.6637000000000004</v>
      </c>
      <c r="B1619" s="21">
        <v>45797.460034270836</v>
      </c>
    </row>
    <row r="1620" spans="1:2" x14ac:dyDescent="0.25">
      <c r="A1620" s="38">
        <v>5.6538000000000004</v>
      </c>
      <c r="B1620" s="21">
        <v>45797.424613194446</v>
      </c>
    </row>
    <row r="1621" spans="1:2" x14ac:dyDescent="0.25">
      <c r="A1621" s="38">
        <v>5.6590999999999996</v>
      </c>
      <c r="B1621" s="21">
        <v>45796.548250925924</v>
      </c>
    </row>
    <row r="1622" spans="1:2" x14ac:dyDescent="0.25">
      <c r="A1622" s="38">
        <v>5.6406000000000001</v>
      </c>
      <c r="B1622" s="21">
        <v>45796.548250775464</v>
      </c>
    </row>
    <row r="1623" spans="1:2" x14ac:dyDescent="0.25">
      <c r="A1623" s="38">
        <v>5.6467999999999998</v>
      </c>
      <c r="B1623" s="21">
        <v>45796.505172291669</v>
      </c>
    </row>
    <row r="1624" spans="1:2" x14ac:dyDescent="0.25">
      <c r="A1624" s="38">
        <v>5.6658999999999997</v>
      </c>
      <c r="B1624" s="21">
        <v>45796.46629945602</v>
      </c>
    </row>
    <row r="1625" spans="1:2" x14ac:dyDescent="0.25">
      <c r="A1625" s="38">
        <v>5.6829999999999998</v>
      </c>
      <c r="B1625" s="21">
        <v>45796.420488055555</v>
      </c>
    </row>
    <row r="1626" spans="1:2" x14ac:dyDescent="0.25">
      <c r="A1626" s="38">
        <v>5.6924999999999999</v>
      </c>
      <c r="B1626" s="21">
        <v>45793.543381331016</v>
      </c>
    </row>
    <row r="1627" spans="1:2" x14ac:dyDescent="0.25">
      <c r="A1627" s="38">
        <v>5.6782000000000004</v>
      </c>
      <c r="B1627" s="21">
        <v>45793.543381249998</v>
      </c>
    </row>
    <row r="1628" spans="1:2" x14ac:dyDescent="0.25">
      <c r="A1628" s="38">
        <v>5.6921999999999997</v>
      </c>
      <c r="B1628" s="21">
        <v>45793.504476921298</v>
      </c>
    </row>
    <row r="1629" spans="1:2" x14ac:dyDescent="0.25">
      <c r="A1629" s="38">
        <v>5.6878000000000002</v>
      </c>
      <c r="B1629" s="21">
        <v>45793.46557349537</v>
      </c>
    </row>
    <row r="1630" spans="1:2" x14ac:dyDescent="0.25">
      <c r="A1630" s="38">
        <v>5.7118000000000002</v>
      </c>
      <c r="B1630" s="21">
        <v>45793.421831851854</v>
      </c>
    </row>
    <row r="1631" spans="1:2" x14ac:dyDescent="0.25">
      <c r="A1631" s="38">
        <v>5.6327999999999996</v>
      </c>
      <c r="B1631" s="21">
        <v>45792.54434940972</v>
      </c>
    </row>
    <row r="1632" spans="1:2" x14ac:dyDescent="0.25">
      <c r="A1632" s="38">
        <v>5.6376999999999997</v>
      </c>
      <c r="B1632" s="21">
        <v>45792.544349328702</v>
      </c>
    </row>
    <row r="1633" spans="1:2" x14ac:dyDescent="0.25">
      <c r="A1633" s="38">
        <v>5.6414</v>
      </c>
      <c r="B1633" s="21">
        <v>45792.503775925928</v>
      </c>
    </row>
    <row r="1634" spans="1:2" x14ac:dyDescent="0.25">
      <c r="A1634" s="38">
        <v>5.6266999999999996</v>
      </c>
      <c r="B1634" s="21">
        <v>45792.46627084491</v>
      </c>
    </row>
    <row r="1635" spans="1:2" x14ac:dyDescent="0.25">
      <c r="A1635" s="38">
        <v>5.6254999999999997</v>
      </c>
      <c r="B1635" s="21">
        <v>45792.424603391206</v>
      </c>
    </row>
    <row r="1636" spans="1:2" x14ac:dyDescent="0.25">
      <c r="A1636" s="38">
        <v>5.61</v>
      </c>
      <c r="B1636" s="21">
        <v>45791.546852025465</v>
      </c>
    </row>
    <row r="1637" spans="1:2" x14ac:dyDescent="0.25">
      <c r="A1637" s="38">
        <v>5.6157000000000004</v>
      </c>
      <c r="B1637" s="21">
        <v>45791.546851909719</v>
      </c>
    </row>
    <row r="1638" spans="1:2" x14ac:dyDescent="0.25">
      <c r="A1638" s="38">
        <v>5.6212</v>
      </c>
      <c r="B1638" s="21">
        <v>45791.505857118056</v>
      </c>
    </row>
    <row r="1639" spans="1:2" x14ac:dyDescent="0.25">
      <c r="A1639" s="38">
        <v>5.6067999999999998</v>
      </c>
      <c r="B1639" s="21">
        <v>45791.463523437502</v>
      </c>
    </row>
    <row r="1640" spans="1:2" x14ac:dyDescent="0.25">
      <c r="A1640" s="38">
        <v>5.5964</v>
      </c>
      <c r="B1640" s="21">
        <v>45791.418360312498</v>
      </c>
    </row>
    <row r="1641" spans="1:2" x14ac:dyDescent="0.25">
      <c r="A1641" s="38">
        <v>5.6261999999999999</v>
      </c>
      <c r="B1641" s="21">
        <v>45790.543393078704</v>
      </c>
    </row>
    <row r="1642" spans="1:2" x14ac:dyDescent="0.25">
      <c r="A1642" s="38">
        <v>5.6041999999999996</v>
      </c>
      <c r="B1642" s="21">
        <v>45790.543393009262</v>
      </c>
    </row>
    <row r="1643" spans="1:2" x14ac:dyDescent="0.25">
      <c r="A1643" s="38">
        <v>5.6250999999999998</v>
      </c>
      <c r="B1643" s="21">
        <v>45790.507255034725</v>
      </c>
    </row>
    <row r="1644" spans="1:2" x14ac:dyDescent="0.25">
      <c r="A1644" s="38">
        <v>5.6398999999999999</v>
      </c>
      <c r="B1644" s="21">
        <v>45790.464180462965</v>
      </c>
    </row>
    <row r="1645" spans="1:2" x14ac:dyDescent="0.25">
      <c r="A1645" s="38">
        <v>5.6353999999999997</v>
      </c>
      <c r="B1645" s="21">
        <v>45790.421834270834</v>
      </c>
    </row>
    <row r="1646" spans="1:2" x14ac:dyDescent="0.25">
      <c r="A1646" s="38">
        <v>5.6821999999999999</v>
      </c>
      <c r="B1646" s="21">
        <v>45789.547126226855</v>
      </c>
    </row>
    <row r="1647" spans="1:2" x14ac:dyDescent="0.25">
      <c r="A1647" s="38">
        <v>5.6885000000000003</v>
      </c>
      <c r="B1647" s="21">
        <v>45789.547126111109</v>
      </c>
    </row>
    <row r="1648" spans="1:2" x14ac:dyDescent="0.25">
      <c r="A1648" s="38">
        <v>5.6830999999999996</v>
      </c>
      <c r="B1648" s="21">
        <v>45789.50447738426</v>
      </c>
    </row>
    <row r="1649" spans="1:2" x14ac:dyDescent="0.25">
      <c r="A1649" s="38">
        <v>5.6830999999999996</v>
      </c>
      <c r="B1649" s="21">
        <v>45789.464887037037</v>
      </c>
    </row>
    <row r="1650" spans="1:2" x14ac:dyDescent="0.25">
      <c r="A1650" s="38">
        <v>5.6741000000000001</v>
      </c>
      <c r="B1650" s="21">
        <v>45789.420451805556</v>
      </c>
    </row>
    <row r="1651" spans="1:2" x14ac:dyDescent="0.25">
      <c r="A1651" s="38">
        <v>5.6510999999999996</v>
      </c>
      <c r="B1651" s="21">
        <v>45786.547556736114</v>
      </c>
    </row>
    <row r="1652" spans="1:2" x14ac:dyDescent="0.25">
      <c r="A1652" s="38">
        <v>5.6483999999999996</v>
      </c>
      <c r="B1652" s="21">
        <v>45786.547556655096</v>
      </c>
    </row>
    <row r="1653" spans="1:2" x14ac:dyDescent="0.25">
      <c r="A1653" s="38">
        <v>5.6463000000000001</v>
      </c>
      <c r="B1653" s="21">
        <v>45786.502382129627</v>
      </c>
    </row>
    <row r="1654" spans="1:2" x14ac:dyDescent="0.25">
      <c r="A1654" s="38">
        <v>5.6532999999999998</v>
      </c>
      <c r="B1654" s="21">
        <v>45786.466262060188</v>
      </c>
    </row>
    <row r="1655" spans="1:2" x14ac:dyDescent="0.25">
      <c r="A1655" s="38">
        <v>5.6563999999999997</v>
      </c>
      <c r="B1655" s="21">
        <v>45786.418356967595</v>
      </c>
    </row>
    <row r="1656" spans="1:2" x14ac:dyDescent="0.25">
      <c r="A1656" s="38">
        <v>5.6859999999999999</v>
      </c>
      <c r="B1656" s="21">
        <v>45785.546159884259</v>
      </c>
    </row>
    <row r="1657" spans="1:2" x14ac:dyDescent="0.25">
      <c r="A1657" s="38">
        <v>5.6820000000000004</v>
      </c>
      <c r="B1657" s="21">
        <v>45785.546159803242</v>
      </c>
    </row>
    <row r="1658" spans="1:2" x14ac:dyDescent="0.25">
      <c r="A1658" s="38">
        <v>5.6771000000000003</v>
      </c>
      <c r="B1658" s="21">
        <v>45785.504453738424</v>
      </c>
    </row>
    <row r="1659" spans="1:2" x14ac:dyDescent="0.25">
      <c r="A1659" s="38">
        <v>5.6877000000000004</v>
      </c>
      <c r="B1659" s="21">
        <v>45785.46279740741</v>
      </c>
    </row>
    <row r="1660" spans="1:2" x14ac:dyDescent="0.25">
      <c r="A1660" s="38">
        <v>5.6971999999999996</v>
      </c>
      <c r="B1660" s="21">
        <v>45785.41903892361</v>
      </c>
    </row>
    <row r="1661" spans="1:2" x14ac:dyDescent="0.25">
      <c r="A1661" s="38">
        <v>5.7374999999999998</v>
      </c>
      <c r="B1661" s="21">
        <v>45784.548223368052</v>
      </c>
    </row>
    <row r="1662" spans="1:2" x14ac:dyDescent="0.25">
      <c r="A1662" s="38">
        <v>5.7461000000000002</v>
      </c>
      <c r="B1662" s="21">
        <v>45784.548223298611</v>
      </c>
    </row>
    <row r="1663" spans="1:2" x14ac:dyDescent="0.25">
      <c r="A1663" s="38">
        <v>5.7298999999999998</v>
      </c>
      <c r="B1663" s="21">
        <v>45784.505826064815</v>
      </c>
    </row>
    <row r="1664" spans="1:2" x14ac:dyDescent="0.25">
      <c r="A1664" s="38">
        <v>5.7409999999999997</v>
      </c>
      <c r="B1664" s="21">
        <v>45784.460725266203</v>
      </c>
    </row>
    <row r="1665" spans="1:2" x14ac:dyDescent="0.25">
      <c r="A1665" s="38">
        <v>5.7328000000000001</v>
      </c>
      <c r="B1665" s="21">
        <v>45784.419756469906</v>
      </c>
    </row>
    <row r="1666" spans="1:2" x14ac:dyDescent="0.25">
      <c r="A1666" s="38">
        <v>5.7210000000000001</v>
      </c>
      <c r="B1666" s="21">
        <v>45783.544047256946</v>
      </c>
    </row>
    <row r="1667" spans="1:2" x14ac:dyDescent="0.25">
      <c r="A1667" s="38">
        <v>5.7249999999999996</v>
      </c>
      <c r="B1667" s="21">
        <v>45783.544047129632</v>
      </c>
    </row>
    <row r="1668" spans="1:2" x14ac:dyDescent="0.25">
      <c r="A1668" s="38">
        <v>5.7117000000000004</v>
      </c>
      <c r="B1668" s="21">
        <v>45783.507931956017</v>
      </c>
    </row>
    <row r="1669" spans="1:2" x14ac:dyDescent="0.25">
      <c r="A1669" s="38">
        <v>5.7328000000000001</v>
      </c>
      <c r="B1669" s="21">
        <v>45783.464876238424</v>
      </c>
    </row>
    <row r="1670" spans="1:2" x14ac:dyDescent="0.25">
      <c r="A1670" s="38">
        <v>5.7144000000000004</v>
      </c>
      <c r="B1670" s="21">
        <v>45783.4239259838</v>
      </c>
    </row>
    <row r="1671" spans="1:2" x14ac:dyDescent="0.25">
      <c r="A1671" s="38">
        <v>5.6520000000000001</v>
      </c>
      <c r="B1671" s="21">
        <v>45782.54824773148</v>
      </c>
    </row>
    <row r="1672" spans="1:2" x14ac:dyDescent="0.25">
      <c r="A1672" s="38">
        <v>5.6680999999999999</v>
      </c>
      <c r="B1672" s="21">
        <v>45782.548247615741</v>
      </c>
    </row>
    <row r="1673" spans="1:2" x14ac:dyDescent="0.25">
      <c r="A1673" s="38">
        <v>5.6551999999999998</v>
      </c>
      <c r="B1673" s="21">
        <v>45782.502419479169</v>
      </c>
    </row>
    <row r="1674" spans="1:2" x14ac:dyDescent="0.25">
      <c r="A1674" s="38">
        <v>5.6478000000000002</v>
      </c>
      <c r="B1674" s="21">
        <v>45782.463515671298</v>
      </c>
    </row>
    <row r="1675" spans="1:2" x14ac:dyDescent="0.25">
      <c r="A1675" s="38">
        <v>5.6367000000000003</v>
      </c>
      <c r="B1675" s="21">
        <v>45782.418397638889</v>
      </c>
    </row>
    <row r="1676" spans="1:2" x14ac:dyDescent="0.25">
      <c r="A1676" s="38">
        <v>5.6394000000000002</v>
      </c>
      <c r="B1676" s="21">
        <v>45779.548925277777</v>
      </c>
    </row>
    <row r="1677" spans="1:2" x14ac:dyDescent="0.25">
      <c r="A1677" s="38">
        <v>5.6478000000000002</v>
      </c>
      <c r="B1677" s="21">
        <v>45779.548925219904</v>
      </c>
    </row>
    <row r="1678" spans="1:2" x14ac:dyDescent="0.25">
      <c r="A1678" s="38">
        <v>5.6333000000000002</v>
      </c>
      <c r="B1678" s="21">
        <v>45779.503082766205</v>
      </c>
    </row>
    <row r="1679" spans="1:2" x14ac:dyDescent="0.25">
      <c r="A1679" s="38">
        <v>5.6348000000000003</v>
      </c>
      <c r="B1679" s="21">
        <v>45779.462107893516</v>
      </c>
    </row>
    <row r="1680" spans="1:2" x14ac:dyDescent="0.25">
      <c r="A1680" s="38">
        <v>5.6417999999999999</v>
      </c>
      <c r="B1680" s="21">
        <v>45779.421825787038</v>
      </c>
    </row>
    <row r="1681" spans="1:2" x14ac:dyDescent="0.25">
      <c r="A1681" s="38">
        <v>5.6608000000000001</v>
      </c>
      <c r="B1681" s="21">
        <v>45777.549628981484</v>
      </c>
    </row>
    <row r="1682" spans="1:2" x14ac:dyDescent="0.25">
      <c r="A1682" s="38">
        <v>5.6658999999999997</v>
      </c>
      <c r="B1682" s="21">
        <v>45777.549628923611</v>
      </c>
    </row>
    <row r="1683" spans="1:2" x14ac:dyDescent="0.25">
      <c r="A1683" s="38">
        <v>5.6616999999999997</v>
      </c>
      <c r="B1683" s="21">
        <v>45777.505156932872</v>
      </c>
    </row>
    <row r="1684" spans="1:2" x14ac:dyDescent="0.25">
      <c r="A1684" s="38">
        <v>5.6665999999999999</v>
      </c>
      <c r="B1684" s="21">
        <v>45777.462098229167</v>
      </c>
    </row>
    <row r="1685" spans="1:2" x14ac:dyDescent="0.25">
      <c r="A1685" s="38">
        <v>5.649</v>
      </c>
      <c r="B1685" s="21">
        <v>45777.423911909726</v>
      </c>
    </row>
    <row r="1686" spans="1:2" x14ac:dyDescent="0.25">
      <c r="A1686" s="38">
        <v>5.6467000000000001</v>
      </c>
      <c r="B1686" s="21">
        <v>45776.545485543982</v>
      </c>
    </row>
    <row r="1687" spans="1:2" x14ac:dyDescent="0.25">
      <c r="A1687" s="38">
        <v>5.6344000000000003</v>
      </c>
      <c r="B1687" s="21">
        <v>45776.54548547454</v>
      </c>
    </row>
    <row r="1688" spans="1:2" x14ac:dyDescent="0.25">
      <c r="A1688" s="38">
        <v>5.6429999999999998</v>
      </c>
      <c r="B1688" s="21">
        <v>45776.507550312497</v>
      </c>
    </row>
    <row r="1689" spans="1:2" x14ac:dyDescent="0.25">
      <c r="A1689" s="38">
        <v>5.6508000000000003</v>
      </c>
      <c r="B1689" s="21">
        <v>45776.463732638891</v>
      </c>
    </row>
    <row r="1690" spans="1:2" x14ac:dyDescent="0.25">
      <c r="A1690" s="38">
        <v>5.6586999999999996</v>
      </c>
      <c r="B1690" s="21">
        <v>45776.423206585649</v>
      </c>
    </row>
    <row r="1691" spans="1:2" x14ac:dyDescent="0.25">
      <c r="A1691" s="38">
        <v>5.6680999999999999</v>
      </c>
      <c r="B1691" s="21">
        <v>45775.544749745372</v>
      </c>
    </row>
    <row r="1692" spans="1:2" x14ac:dyDescent="0.25">
      <c r="A1692" s="38">
        <v>5.6802000000000001</v>
      </c>
      <c r="B1692" s="21">
        <v>45775.544749652778</v>
      </c>
    </row>
    <row r="1693" spans="1:2" x14ac:dyDescent="0.25">
      <c r="A1693" s="38">
        <v>5.6737000000000002</v>
      </c>
      <c r="B1693" s="21">
        <v>45775.504476226852</v>
      </c>
    </row>
    <row r="1694" spans="1:2" x14ac:dyDescent="0.25">
      <c r="A1694" s="38">
        <v>5.6512000000000002</v>
      </c>
      <c r="B1694" s="21">
        <v>45775.460058865741</v>
      </c>
    </row>
    <row r="1695" spans="1:2" x14ac:dyDescent="0.25">
      <c r="A1695" s="38">
        <v>5.6673999999999998</v>
      </c>
      <c r="B1695" s="21">
        <v>45775.423225115737</v>
      </c>
    </row>
    <row r="1696" spans="1:2" x14ac:dyDescent="0.25">
      <c r="A1696" s="38">
        <v>5.6845999999999997</v>
      </c>
      <c r="B1696" s="21">
        <v>45772.548224444443</v>
      </c>
    </row>
    <row r="1697" spans="1:2" x14ac:dyDescent="0.25">
      <c r="A1697" s="38">
        <v>5.6814</v>
      </c>
      <c r="B1697" s="21">
        <v>45772.548224386577</v>
      </c>
    </row>
    <row r="1698" spans="1:2" x14ac:dyDescent="0.25">
      <c r="A1698" s="38">
        <v>5.6853999999999996</v>
      </c>
      <c r="B1698" s="21">
        <v>45772.507249097223</v>
      </c>
    </row>
    <row r="1699" spans="1:2" x14ac:dyDescent="0.25">
      <c r="A1699" s="38">
        <v>5.6856999999999998</v>
      </c>
      <c r="B1699" s="21">
        <v>45772.465573113426</v>
      </c>
    </row>
    <row r="1700" spans="1:2" x14ac:dyDescent="0.25">
      <c r="A1700" s="38">
        <v>5.6859999999999999</v>
      </c>
      <c r="B1700" s="21">
        <v>45772.419733009257</v>
      </c>
    </row>
    <row r="1701" spans="1:2" x14ac:dyDescent="0.25">
      <c r="A1701" s="38">
        <v>5.6738</v>
      </c>
      <c r="B1701" s="21">
        <v>45771.544787488427</v>
      </c>
    </row>
    <row r="1702" spans="1:2" x14ac:dyDescent="0.25">
      <c r="A1702" s="38">
        <v>5.6699000000000002</v>
      </c>
      <c r="B1702" s="21">
        <v>45771.544787407409</v>
      </c>
    </row>
    <row r="1703" spans="1:2" x14ac:dyDescent="0.25">
      <c r="A1703" s="38">
        <v>5.6714000000000002</v>
      </c>
      <c r="B1703" s="21">
        <v>45771.504462685189</v>
      </c>
    </row>
    <row r="1704" spans="1:2" x14ac:dyDescent="0.25">
      <c r="A1704" s="38">
        <v>5.6792999999999996</v>
      </c>
      <c r="B1704" s="21">
        <v>45771.466283541668</v>
      </c>
    </row>
    <row r="1705" spans="1:2" x14ac:dyDescent="0.25">
      <c r="A1705" s="38">
        <v>5.6746999999999996</v>
      </c>
      <c r="B1705" s="21">
        <v>45771.420461527778</v>
      </c>
    </row>
    <row r="1706" spans="1:2" x14ac:dyDescent="0.25">
      <c r="A1706" s="38">
        <v>5.6879999999999997</v>
      </c>
      <c r="B1706" s="21">
        <v>45770.54618568287</v>
      </c>
    </row>
    <row r="1707" spans="1:2" x14ac:dyDescent="0.25">
      <c r="A1707" s="38">
        <v>5.6977000000000002</v>
      </c>
      <c r="B1707" s="21">
        <v>45770.546185601852</v>
      </c>
    </row>
    <row r="1708" spans="1:2" x14ac:dyDescent="0.25">
      <c r="A1708" s="38">
        <v>5.6879999999999997</v>
      </c>
      <c r="B1708" s="21">
        <v>45770.546185370367</v>
      </c>
    </row>
    <row r="1709" spans="1:2" x14ac:dyDescent="0.25">
      <c r="A1709" s="38">
        <v>5.6910999999999996</v>
      </c>
      <c r="B1709" s="21">
        <v>45770.503760844906</v>
      </c>
    </row>
    <row r="1710" spans="1:2" x14ac:dyDescent="0.25">
      <c r="A1710" s="38">
        <v>5.6805000000000003</v>
      </c>
      <c r="B1710" s="21">
        <v>45770.460716759262</v>
      </c>
    </row>
    <row r="1711" spans="1:2" x14ac:dyDescent="0.25">
      <c r="A1711" s="38">
        <v>5.6826999999999996</v>
      </c>
      <c r="B1711" s="21">
        <v>45770.420617476855</v>
      </c>
    </row>
    <row r="1712" spans="1:2" x14ac:dyDescent="0.25">
      <c r="A1712" s="38">
        <v>5.7496</v>
      </c>
      <c r="B1712" s="21">
        <v>45769.548329039353</v>
      </c>
    </row>
    <row r="1713" spans="1:2" x14ac:dyDescent="0.25">
      <c r="A1713" s="38">
        <v>5.7343999999999999</v>
      </c>
      <c r="B1713" s="21">
        <v>45769.54832898148</v>
      </c>
    </row>
    <row r="1714" spans="1:2" x14ac:dyDescent="0.25">
      <c r="A1714" s="38">
        <v>5.7465999999999999</v>
      </c>
      <c r="B1714" s="21">
        <v>45769.503778009261</v>
      </c>
    </row>
    <row r="1715" spans="1:2" x14ac:dyDescent="0.25">
      <c r="A1715" s="38">
        <v>5.7518000000000002</v>
      </c>
      <c r="B1715" s="21">
        <v>45769.466268796299</v>
      </c>
    </row>
    <row r="1716" spans="1:2" x14ac:dyDescent="0.25">
      <c r="A1716" s="38">
        <v>5.7653999999999996</v>
      </c>
      <c r="B1716" s="21">
        <v>45769.423061215275</v>
      </c>
    </row>
    <row r="1717" spans="1:2" x14ac:dyDescent="0.25">
      <c r="A1717" s="38">
        <v>5.8559000000000001</v>
      </c>
      <c r="B1717" s="21">
        <v>45764.54987923611</v>
      </c>
    </row>
    <row r="1718" spans="1:2" x14ac:dyDescent="0.25">
      <c r="A1718" s="38">
        <v>5.8266</v>
      </c>
      <c r="B1718" s="21">
        <v>45764.549879166669</v>
      </c>
    </row>
    <row r="1719" spans="1:2" x14ac:dyDescent="0.25">
      <c r="A1719" s="38">
        <v>5.8574000000000002</v>
      </c>
      <c r="B1719" s="21">
        <v>45764.505161261572</v>
      </c>
    </row>
    <row r="1720" spans="1:2" x14ac:dyDescent="0.25">
      <c r="A1720" s="38">
        <v>5.8579999999999997</v>
      </c>
      <c r="B1720" s="21">
        <v>45764.461406030096</v>
      </c>
    </row>
    <row r="1721" spans="1:2" x14ac:dyDescent="0.25">
      <c r="A1721" s="38">
        <v>5.8815</v>
      </c>
      <c r="B1721" s="21">
        <v>45764.42183871528</v>
      </c>
    </row>
    <row r="1722" spans="1:2" x14ac:dyDescent="0.25">
      <c r="A1722" s="38">
        <v>5.8807999999999998</v>
      </c>
      <c r="B1722" s="21">
        <v>45763.548939178239</v>
      </c>
    </row>
    <row r="1723" spans="1:2" x14ac:dyDescent="0.25">
      <c r="A1723" s="38">
        <v>5.8621999999999996</v>
      </c>
      <c r="B1723" s="21">
        <v>45763.548939085646</v>
      </c>
    </row>
    <row r="1724" spans="1:2" x14ac:dyDescent="0.25">
      <c r="A1724" s="38">
        <v>5.8811999999999998</v>
      </c>
      <c r="B1724" s="21">
        <v>45763.503775347221</v>
      </c>
    </row>
    <row r="1725" spans="1:2" x14ac:dyDescent="0.25">
      <c r="A1725" s="38">
        <v>5.8760000000000003</v>
      </c>
      <c r="B1725" s="21">
        <v>45763.463492233794</v>
      </c>
    </row>
    <row r="1726" spans="1:2" x14ac:dyDescent="0.25">
      <c r="A1726" s="38">
        <v>5.9036999999999997</v>
      </c>
      <c r="B1726" s="21">
        <v>45763.418354965281</v>
      </c>
    </row>
    <row r="1727" spans="1:2" x14ac:dyDescent="0.25">
      <c r="A1727" s="38">
        <v>5.8707000000000003</v>
      </c>
      <c r="B1727" s="21">
        <v>45762.546844189812</v>
      </c>
    </row>
    <row r="1728" spans="1:2" x14ac:dyDescent="0.25">
      <c r="A1728" s="38">
        <v>5.8848000000000003</v>
      </c>
      <c r="B1728" s="21">
        <v>45762.546844108794</v>
      </c>
    </row>
    <row r="1729" spans="1:2" x14ac:dyDescent="0.25">
      <c r="A1729" s="38">
        <v>5.8783000000000003</v>
      </c>
      <c r="B1729" s="21">
        <v>45762.502393043978</v>
      </c>
    </row>
    <row r="1730" spans="1:2" x14ac:dyDescent="0.25">
      <c r="A1730" s="38">
        <v>5.8636999999999997</v>
      </c>
      <c r="B1730" s="21">
        <v>45762.462804189818</v>
      </c>
    </row>
    <row r="1731" spans="1:2" x14ac:dyDescent="0.25">
      <c r="A1731" s="38">
        <v>5.8559000000000001</v>
      </c>
      <c r="B1731" s="21">
        <v>45762.421832777778</v>
      </c>
    </row>
    <row r="1732" spans="1:2" x14ac:dyDescent="0.25">
      <c r="A1732" s="38">
        <v>5.8425000000000002</v>
      </c>
      <c r="B1732" s="21">
        <v>45761.548478090277</v>
      </c>
    </row>
    <row r="1733" spans="1:2" x14ac:dyDescent="0.25">
      <c r="A1733" s="38">
        <v>5.8643999999999998</v>
      </c>
      <c r="B1733" s="21">
        <v>45761.548477986114</v>
      </c>
    </row>
    <row r="1734" spans="1:2" x14ac:dyDescent="0.25">
      <c r="A1734" s="38">
        <v>5.8391999999999999</v>
      </c>
      <c r="B1734" s="21">
        <v>45761.505874548609</v>
      </c>
    </row>
    <row r="1735" spans="1:2" x14ac:dyDescent="0.25">
      <c r="A1735" s="38">
        <v>5.8301999999999996</v>
      </c>
      <c r="B1735" s="21">
        <v>45761.463498773148</v>
      </c>
    </row>
    <row r="1736" spans="1:2" x14ac:dyDescent="0.25">
      <c r="A1736" s="38">
        <v>5.8360000000000003</v>
      </c>
      <c r="B1736" s="21">
        <v>45761.4239643287</v>
      </c>
    </row>
    <row r="1737" spans="1:2" x14ac:dyDescent="0.25">
      <c r="A1737" s="38">
        <v>5.8737000000000004</v>
      </c>
      <c r="B1737" s="21">
        <v>45758.547543599539</v>
      </c>
    </row>
    <row r="1738" spans="1:2" x14ac:dyDescent="0.25">
      <c r="A1738" s="38">
        <v>5.8627000000000002</v>
      </c>
      <c r="B1738" s="21">
        <v>45758.547543518522</v>
      </c>
    </row>
    <row r="1739" spans="1:2" x14ac:dyDescent="0.25">
      <c r="A1739" s="38">
        <v>5.8888999999999996</v>
      </c>
      <c r="B1739" s="21">
        <v>45758.501938541667</v>
      </c>
    </row>
    <row r="1740" spans="1:2" x14ac:dyDescent="0.25">
      <c r="A1740" s="38">
        <v>5.8859000000000004</v>
      </c>
      <c r="B1740" s="21">
        <v>45758.462105474537</v>
      </c>
    </row>
    <row r="1741" spans="1:2" x14ac:dyDescent="0.25">
      <c r="A1741" s="38">
        <v>5.8573000000000004</v>
      </c>
      <c r="B1741" s="21">
        <v>45758.420424872682</v>
      </c>
    </row>
    <row r="1742" spans="1:2" x14ac:dyDescent="0.25">
      <c r="A1742" s="38">
        <v>5.9115000000000002</v>
      </c>
      <c r="B1742" s="21">
        <v>45757.548236331022</v>
      </c>
    </row>
    <row r="1743" spans="1:2" x14ac:dyDescent="0.25">
      <c r="A1743" s="38">
        <v>5.9389000000000003</v>
      </c>
      <c r="B1743" s="21">
        <v>45757.548236273149</v>
      </c>
    </row>
    <row r="1744" spans="1:2" x14ac:dyDescent="0.25">
      <c r="A1744" s="38">
        <v>5.9238</v>
      </c>
      <c r="B1744" s="21">
        <v>45757.501708043979</v>
      </c>
    </row>
    <row r="1745" spans="1:2" x14ac:dyDescent="0.25">
      <c r="A1745" s="38">
        <v>5.8943000000000003</v>
      </c>
      <c r="B1745" s="21">
        <v>45757.462810590281</v>
      </c>
    </row>
    <row r="1746" spans="1:2" x14ac:dyDescent="0.25">
      <c r="A1746" s="38">
        <v>5.8887999999999998</v>
      </c>
      <c r="B1746" s="21">
        <v>45757.41975277778</v>
      </c>
    </row>
    <row r="1747" spans="1:2" x14ac:dyDescent="0.25">
      <c r="A1747" s="38">
        <v>6.0605000000000002</v>
      </c>
      <c r="B1747" s="21">
        <v>45756.54585159722</v>
      </c>
    </row>
    <row r="1748" spans="1:2" x14ac:dyDescent="0.25">
      <c r="A1748" s="38">
        <v>6.0456000000000003</v>
      </c>
      <c r="B1748" s="21">
        <v>45756.545851527779</v>
      </c>
    </row>
    <row r="1749" spans="1:2" x14ac:dyDescent="0.25">
      <c r="A1749" s="38">
        <v>6.0605000000000002</v>
      </c>
      <c r="B1749" s="21">
        <v>45756.504474189816</v>
      </c>
    </row>
    <row r="1750" spans="1:2" x14ac:dyDescent="0.25">
      <c r="A1750" s="38">
        <v>6.06</v>
      </c>
      <c r="B1750" s="21">
        <v>45756.465601759257</v>
      </c>
    </row>
    <row r="1751" spans="1:2" x14ac:dyDescent="0.25">
      <c r="A1751" s="38">
        <v>6.0758999999999999</v>
      </c>
      <c r="B1751" s="21">
        <v>45756.423230972221</v>
      </c>
    </row>
    <row r="1752" spans="1:2" x14ac:dyDescent="0.25">
      <c r="A1752" s="38">
        <v>5.9367999999999999</v>
      </c>
      <c r="B1752" s="21">
        <v>45755.54491986111</v>
      </c>
    </row>
    <row r="1753" spans="1:2" x14ac:dyDescent="0.25">
      <c r="A1753" s="38">
        <v>5.9911000000000003</v>
      </c>
      <c r="B1753" s="21">
        <v>45755.544919768516</v>
      </c>
    </row>
    <row r="1754" spans="1:2" x14ac:dyDescent="0.25">
      <c r="A1754" s="38">
        <v>5.9615</v>
      </c>
      <c r="B1754" s="21">
        <v>45755.507265439817</v>
      </c>
    </row>
    <row r="1755" spans="1:2" x14ac:dyDescent="0.25">
      <c r="A1755" s="38">
        <v>5.8869999999999996</v>
      </c>
      <c r="B1755" s="21">
        <v>45755.462801041664</v>
      </c>
    </row>
    <row r="1756" spans="1:2" x14ac:dyDescent="0.25">
      <c r="A1756" s="38">
        <v>5.9076000000000004</v>
      </c>
      <c r="B1756" s="21">
        <v>45755.423922083333</v>
      </c>
    </row>
    <row r="1757" spans="1:2" x14ac:dyDescent="0.25">
      <c r="A1757" s="38">
        <v>5.8876999999999997</v>
      </c>
      <c r="B1757" s="21">
        <v>45754.548242858793</v>
      </c>
    </row>
    <row r="1758" spans="1:2" x14ac:dyDescent="0.25">
      <c r="A1758" s="38">
        <v>5.9280999999999997</v>
      </c>
      <c r="B1758" s="21">
        <v>45754.548242766206</v>
      </c>
    </row>
    <row r="1759" spans="1:2" x14ac:dyDescent="0.25">
      <c r="A1759" s="38">
        <v>5.8714000000000004</v>
      </c>
      <c r="B1759" s="21">
        <v>45754.508164629631</v>
      </c>
    </row>
    <row r="1760" spans="1:2" x14ac:dyDescent="0.25">
      <c r="A1760" s="38">
        <v>5.8845000000000001</v>
      </c>
      <c r="B1760" s="21">
        <v>45754.460727581019</v>
      </c>
    </row>
    <row r="1761" spans="1:2" x14ac:dyDescent="0.25">
      <c r="A1761" s="38">
        <v>5.8667999999999996</v>
      </c>
      <c r="B1761" s="21">
        <v>45754.418851284725</v>
      </c>
    </row>
    <row r="1762" spans="1:2" x14ac:dyDescent="0.25">
      <c r="A1762" s="38">
        <v>5.7777000000000003</v>
      </c>
      <c r="B1762" s="21">
        <v>45751.54685796296</v>
      </c>
    </row>
    <row r="1763" spans="1:2" x14ac:dyDescent="0.25">
      <c r="A1763" s="38">
        <v>5.8049999999999997</v>
      </c>
      <c r="B1763" s="21">
        <v>45751.546857893518</v>
      </c>
    </row>
    <row r="1764" spans="1:2" x14ac:dyDescent="0.25">
      <c r="A1764" s="38">
        <v>5.7976000000000001</v>
      </c>
      <c r="B1764" s="21">
        <v>45751.507962974538</v>
      </c>
    </row>
    <row r="1765" spans="1:2" x14ac:dyDescent="0.25">
      <c r="A1765" s="38">
        <v>5.7786</v>
      </c>
      <c r="B1765" s="21">
        <v>45751.466278159722</v>
      </c>
    </row>
    <row r="1766" spans="1:2" x14ac:dyDescent="0.25">
      <c r="A1766" s="38">
        <v>5.7297000000000002</v>
      </c>
      <c r="B1766" s="21">
        <v>45751.42045888889</v>
      </c>
    </row>
    <row r="1767" spans="1:2" x14ac:dyDescent="0.25">
      <c r="A1767" s="38">
        <v>5.6067</v>
      </c>
      <c r="B1767" s="21">
        <v>45750.544071249999</v>
      </c>
    </row>
    <row r="1768" spans="1:2" x14ac:dyDescent="0.25">
      <c r="A1768" s="38">
        <v>5.6037999999999997</v>
      </c>
      <c r="B1768" s="21">
        <v>45750.544071145836</v>
      </c>
    </row>
    <row r="1769" spans="1:2" x14ac:dyDescent="0.25">
      <c r="A1769" s="38">
        <v>5.6002000000000001</v>
      </c>
      <c r="B1769" s="21">
        <v>45750.507946493053</v>
      </c>
    </row>
    <row r="1770" spans="1:2" x14ac:dyDescent="0.25">
      <c r="A1770" s="38">
        <v>5.6</v>
      </c>
      <c r="B1770" s="21">
        <v>45750.464192256943</v>
      </c>
    </row>
    <row r="1771" spans="1:2" x14ac:dyDescent="0.25">
      <c r="A1771" s="38">
        <v>5.6228999999999996</v>
      </c>
      <c r="B1771" s="21">
        <v>45750.422533622688</v>
      </c>
    </row>
    <row r="1772" spans="1:2" x14ac:dyDescent="0.25">
      <c r="A1772" s="38">
        <v>5.6923000000000004</v>
      </c>
      <c r="B1772" s="21">
        <v>45749.543402106479</v>
      </c>
    </row>
    <row r="1773" spans="1:2" x14ac:dyDescent="0.25">
      <c r="A1773" s="38">
        <v>5.7005999999999997</v>
      </c>
      <c r="B1773" s="21">
        <v>45749.543402025462</v>
      </c>
    </row>
    <row r="1774" spans="1:2" x14ac:dyDescent="0.25">
      <c r="A1774" s="38">
        <v>5.7069000000000001</v>
      </c>
      <c r="B1774" s="21">
        <v>45749.505176597224</v>
      </c>
    </row>
    <row r="1775" spans="1:2" x14ac:dyDescent="0.25">
      <c r="A1775" s="38">
        <v>5.6871999999999998</v>
      </c>
      <c r="B1775" s="21">
        <v>45749.460029178241</v>
      </c>
    </row>
    <row r="1776" spans="1:2" x14ac:dyDescent="0.25">
      <c r="A1776" s="38">
        <v>5.6745999999999999</v>
      </c>
      <c r="B1776" s="21">
        <v>45749.420449398145</v>
      </c>
    </row>
    <row r="1777" spans="1:2" x14ac:dyDescent="0.25">
      <c r="A1777" s="38">
        <v>5.7050999999999998</v>
      </c>
      <c r="B1777" s="21">
        <v>45748.546869826387</v>
      </c>
    </row>
    <row r="1778" spans="1:2" x14ac:dyDescent="0.25">
      <c r="A1778" s="38">
        <v>5.6871999999999998</v>
      </c>
      <c r="B1778" s="21">
        <v>45748.546869745369</v>
      </c>
    </row>
    <row r="1779" spans="1:2" x14ac:dyDescent="0.25">
      <c r="A1779" s="38">
        <v>5.6889000000000003</v>
      </c>
      <c r="B1779" s="21">
        <v>45748.505168298609</v>
      </c>
    </row>
    <row r="1780" spans="1:2" x14ac:dyDescent="0.25">
      <c r="A1780" s="38">
        <v>5.7157</v>
      </c>
      <c r="B1780" s="21">
        <v>45748.463529537039</v>
      </c>
    </row>
    <row r="1781" spans="1:2" x14ac:dyDescent="0.25">
      <c r="A1781" s="38">
        <v>5.7283999999999997</v>
      </c>
      <c r="B1781" s="21">
        <v>45748.421139548613</v>
      </c>
    </row>
    <row r="1782" spans="1:2" x14ac:dyDescent="0.25">
      <c r="A1782" s="38">
        <v>5.7422000000000004</v>
      </c>
      <c r="B1782" s="21">
        <v>45747.54962391204</v>
      </c>
    </row>
    <row r="1783" spans="1:2" x14ac:dyDescent="0.25">
      <c r="A1783" s="38">
        <v>5.7336</v>
      </c>
      <c r="B1783" s="21">
        <v>45747.549623842591</v>
      </c>
    </row>
    <row r="1784" spans="1:2" x14ac:dyDescent="0.25">
      <c r="A1784" s="38">
        <v>5.7286000000000001</v>
      </c>
      <c r="B1784" s="21">
        <v>45747.504480636577</v>
      </c>
    </row>
    <row r="1785" spans="1:2" x14ac:dyDescent="0.25">
      <c r="A1785" s="38">
        <v>5.7460000000000004</v>
      </c>
      <c r="B1785" s="21">
        <v>45747.460714629633</v>
      </c>
    </row>
    <row r="1786" spans="1:2" x14ac:dyDescent="0.25">
      <c r="A1786" s="38">
        <v>5.7605000000000004</v>
      </c>
      <c r="B1786" s="21">
        <v>45747.421835358793</v>
      </c>
    </row>
    <row r="1787" spans="1:2" x14ac:dyDescent="0.25">
      <c r="A1787" s="38">
        <v>5.766</v>
      </c>
      <c r="B1787" s="21">
        <v>45744.543433900464</v>
      </c>
    </row>
    <row r="1788" spans="1:2" x14ac:dyDescent="0.25">
      <c r="A1788" s="38">
        <v>5.7679</v>
      </c>
      <c r="B1788" s="21">
        <v>45744.543433831015</v>
      </c>
    </row>
    <row r="1789" spans="1:2" x14ac:dyDescent="0.25">
      <c r="A1789" s="38">
        <v>5.7695999999999996</v>
      </c>
      <c r="B1789" s="21">
        <v>45744.507250925926</v>
      </c>
    </row>
    <row r="1790" spans="1:2" x14ac:dyDescent="0.25">
      <c r="A1790" s="38">
        <v>5.7564000000000002</v>
      </c>
      <c r="B1790" s="21">
        <v>45744.464638263889</v>
      </c>
    </row>
    <row r="1791" spans="1:2" x14ac:dyDescent="0.25">
      <c r="A1791" s="38">
        <v>5.7698999999999998</v>
      </c>
      <c r="B1791" s="21">
        <v>45744.41905542824</v>
      </c>
    </row>
    <row r="1792" spans="1:2" x14ac:dyDescent="0.25">
      <c r="A1792" s="38">
        <v>5.7473999999999998</v>
      </c>
      <c r="B1792" s="21">
        <v>45743.544509791667</v>
      </c>
    </row>
    <row r="1793" spans="1:2" x14ac:dyDescent="0.25">
      <c r="A1793" s="38">
        <v>5.7363999999999997</v>
      </c>
      <c r="B1793" s="21">
        <v>45743.544509710649</v>
      </c>
    </row>
    <row r="1794" spans="1:2" x14ac:dyDescent="0.25">
      <c r="A1794" s="38">
        <v>5.7416</v>
      </c>
      <c r="B1794" s="21">
        <v>45743.503791446761</v>
      </c>
    </row>
    <row r="1795" spans="1:2" x14ac:dyDescent="0.25">
      <c r="A1795" s="38">
        <v>5.7537000000000003</v>
      </c>
      <c r="B1795" s="21">
        <v>45743.466263379632</v>
      </c>
    </row>
    <row r="1796" spans="1:2" x14ac:dyDescent="0.25">
      <c r="A1796" s="38">
        <v>5.7577999999999996</v>
      </c>
      <c r="B1796" s="21">
        <v>45743.418372731481</v>
      </c>
    </row>
    <row r="1797" spans="1:2" x14ac:dyDescent="0.25">
      <c r="A1797" s="38">
        <v>5.7298</v>
      </c>
      <c r="B1797" s="21">
        <v>45742.545737592591</v>
      </c>
    </row>
    <row r="1798" spans="1:2" x14ac:dyDescent="0.25">
      <c r="A1798" s="38">
        <v>5.7370000000000001</v>
      </c>
      <c r="B1798" s="21">
        <v>45742.545737488428</v>
      </c>
    </row>
    <row r="1799" spans="1:2" x14ac:dyDescent="0.25">
      <c r="A1799" s="38">
        <v>5.7267000000000001</v>
      </c>
      <c r="B1799" s="21">
        <v>45742.505153368053</v>
      </c>
    </row>
    <row r="1800" spans="1:2" x14ac:dyDescent="0.25">
      <c r="A1800" s="38">
        <v>5.7297000000000002</v>
      </c>
      <c r="B1800" s="21">
        <v>45742.460705671299</v>
      </c>
    </row>
    <row r="1801" spans="1:2" x14ac:dyDescent="0.25">
      <c r="A1801" s="38">
        <v>5.7256</v>
      </c>
      <c r="B1801" s="21">
        <v>45742.424605775464</v>
      </c>
    </row>
    <row r="1802" spans="1:2" x14ac:dyDescent="0.25">
      <c r="A1802" s="38">
        <v>5.6992000000000003</v>
      </c>
      <c r="B1802" s="21">
        <v>45741.544804317127</v>
      </c>
    </row>
    <row r="1803" spans="1:2" x14ac:dyDescent="0.25">
      <c r="A1803" s="38">
        <v>5.6837</v>
      </c>
      <c r="B1803" s="21">
        <v>45741.544804236109</v>
      </c>
    </row>
    <row r="1804" spans="1:2" x14ac:dyDescent="0.25">
      <c r="A1804" s="38">
        <v>5.6786000000000003</v>
      </c>
      <c r="B1804" s="21">
        <v>45741.506543634256</v>
      </c>
    </row>
    <row r="1805" spans="1:2" x14ac:dyDescent="0.25">
      <c r="A1805" s="38">
        <v>5.7069000000000001</v>
      </c>
      <c r="B1805" s="21">
        <v>45741.46070822917</v>
      </c>
    </row>
    <row r="1806" spans="1:2" x14ac:dyDescent="0.25">
      <c r="A1806" s="38">
        <v>5.7275999999999998</v>
      </c>
      <c r="B1806" s="21">
        <v>45741.421823379627</v>
      </c>
    </row>
    <row r="1807" spans="1:2" x14ac:dyDescent="0.25">
      <c r="A1807" s="38">
        <v>5.7403000000000004</v>
      </c>
      <c r="B1807" s="21">
        <v>45740.546130115741</v>
      </c>
    </row>
    <row r="1808" spans="1:2" x14ac:dyDescent="0.25">
      <c r="A1808" s="38">
        <v>5.7305000000000001</v>
      </c>
      <c r="B1808" s="21">
        <v>45740.546130023147</v>
      </c>
    </row>
    <row r="1809" spans="1:2" x14ac:dyDescent="0.25">
      <c r="A1809" s="38">
        <v>5.7351000000000001</v>
      </c>
      <c r="B1809" s="21">
        <v>45740.509005949076</v>
      </c>
    </row>
    <row r="1810" spans="1:2" x14ac:dyDescent="0.25">
      <c r="A1810" s="38">
        <v>5.7374999999999998</v>
      </c>
      <c r="B1810" s="21">
        <v>45740.460040844904</v>
      </c>
    </row>
    <row r="1811" spans="1:2" x14ac:dyDescent="0.25">
      <c r="A1811" s="38">
        <v>5.758</v>
      </c>
      <c r="B1811" s="21">
        <v>45740.419756550924</v>
      </c>
    </row>
    <row r="1812" spans="1:2" x14ac:dyDescent="0.25">
      <c r="A1812" s="38">
        <v>5.7241</v>
      </c>
      <c r="B1812" s="21">
        <v>45737.54404497685</v>
      </c>
    </row>
    <row r="1813" spans="1:2" x14ac:dyDescent="0.25">
      <c r="A1813" s="38">
        <v>5.7232000000000003</v>
      </c>
      <c r="B1813" s="21">
        <v>45737.544044930553</v>
      </c>
    </row>
    <row r="1814" spans="1:2" x14ac:dyDescent="0.25">
      <c r="A1814" s="38">
        <v>5.7305999999999999</v>
      </c>
      <c r="B1814" s="21">
        <v>45737.505853680559</v>
      </c>
    </row>
    <row r="1815" spans="1:2" x14ac:dyDescent="0.25">
      <c r="A1815" s="38">
        <v>5.7245999999999997</v>
      </c>
      <c r="B1815" s="21">
        <v>45737.463507384258</v>
      </c>
    </row>
    <row r="1816" spans="1:2" x14ac:dyDescent="0.25">
      <c r="A1816" s="38">
        <v>5.7180999999999997</v>
      </c>
      <c r="B1816" s="21">
        <v>45737.423231145833</v>
      </c>
    </row>
    <row r="1817" spans="1:2" x14ac:dyDescent="0.25">
      <c r="A1817" s="38">
        <v>5.6627999999999998</v>
      </c>
      <c r="B1817" s="21">
        <v>45736.545464247683</v>
      </c>
    </row>
    <row r="1818" spans="1:2" x14ac:dyDescent="0.25">
      <c r="A1818" s="38">
        <v>5.6749000000000001</v>
      </c>
      <c r="B1818" s="21">
        <v>45736.545464166666</v>
      </c>
    </row>
    <row r="1819" spans="1:2" x14ac:dyDescent="0.25">
      <c r="A1819" s="38">
        <v>5.6608999999999998</v>
      </c>
      <c r="B1819" s="21">
        <v>45736.50306894676</v>
      </c>
    </row>
    <row r="1820" spans="1:2" x14ac:dyDescent="0.25">
      <c r="A1820" s="38">
        <v>5.665</v>
      </c>
      <c r="B1820" s="21">
        <v>45736.464190995372</v>
      </c>
    </row>
    <row r="1821" spans="1:2" x14ac:dyDescent="0.25">
      <c r="A1821" s="38">
        <v>5.6501999999999999</v>
      </c>
      <c r="B1821" s="21">
        <v>45736.423914583334</v>
      </c>
    </row>
    <row r="1822" spans="1:2" x14ac:dyDescent="0.25">
      <c r="A1822" s="38">
        <v>5.6657000000000002</v>
      </c>
      <c r="B1822" s="21">
        <v>45735.547543333334</v>
      </c>
    </row>
    <row r="1823" spans="1:2" x14ac:dyDescent="0.25">
      <c r="A1823" s="38">
        <v>5.6501000000000001</v>
      </c>
      <c r="B1823" s="21">
        <v>45735.547543055553</v>
      </c>
    </row>
    <row r="1824" spans="1:2" x14ac:dyDescent="0.25">
      <c r="A1824" s="38">
        <v>5.6558999999999999</v>
      </c>
      <c r="B1824" s="21">
        <v>45735.507236307873</v>
      </c>
    </row>
    <row r="1825" spans="1:2" x14ac:dyDescent="0.25">
      <c r="A1825" s="38">
        <v>5.6776</v>
      </c>
      <c r="B1825" s="21">
        <v>45735.464892615739</v>
      </c>
    </row>
    <row r="1826" spans="1:2" x14ac:dyDescent="0.25">
      <c r="A1826" s="38">
        <v>5.6791</v>
      </c>
      <c r="B1826" s="21">
        <v>45735.420464583331</v>
      </c>
    </row>
    <row r="1827" spans="1:2" x14ac:dyDescent="0.25">
      <c r="A1827" s="38">
        <v>5.6852</v>
      </c>
      <c r="B1827" s="21">
        <v>45734.545501273147</v>
      </c>
    </row>
    <row r="1828" spans="1:2" x14ac:dyDescent="0.25">
      <c r="A1828" s="38">
        <v>5.6699000000000002</v>
      </c>
      <c r="B1828" s="21">
        <v>45734.545501157409</v>
      </c>
    </row>
    <row r="1829" spans="1:2" x14ac:dyDescent="0.25">
      <c r="A1829" s="38">
        <v>5.6893000000000002</v>
      </c>
      <c r="B1829" s="21">
        <v>45734.501697326392</v>
      </c>
    </row>
    <row r="1830" spans="1:2" x14ac:dyDescent="0.25">
      <c r="A1830" s="38">
        <v>5.6969000000000003</v>
      </c>
      <c r="B1830" s="21">
        <v>45734.462796087966</v>
      </c>
    </row>
    <row r="1831" spans="1:2" x14ac:dyDescent="0.25">
      <c r="A1831" s="38">
        <v>5.6845999999999997</v>
      </c>
      <c r="B1831" s="21">
        <v>45734.421847500002</v>
      </c>
    </row>
    <row r="1832" spans="1:2" x14ac:dyDescent="0.25">
      <c r="A1832" s="38">
        <v>5.7081999999999997</v>
      </c>
      <c r="B1832" s="21">
        <v>45733.549638553239</v>
      </c>
    </row>
    <row r="1833" spans="1:2" x14ac:dyDescent="0.25">
      <c r="A1833" s="38">
        <v>5.6913999999999998</v>
      </c>
      <c r="B1833" s="21">
        <v>45733.549638460645</v>
      </c>
    </row>
    <row r="1834" spans="1:2" x14ac:dyDescent="0.25">
      <c r="A1834" s="38">
        <v>5.7072000000000003</v>
      </c>
      <c r="B1834" s="21">
        <v>45733.507957037036</v>
      </c>
    </row>
    <row r="1835" spans="1:2" x14ac:dyDescent="0.25">
      <c r="A1835" s="38">
        <v>5.7252999999999998</v>
      </c>
      <c r="B1835" s="21">
        <v>45733.462110451386</v>
      </c>
    </row>
    <row r="1836" spans="1:2" x14ac:dyDescent="0.25">
      <c r="A1836" s="38">
        <v>5.7088000000000001</v>
      </c>
      <c r="B1836" s="21">
        <v>45733.419773136571</v>
      </c>
    </row>
    <row r="1837" spans="1:2" x14ac:dyDescent="0.25">
      <c r="A1837" s="38">
        <v>5.7419000000000002</v>
      </c>
      <c r="B1837" s="21">
        <v>45730.546056354164</v>
      </c>
    </row>
    <row r="1838" spans="1:2" x14ac:dyDescent="0.25">
      <c r="A1838" s="38">
        <v>5.7328000000000001</v>
      </c>
      <c r="B1838" s="21">
        <v>45730.546056273146</v>
      </c>
    </row>
    <row r="1839" spans="1:2" x14ac:dyDescent="0.25">
      <c r="A1839" s="38">
        <v>5.7343000000000002</v>
      </c>
      <c r="B1839" s="21">
        <v>45730.507934976849</v>
      </c>
    </row>
    <row r="1840" spans="1:2" x14ac:dyDescent="0.25">
      <c r="A1840" s="38">
        <v>5.7445000000000004</v>
      </c>
      <c r="B1840" s="21">
        <v>45730.46141384259</v>
      </c>
    </row>
    <row r="1841" spans="1:2" x14ac:dyDescent="0.25">
      <c r="A1841" s="38">
        <v>5.7560000000000002</v>
      </c>
      <c r="B1841" s="21">
        <v>45730.42253585648</v>
      </c>
    </row>
    <row r="1842" spans="1:2" x14ac:dyDescent="0.25">
      <c r="A1842" s="38">
        <v>5.8131000000000004</v>
      </c>
      <c r="B1842" s="21">
        <v>45729.544077222221</v>
      </c>
    </row>
    <row r="1843" spans="1:2" x14ac:dyDescent="0.25">
      <c r="A1843" s="38">
        <v>5.8045999999999998</v>
      </c>
      <c r="B1843" s="21">
        <v>45729.544077141203</v>
      </c>
    </row>
    <row r="1844" spans="1:2" x14ac:dyDescent="0.25">
      <c r="A1844" s="38">
        <v>5.8089000000000004</v>
      </c>
      <c r="B1844" s="21">
        <v>45729.503073912034</v>
      </c>
    </row>
    <row r="1845" spans="1:2" x14ac:dyDescent="0.25">
      <c r="A1845" s="38">
        <v>5.8254000000000001</v>
      </c>
      <c r="B1845" s="21">
        <v>45729.460739710645</v>
      </c>
    </row>
    <row r="1846" spans="1:2" x14ac:dyDescent="0.25">
      <c r="A1846" s="38">
        <v>5.8135000000000003</v>
      </c>
      <c r="B1846" s="21">
        <v>45729.419748020831</v>
      </c>
    </row>
    <row r="1847" spans="1:2" x14ac:dyDescent="0.25">
      <c r="A1847" s="38">
        <v>5.8268000000000004</v>
      </c>
      <c r="B1847" s="21">
        <v>45728.547555335645</v>
      </c>
    </row>
    <row r="1848" spans="1:2" x14ac:dyDescent="0.25">
      <c r="A1848" s="38">
        <v>5.8220999999999998</v>
      </c>
      <c r="B1848" s="21">
        <v>45728.547555289355</v>
      </c>
    </row>
    <row r="1849" spans="1:2" x14ac:dyDescent="0.25">
      <c r="A1849" s="38">
        <v>5.8255999999999997</v>
      </c>
      <c r="B1849" s="21">
        <v>45728.509482951391</v>
      </c>
    </row>
    <row r="1850" spans="1:2" x14ac:dyDescent="0.25">
      <c r="A1850" s="38">
        <v>5.8178999999999998</v>
      </c>
      <c r="B1850" s="21">
        <v>45728.464890902775</v>
      </c>
    </row>
    <row r="1851" spans="1:2" x14ac:dyDescent="0.25">
      <c r="A1851" s="38">
        <v>5.8417000000000003</v>
      </c>
      <c r="B1851" s="21">
        <v>45728.423922233793</v>
      </c>
    </row>
    <row r="1852" spans="1:2" x14ac:dyDescent="0.25">
      <c r="A1852" s="38">
        <v>5.8346</v>
      </c>
      <c r="B1852" s="21">
        <v>45727.545465648145</v>
      </c>
    </row>
    <row r="1853" spans="1:2" x14ac:dyDescent="0.25">
      <c r="A1853" s="38">
        <v>5.8274999999999997</v>
      </c>
      <c r="B1853" s="21">
        <v>45727.545465578703</v>
      </c>
    </row>
    <row r="1854" spans="1:2" x14ac:dyDescent="0.25">
      <c r="A1854" s="38">
        <v>5.8372000000000002</v>
      </c>
      <c r="B1854" s="21">
        <v>45727.503082337964</v>
      </c>
    </row>
    <row r="1855" spans="1:2" x14ac:dyDescent="0.25">
      <c r="A1855" s="38">
        <v>5.8350999999999997</v>
      </c>
      <c r="B1855" s="21">
        <v>45727.464229097219</v>
      </c>
    </row>
    <row r="1856" spans="1:2" x14ac:dyDescent="0.25">
      <c r="A1856" s="38">
        <v>5.8387000000000002</v>
      </c>
      <c r="B1856" s="21">
        <v>45727.41906266204</v>
      </c>
    </row>
    <row r="1857" spans="1:2" x14ac:dyDescent="0.25">
      <c r="A1857" s="38">
        <v>5.7930000000000001</v>
      </c>
      <c r="B1857" s="21">
        <v>45726.543769374999</v>
      </c>
    </row>
    <row r="1858" spans="1:2" x14ac:dyDescent="0.25">
      <c r="A1858" s="38">
        <v>5.7972999999999999</v>
      </c>
      <c r="B1858" s="21">
        <v>45726.543769270836</v>
      </c>
    </row>
    <row r="1859" spans="1:2" x14ac:dyDescent="0.25">
      <c r="A1859" s="38">
        <v>5.7801999999999998</v>
      </c>
      <c r="B1859" s="21">
        <v>45726.502392962961</v>
      </c>
    </row>
    <row r="1860" spans="1:2" x14ac:dyDescent="0.25">
      <c r="A1860" s="38">
        <v>5.7907999999999999</v>
      </c>
      <c r="B1860" s="21">
        <v>45726.462129942127</v>
      </c>
    </row>
    <row r="1861" spans="1:2" x14ac:dyDescent="0.25">
      <c r="A1861" s="38">
        <v>5.8037999999999998</v>
      </c>
      <c r="B1861" s="21">
        <v>45726.419749953704</v>
      </c>
    </row>
    <row r="1862" spans="1:2" x14ac:dyDescent="0.25">
      <c r="A1862" s="38">
        <v>5.7687999999999997</v>
      </c>
      <c r="B1862" s="21">
        <v>45723.547708067126</v>
      </c>
    </row>
    <row r="1863" spans="1:2" x14ac:dyDescent="0.25">
      <c r="A1863" s="38">
        <v>5.7656000000000001</v>
      </c>
      <c r="B1863" s="21">
        <v>45723.547707986108</v>
      </c>
    </row>
    <row r="1864" spans="1:2" x14ac:dyDescent="0.25">
      <c r="A1864" s="38">
        <v>5.7713999999999999</v>
      </c>
      <c r="B1864" s="21">
        <v>45723.507951701387</v>
      </c>
    </row>
    <row r="1865" spans="1:2" x14ac:dyDescent="0.25">
      <c r="A1865" s="38">
        <v>5.7691999999999997</v>
      </c>
      <c r="B1865" s="21">
        <v>45723.461401631947</v>
      </c>
    </row>
    <row r="1866" spans="1:2" x14ac:dyDescent="0.25">
      <c r="A1866" s="38">
        <v>5.7689000000000004</v>
      </c>
      <c r="B1866" s="21">
        <v>45723.42113505787</v>
      </c>
    </row>
    <row r="1867" spans="1:2" x14ac:dyDescent="0.25">
      <c r="A1867" s="38">
        <v>5.7488999999999999</v>
      </c>
      <c r="B1867" s="21">
        <v>45722.549314976852</v>
      </c>
    </row>
    <row r="1868" spans="1:2" x14ac:dyDescent="0.25">
      <c r="A1868" s="38">
        <v>5.7522000000000002</v>
      </c>
      <c r="B1868" s="21">
        <v>45722.549314895834</v>
      </c>
    </row>
    <row r="1869" spans="1:2" x14ac:dyDescent="0.25">
      <c r="A1869" s="38">
        <v>5.7595000000000001</v>
      </c>
      <c r="B1869" s="21">
        <v>45722.50168833333</v>
      </c>
    </row>
    <row r="1870" spans="1:2" x14ac:dyDescent="0.25">
      <c r="A1870" s="38">
        <v>5.7381000000000002</v>
      </c>
      <c r="B1870" s="21">
        <v>45722.465617048612</v>
      </c>
    </row>
    <row r="1871" spans="1:2" x14ac:dyDescent="0.25">
      <c r="A1871" s="38">
        <v>5.7458</v>
      </c>
      <c r="B1871" s="21">
        <v>45722.421163854167</v>
      </c>
    </row>
    <row r="1872" spans="1:2" x14ac:dyDescent="0.25">
      <c r="A1872" s="38">
        <v>5.7914000000000003</v>
      </c>
      <c r="B1872" s="21">
        <v>45721.650326377312</v>
      </c>
    </row>
    <row r="1873" spans="1:2" x14ac:dyDescent="0.25">
      <c r="A1873" s="38">
        <v>5.7804000000000002</v>
      </c>
      <c r="B1873" s="21">
        <v>45721.650326238429</v>
      </c>
    </row>
    <row r="1874" spans="1:2" x14ac:dyDescent="0.25">
      <c r="A1874" s="38">
        <v>5.8022999999999998</v>
      </c>
      <c r="B1874" s="21">
        <v>45721.612125092593</v>
      </c>
    </row>
    <row r="1875" spans="1:2" x14ac:dyDescent="0.25">
      <c r="A1875" s="38">
        <v>5.8487999999999998</v>
      </c>
      <c r="B1875" s="21">
        <v>45716.544781249999</v>
      </c>
    </row>
    <row r="1876" spans="1:2" x14ac:dyDescent="0.25">
      <c r="A1876" s="38">
        <v>5.8701999999999996</v>
      </c>
      <c r="B1876" s="21">
        <v>45716.544781180557</v>
      </c>
    </row>
    <row r="1877" spans="1:2" x14ac:dyDescent="0.25">
      <c r="A1877" s="38">
        <v>5.8482000000000003</v>
      </c>
      <c r="B1877" s="21">
        <v>45716.507244768516</v>
      </c>
    </row>
    <row r="1878" spans="1:2" x14ac:dyDescent="0.25">
      <c r="A1878" s="38">
        <v>5.8324999999999996</v>
      </c>
      <c r="B1878" s="21">
        <v>45716.464883680557</v>
      </c>
    </row>
    <row r="1879" spans="1:2" x14ac:dyDescent="0.25">
      <c r="A1879" s="38">
        <v>5.8441999999999998</v>
      </c>
      <c r="B1879" s="21">
        <v>45716.42113318287</v>
      </c>
    </row>
    <row r="1880" spans="1:2" x14ac:dyDescent="0.25">
      <c r="A1880" s="38">
        <v>5.8228</v>
      </c>
      <c r="B1880" s="21">
        <v>45715.543369143517</v>
      </c>
    </row>
    <row r="1881" spans="1:2" x14ac:dyDescent="0.25">
      <c r="A1881" s="38">
        <v>5.8281999999999998</v>
      </c>
      <c r="B1881" s="21">
        <v>45715.54336909722</v>
      </c>
    </row>
    <row r="1882" spans="1:2" x14ac:dyDescent="0.25">
      <c r="A1882" s="38">
        <v>5.8299000000000003</v>
      </c>
      <c r="B1882" s="21">
        <v>45715.503722141206</v>
      </c>
    </row>
    <row r="1883" spans="1:2" x14ac:dyDescent="0.25">
      <c r="A1883" s="38">
        <v>5.8259999999999996</v>
      </c>
      <c r="B1883" s="21">
        <v>45715.464144513891</v>
      </c>
    </row>
    <row r="1884" spans="1:2" x14ac:dyDescent="0.25">
      <c r="A1884" s="38">
        <v>5.8071000000000002</v>
      </c>
      <c r="B1884" s="21">
        <v>45715.421127210648</v>
      </c>
    </row>
    <row r="1885" spans="1:2" x14ac:dyDescent="0.25">
      <c r="A1885" s="38">
        <v>5.7756999999999996</v>
      </c>
      <c r="B1885" s="21">
        <v>45714.546157488425</v>
      </c>
    </row>
    <row r="1886" spans="1:2" x14ac:dyDescent="0.25">
      <c r="A1886" s="38">
        <v>5.7792000000000003</v>
      </c>
      <c r="B1886" s="21">
        <v>45714.546157418983</v>
      </c>
    </row>
    <row r="1887" spans="1:2" x14ac:dyDescent="0.25">
      <c r="A1887" s="38">
        <v>5.8009000000000004</v>
      </c>
      <c r="B1887" s="21">
        <v>45714.507254976852</v>
      </c>
    </row>
    <row r="1888" spans="1:2" x14ac:dyDescent="0.25">
      <c r="A1888" s="38">
        <v>5.7752999999999997</v>
      </c>
      <c r="B1888" s="21">
        <v>45714.46209346065</v>
      </c>
    </row>
    <row r="1889" spans="1:2" x14ac:dyDescent="0.25">
      <c r="A1889" s="38">
        <v>5.7473999999999998</v>
      </c>
      <c r="B1889" s="21">
        <v>45714.422528240742</v>
      </c>
    </row>
    <row r="1890" spans="1:2" x14ac:dyDescent="0.25">
      <c r="A1890" s="38">
        <v>5.7778999999999998</v>
      </c>
      <c r="B1890" s="21">
        <v>45713.547558993057</v>
      </c>
    </row>
    <row r="1891" spans="1:2" x14ac:dyDescent="0.25">
      <c r="A1891" s="38">
        <v>5.7591000000000001</v>
      </c>
      <c r="B1891" s="21">
        <v>45713.547558854167</v>
      </c>
    </row>
    <row r="1892" spans="1:2" x14ac:dyDescent="0.25">
      <c r="A1892" s="38">
        <v>5.7759999999999998</v>
      </c>
      <c r="B1892" s="21">
        <v>45713.504464699072</v>
      </c>
    </row>
    <row r="1893" spans="1:2" x14ac:dyDescent="0.25">
      <c r="A1893" s="38">
        <v>5.7835000000000001</v>
      </c>
      <c r="B1893" s="21">
        <v>45713.465576655093</v>
      </c>
    </row>
    <row r="1894" spans="1:2" x14ac:dyDescent="0.25">
      <c r="A1894" s="38">
        <v>5.7927999999999997</v>
      </c>
      <c r="B1894" s="21">
        <v>45713.423225601851</v>
      </c>
    </row>
    <row r="1895" spans="1:2" x14ac:dyDescent="0.25">
      <c r="A1895" s="38">
        <v>5.7257999999999996</v>
      </c>
      <c r="B1895" s="21">
        <v>45712.54614046296</v>
      </c>
    </row>
    <row r="1896" spans="1:2" x14ac:dyDescent="0.25">
      <c r="A1896" s="38">
        <v>5.7301000000000002</v>
      </c>
      <c r="B1896" s="21">
        <v>45712.546140358798</v>
      </c>
    </row>
    <row r="1897" spans="1:2" x14ac:dyDescent="0.25">
      <c r="A1897" s="38">
        <v>5.7321</v>
      </c>
      <c r="B1897" s="21">
        <v>45712.507945150464</v>
      </c>
    </row>
    <row r="1898" spans="1:2" x14ac:dyDescent="0.25">
      <c r="A1898" s="38">
        <v>5.7289000000000003</v>
      </c>
      <c r="B1898" s="21">
        <v>45712.466287708332</v>
      </c>
    </row>
    <row r="1899" spans="1:2" x14ac:dyDescent="0.25">
      <c r="A1899" s="38">
        <v>5.7121000000000004</v>
      </c>
      <c r="B1899" s="21">
        <v>45712.418395601853</v>
      </c>
    </row>
    <row r="1900" spans="1:2" x14ac:dyDescent="0.25">
      <c r="A1900" s="38">
        <v>5.7027000000000001</v>
      </c>
      <c r="B1900" s="21">
        <v>45709.543368819446</v>
      </c>
    </row>
    <row r="1901" spans="1:2" x14ac:dyDescent="0.25">
      <c r="A1901" s="38">
        <v>5.6989000000000001</v>
      </c>
      <c r="B1901" s="21">
        <v>45709.543368773149</v>
      </c>
    </row>
    <row r="1902" spans="1:2" x14ac:dyDescent="0.25">
      <c r="A1902" s="38">
        <v>5.7003000000000004</v>
      </c>
      <c r="B1902" s="21">
        <v>45709.507948391205</v>
      </c>
    </row>
    <row r="1903" spans="1:2" x14ac:dyDescent="0.25">
      <c r="A1903" s="38">
        <v>5.702</v>
      </c>
      <c r="B1903" s="21">
        <v>45709.460038738427</v>
      </c>
    </row>
    <row r="1904" spans="1:2" x14ac:dyDescent="0.25">
      <c r="A1904" s="38">
        <v>5.7096</v>
      </c>
      <c r="B1904" s="21">
        <v>45709.421220127311</v>
      </c>
    </row>
    <row r="1905" spans="1:2" x14ac:dyDescent="0.25">
      <c r="A1905" s="38">
        <v>5.7019000000000002</v>
      </c>
      <c r="B1905" s="21">
        <v>45708.549622002312</v>
      </c>
    </row>
    <row r="1906" spans="1:2" x14ac:dyDescent="0.25">
      <c r="A1906" s="38">
        <v>5.6974999999999998</v>
      </c>
      <c r="B1906" s="21">
        <v>45708.549621909726</v>
      </c>
    </row>
    <row r="1907" spans="1:2" x14ac:dyDescent="0.25">
      <c r="A1907" s="38">
        <v>5.6978999999999997</v>
      </c>
      <c r="B1907" s="21">
        <v>45708.503763275461</v>
      </c>
    </row>
    <row r="1908" spans="1:2" x14ac:dyDescent="0.25">
      <c r="A1908" s="38">
        <v>5.7107000000000001</v>
      </c>
      <c r="B1908" s="21">
        <v>45708.462115219911</v>
      </c>
    </row>
    <row r="1909" spans="1:2" x14ac:dyDescent="0.25">
      <c r="A1909" s="38">
        <v>5.7016</v>
      </c>
      <c r="B1909" s="21">
        <v>45708.422549270836</v>
      </c>
    </row>
    <row r="1910" spans="1:2" x14ac:dyDescent="0.25">
      <c r="A1910" s="38">
        <v>5.7087000000000003</v>
      </c>
      <c r="B1910" s="21">
        <v>45707.546887627315</v>
      </c>
    </row>
    <row r="1911" spans="1:2" x14ac:dyDescent="0.25">
      <c r="A1911" s="38">
        <v>5.7008999999999999</v>
      </c>
      <c r="B1911" s="21">
        <v>45707.546887581018</v>
      </c>
    </row>
    <row r="1912" spans="1:2" x14ac:dyDescent="0.25">
      <c r="A1912" s="38">
        <v>5.6909000000000001</v>
      </c>
      <c r="B1912" s="21">
        <v>45707.503005011575</v>
      </c>
    </row>
    <row r="1913" spans="1:2" x14ac:dyDescent="0.25">
      <c r="A1913" s="38">
        <v>5.7103999999999999</v>
      </c>
      <c r="B1913" s="21">
        <v>45707.466276840278</v>
      </c>
    </row>
    <row r="1914" spans="1:2" x14ac:dyDescent="0.25">
      <c r="A1914" s="38">
        <v>5.7324000000000002</v>
      </c>
      <c r="B1914" s="21">
        <v>45707.421126863424</v>
      </c>
    </row>
    <row r="1915" spans="1:2" x14ac:dyDescent="0.25">
      <c r="A1915" s="38">
        <v>5.6978999999999997</v>
      </c>
      <c r="B1915" s="21">
        <v>45706.548233564812</v>
      </c>
    </row>
    <row r="1916" spans="1:2" x14ac:dyDescent="0.25">
      <c r="A1916" s="38">
        <v>5.6821999999999999</v>
      </c>
      <c r="B1916" s="21">
        <v>45706.548233437497</v>
      </c>
    </row>
    <row r="1917" spans="1:2" x14ac:dyDescent="0.25">
      <c r="A1917" s="38">
        <v>5.6925999999999997</v>
      </c>
      <c r="B1917" s="21">
        <v>45706.507250057868</v>
      </c>
    </row>
    <row r="1918" spans="1:2" x14ac:dyDescent="0.25">
      <c r="A1918" s="38">
        <v>5.7119999999999997</v>
      </c>
      <c r="B1918" s="21">
        <v>45706.460019409722</v>
      </c>
    </row>
    <row r="1919" spans="1:2" x14ac:dyDescent="0.25">
      <c r="A1919" s="38">
        <v>5.7046000000000001</v>
      </c>
      <c r="B1919" s="21">
        <v>45706.422528784722</v>
      </c>
    </row>
    <row r="1920" spans="1:2" x14ac:dyDescent="0.25">
      <c r="A1920" s="38">
        <v>5.7104999999999997</v>
      </c>
      <c r="B1920" s="21">
        <v>45705.546828576385</v>
      </c>
    </row>
    <row r="1921" spans="1:2" x14ac:dyDescent="0.25">
      <c r="A1921" s="38">
        <v>5.7154999999999996</v>
      </c>
      <c r="B1921" s="21">
        <v>45705.546828483799</v>
      </c>
    </row>
    <row r="1922" spans="1:2" x14ac:dyDescent="0.25">
      <c r="A1922" s="38">
        <v>5.7069999999999999</v>
      </c>
      <c r="B1922" s="21">
        <v>45705.505848807872</v>
      </c>
    </row>
    <row r="1923" spans="1:2" x14ac:dyDescent="0.25">
      <c r="A1923" s="38">
        <v>5.7045000000000003</v>
      </c>
      <c r="B1923" s="21">
        <v>45705.464890821757</v>
      </c>
    </row>
    <row r="1924" spans="1:2" x14ac:dyDescent="0.25">
      <c r="A1924" s="38">
        <v>5.7149000000000001</v>
      </c>
      <c r="B1924" s="21">
        <v>45705.421836215275</v>
      </c>
    </row>
    <row r="1925" spans="1:2" x14ac:dyDescent="0.25">
      <c r="A1925" s="38">
        <v>5.7282999999999999</v>
      </c>
      <c r="B1925" s="21">
        <v>45702.549604652777</v>
      </c>
    </row>
    <row r="1926" spans="1:2" x14ac:dyDescent="0.25">
      <c r="A1926" s="38">
        <v>5.7209000000000003</v>
      </c>
      <c r="B1926" s="21">
        <v>45702.549604594904</v>
      </c>
    </row>
    <row r="1927" spans="1:2" x14ac:dyDescent="0.25">
      <c r="A1927" s="38">
        <v>5.7240000000000002</v>
      </c>
      <c r="B1927" s="21">
        <v>45702.50238208333</v>
      </c>
    </row>
    <row r="1928" spans="1:2" x14ac:dyDescent="0.25">
      <c r="A1928" s="38">
        <v>5.7268999999999997</v>
      </c>
      <c r="B1928" s="21">
        <v>45702.465589120373</v>
      </c>
    </row>
    <row r="1929" spans="1:2" x14ac:dyDescent="0.25">
      <c r="A1929" s="38">
        <v>5.7413999999999996</v>
      </c>
      <c r="B1929" s="21">
        <v>45702.419764328704</v>
      </c>
    </row>
    <row r="1930" spans="1:2" x14ac:dyDescent="0.25">
      <c r="A1930" s="38">
        <v>5.7788000000000004</v>
      </c>
      <c r="B1930" s="21">
        <v>45701.544047777781</v>
      </c>
    </row>
    <row r="1931" spans="1:2" x14ac:dyDescent="0.25">
      <c r="A1931" s="38">
        <v>5.7629999999999999</v>
      </c>
      <c r="B1931" s="21">
        <v>45701.544047708332</v>
      </c>
    </row>
    <row r="1932" spans="1:2" x14ac:dyDescent="0.25">
      <c r="A1932" s="38">
        <v>5.7831999999999999</v>
      </c>
      <c r="B1932" s="21">
        <v>45701.505858969904</v>
      </c>
    </row>
    <row r="1933" spans="1:2" x14ac:dyDescent="0.25">
      <c r="A1933" s="38">
        <v>5.7983000000000002</v>
      </c>
      <c r="B1933" s="21">
        <v>45701.46278829861</v>
      </c>
    </row>
    <row r="1934" spans="1:2" x14ac:dyDescent="0.25">
      <c r="A1934" s="38">
        <v>5.7708000000000004</v>
      </c>
      <c r="B1934" s="21">
        <v>45701.419750277775</v>
      </c>
    </row>
    <row r="1935" spans="1:2" x14ac:dyDescent="0.25">
      <c r="A1935" s="38">
        <v>5.7710999999999997</v>
      </c>
      <c r="B1935" s="21">
        <v>45700.543368981482</v>
      </c>
    </row>
    <row r="1936" spans="1:2" x14ac:dyDescent="0.25">
      <c r="A1936" s="38">
        <v>5.7672999999999996</v>
      </c>
      <c r="B1936" s="21">
        <v>45700.543368888888</v>
      </c>
    </row>
    <row r="1937" spans="1:2" x14ac:dyDescent="0.25">
      <c r="A1937" s="38">
        <v>5.7689000000000004</v>
      </c>
      <c r="B1937" s="21">
        <v>45700.505886666666</v>
      </c>
    </row>
    <row r="1938" spans="1:2" x14ac:dyDescent="0.25">
      <c r="A1938" s="38">
        <v>5.7694000000000001</v>
      </c>
      <c r="B1938" s="21">
        <v>45700.462799131943</v>
      </c>
    </row>
    <row r="1939" spans="1:2" x14ac:dyDescent="0.25">
      <c r="A1939" s="38">
        <v>5.7788000000000004</v>
      </c>
      <c r="B1939" s="21">
        <v>45700.422522314817</v>
      </c>
    </row>
    <row r="1940" spans="1:2" x14ac:dyDescent="0.25">
      <c r="A1940" s="38">
        <v>5.7788000000000004</v>
      </c>
      <c r="B1940" s="21">
        <v>45699.546163321756</v>
      </c>
    </row>
    <row r="1941" spans="1:2" x14ac:dyDescent="0.25">
      <c r="A1941" s="38">
        <v>5.7655000000000003</v>
      </c>
      <c r="B1941" s="21">
        <v>45699.54616322917</v>
      </c>
    </row>
    <row r="1942" spans="1:2" x14ac:dyDescent="0.25">
      <c r="A1942" s="38">
        <v>5.7670000000000003</v>
      </c>
      <c r="B1942" s="21">
        <v>45699.505087372687</v>
      </c>
    </row>
    <row r="1943" spans="1:2" x14ac:dyDescent="0.25">
      <c r="A1943" s="38">
        <v>5.7859999999999996</v>
      </c>
      <c r="B1943" s="21">
        <v>45699.462794699073</v>
      </c>
    </row>
    <row r="1944" spans="1:2" x14ac:dyDescent="0.25">
      <c r="A1944" s="38">
        <v>5.7965</v>
      </c>
      <c r="B1944" s="21">
        <v>45699.419062511573</v>
      </c>
    </row>
    <row r="1945" spans="1:2" x14ac:dyDescent="0.25">
      <c r="A1945" s="38">
        <v>5.7808000000000002</v>
      </c>
      <c r="B1945" s="21">
        <v>45698.549638032404</v>
      </c>
    </row>
    <row r="1946" spans="1:2" x14ac:dyDescent="0.25">
      <c r="A1946" s="38">
        <v>5.7803000000000004</v>
      </c>
      <c r="B1946" s="21">
        <v>45698.549637974538</v>
      </c>
    </row>
    <row r="1947" spans="1:2" x14ac:dyDescent="0.25">
      <c r="A1947" s="38">
        <v>5.7865000000000002</v>
      </c>
      <c r="B1947" s="21">
        <v>45698.507237534723</v>
      </c>
    </row>
    <row r="1948" spans="1:2" x14ac:dyDescent="0.25">
      <c r="A1948" s="38">
        <v>5.7812000000000001</v>
      </c>
      <c r="B1948" s="21">
        <v>45698.460202499999</v>
      </c>
    </row>
    <row r="1949" spans="1:2" x14ac:dyDescent="0.25">
      <c r="A1949" s="38">
        <v>5.7751999999999999</v>
      </c>
      <c r="B1949" s="21">
        <v>45698.423948923613</v>
      </c>
    </row>
    <row r="1950" spans="1:2" x14ac:dyDescent="0.25">
      <c r="A1950" s="38">
        <v>5.7557</v>
      </c>
      <c r="B1950" s="21">
        <v>45695.548962372683</v>
      </c>
    </row>
    <row r="1951" spans="1:2" x14ac:dyDescent="0.25">
      <c r="A1951" s="38">
        <v>5.766</v>
      </c>
      <c r="B1951" s="21">
        <v>45695.548962303241</v>
      </c>
    </row>
    <row r="1952" spans="1:2" x14ac:dyDescent="0.25">
      <c r="A1952" s="38">
        <v>5.7411000000000003</v>
      </c>
      <c r="B1952" s="21">
        <v>45695.507943425924</v>
      </c>
    </row>
    <row r="1953" spans="1:2" x14ac:dyDescent="0.25">
      <c r="A1953" s="38">
        <v>5.7458</v>
      </c>
      <c r="B1953" s="21">
        <v>45695.464216631946</v>
      </c>
    </row>
    <row r="1954" spans="1:2" x14ac:dyDescent="0.25">
      <c r="A1954" s="38">
        <v>5.7698</v>
      </c>
      <c r="B1954" s="21">
        <v>45695.418359722222</v>
      </c>
    </row>
    <row r="1955" spans="1:2" x14ac:dyDescent="0.25">
      <c r="A1955" s="38">
        <v>5.7855999999999996</v>
      </c>
      <c r="B1955" s="21">
        <v>45694.54754590278</v>
      </c>
    </row>
    <row r="1956" spans="1:2" x14ac:dyDescent="0.25">
      <c r="A1956" s="38">
        <v>5.774</v>
      </c>
      <c r="B1956" s="21">
        <v>45694.547545821762</v>
      </c>
    </row>
    <row r="1957" spans="1:2" x14ac:dyDescent="0.25">
      <c r="A1957" s="38">
        <v>5.7782999999999998</v>
      </c>
      <c r="B1957" s="21">
        <v>45694.507940925927</v>
      </c>
    </row>
    <row r="1958" spans="1:2" x14ac:dyDescent="0.25">
      <c r="A1958" s="38">
        <v>5.7925000000000004</v>
      </c>
      <c r="B1958" s="21">
        <v>45694.466310185184</v>
      </c>
    </row>
    <row r="1959" spans="1:2" x14ac:dyDescent="0.25">
      <c r="A1959" s="38">
        <v>5.7973999999999997</v>
      </c>
      <c r="B1959" s="21">
        <v>45694.422531562501</v>
      </c>
    </row>
    <row r="1960" spans="1:2" x14ac:dyDescent="0.25">
      <c r="A1960" s="38">
        <v>5.7996999999999996</v>
      </c>
      <c r="B1960" s="21">
        <v>45693.549620891201</v>
      </c>
    </row>
    <row r="1961" spans="1:2" x14ac:dyDescent="0.25">
      <c r="A1961" s="38">
        <v>5.7998000000000003</v>
      </c>
      <c r="B1961" s="21">
        <v>45693.549620833335</v>
      </c>
    </row>
    <row r="1962" spans="1:2" x14ac:dyDescent="0.25">
      <c r="A1962" s="38">
        <v>5.7935999999999996</v>
      </c>
      <c r="B1962" s="21">
        <v>45693.503086423611</v>
      </c>
    </row>
    <row r="1963" spans="1:2" x14ac:dyDescent="0.25">
      <c r="A1963" s="38">
        <v>5.8160999999999996</v>
      </c>
      <c r="B1963" s="21">
        <v>45693.465579548611</v>
      </c>
    </row>
    <row r="1964" spans="1:2" x14ac:dyDescent="0.25">
      <c r="A1964" s="38">
        <v>5.7891000000000004</v>
      </c>
      <c r="B1964" s="21">
        <v>45693.419052430552</v>
      </c>
    </row>
    <row r="1965" spans="1:2" x14ac:dyDescent="0.25">
      <c r="A1965" s="38">
        <v>5.7927</v>
      </c>
      <c r="B1965" s="21">
        <v>45692.545603900464</v>
      </c>
    </row>
    <row r="1966" spans="1:2" x14ac:dyDescent="0.25">
      <c r="A1966" s="38">
        <v>5.7638999999999996</v>
      </c>
      <c r="B1966" s="21">
        <v>45692.54560380787</v>
      </c>
    </row>
    <row r="1967" spans="1:2" x14ac:dyDescent="0.25">
      <c r="A1967" s="38">
        <v>5.7843</v>
      </c>
      <c r="B1967" s="21">
        <v>45692.502390057867</v>
      </c>
    </row>
    <row r="1968" spans="1:2" x14ac:dyDescent="0.25">
      <c r="A1968" s="38">
        <v>5.8124000000000002</v>
      </c>
      <c r="B1968" s="21">
        <v>45692.464196516201</v>
      </c>
    </row>
    <row r="1969" spans="1:2" x14ac:dyDescent="0.25">
      <c r="A1969" s="38">
        <v>5.8102999999999998</v>
      </c>
      <c r="B1969" s="21">
        <v>45692.419050902776</v>
      </c>
    </row>
    <row r="1970" spans="1:2" x14ac:dyDescent="0.25">
      <c r="A1970" s="38">
        <v>5.8686999999999996</v>
      </c>
      <c r="B1970" s="21">
        <v>45691.546134583332</v>
      </c>
    </row>
    <row r="1971" spans="1:2" x14ac:dyDescent="0.25">
      <c r="A1971" s="38">
        <v>5.8341000000000003</v>
      </c>
      <c r="B1971" s="21">
        <v>45691.546134502314</v>
      </c>
    </row>
    <row r="1972" spans="1:2" x14ac:dyDescent="0.25">
      <c r="A1972" s="38">
        <v>5.9031000000000002</v>
      </c>
      <c r="B1972" s="21">
        <v>45691.505855173615</v>
      </c>
    </row>
    <row r="1973" spans="1:2" x14ac:dyDescent="0.25">
      <c r="A1973" s="38">
        <v>5.8853999999999997</v>
      </c>
      <c r="B1973" s="21">
        <v>45691.460974293979</v>
      </c>
    </row>
    <row r="1974" spans="1:2" x14ac:dyDescent="0.25">
      <c r="A1974" s="38">
        <v>5.8522999999999996</v>
      </c>
      <c r="B1974" s="21">
        <v>45691.419764108796</v>
      </c>
    </row>
    <row r="1975" spans="1:2" x14ac:dyDescent="0.25">
      <c r="A1975" s="38">
        <v>5.8300999999999998</v>
      </c>
      <c r="B1975" s="21">
        <v>45688.544386504633</v>
      </c>
    </row>
    <row r="1976" spans="1:2" x14ac:dyDescent="0.25">
      <c r="A1976" s="38">
        <v>5.8441000000000001</v>
      </c>
      <c r="B1976" s="21">
        <v>45688.54438644676</v>
      </c>
    </row>
    <row r="1977" spans="1:2" x14ac:dyDescent="0.25">
      <c r="A1977" s="38">
        <v>5.8236999999999997</v>
      </c>
      <c r="B1977" s="21">
        <v>45688.503092071762</v>
      </c>
    </row>
    <row r="1978" spans="1:2" x14ac:dyDescent="0.25">
      <c r="A1978" s="38">
        <v>5.8179999999999996</v>
      </c>
      <c r="B1978" s="21">
        <v>45688.466408865737</v>
      </c>
    </row>
    <row r="1979" spans="1:2" x14ac:dyDescent="0.25">
      <c r="A1979" s="38">
        <v>5.8343999999999996</v>
      </c>
      <c r="B1979" s="21">
        <v>45688.423917060187</v>
      </c>
    </row>
    <row r="1980" spans="1:2" x14ac:dyDescent="0.25">
      <c r="A1980" s="38">
        <v>5.9005999999999998</v>
      </c>
      <c r="B1980" s="21">
        <v>45687.548941122688</v>
      </c>
    </row>
    <row r="1981" spans="1:2" x14ac:dyDescent="0.25">
      <c r="A1981" s="38">
        <v>5.8863000000000003</v>
      </c>
      <c r="B1981" s="21">
        <v>45687.548941076391</v>
      </c>
    </row>
    <row r="1982" spans="1:2" x14ac:dyDescent="0.25">
      <c r="A1982" s="38">
        <v>5.8994999999999997</v>
      </c>
      <c r="B1982" s="21">
        <v>45687.502381944447</v>
      </c>
    </row>
    <row r="1983" spans="1:2" x14ac:dyDescent="0.25">
      <c r="A1983" s="38">
        <v>5.9058999999999999</v>
      </c>
      <c r="B1983" s="21">
        <v>45687.462104560182</v>
      </c>
    </row>
    <row r="1984" spans="1:2" x14ac:dyDescent="0.25">
      <c r="A1984" s="38">
        <v>5.9108000000000001</v>
      </c>
      <c r="B1984" s="21">
        <v>45687.422429386577</v>
      </c>
    </row>
    <row r="1985" spans="1:2" x14ac:dyDescent="0.25">
      <c r="A1985" s="38">
        <v>5.8596000000000004</v>
      </c>
      <c r="B1985" s="21">
        <v>45686.546146388886</v>
      </c>
    </row>
    <row r="1986" spans="1:2" x14ac:dyDescent="0.25">
      <c r="A1986" s="38">
        <v>5.8608000000000002</v>
      </c>
      <c r="B1986" s="21">
        <v>45686.546146284723</v>
      </c>
    </row>
    <row r="1987" spans="1:2" x14ac:dyDescent="0.25">
      <c r="A1987" s="38">
        <v>5.8575999999999997</v>
      </c>
      <c r="B1987" s="21">
        <v>45686.503081087962</v>
      </c>
    </row>
    <row r="1988" spans="1:2" x14ac:dyDescent="0.25">
      <c r="A1988" s="38">
        <v>5.8742999999999999</v>
      </c>
      <c r="B1988" s="21">
        <v>45686.463499652775</v>
      </c>
    </row>
    <row r="1989" spans="1:2" x14ac:dyDescent="0.25">
      <c r="A1989" s="38">
        <v>5.8457999999999997</v>
      </c>
      <c r="B1989" s="21">
        <v>45686.419059039355</v>
      </c>
    </row>
    <row r="1990" spans="1:2" x14ac:dyDescent="0.25">
      <c r="A1990" s="38">
        <v>5.8929999999999998</v>
      </c>
      <c r="B1990" s="21">
        <v>45685.547561574072</v>
      </c>
    </row>
    <row r="1991" spans="1:2" x14ac:dyDescent="0.25">
      <c r="A1991" s="38">
        <v>5.8728999999999996</v>
      </c>
      <c r="B1991" s="21">
        <v>45685.547561412037</v>
      </c>
    </row>
    <row r="1992" spans="1:2" x14ac:dyDescent="0.25">
      <c r="A1992" s="38">
        <v>5.8788999999999998</v>
      </c>
      <c r="B1992" s="21">
        <v>45685.503774375</v>
      </c>
    </row>
    <row r="1993" spans="1:2" x14ac:dyDescent="0.25">
      <c r="A1993" s="38">
        <v>5.9067999999999996</v>
      </c>
      <c r="B1993" s="21">
        <v>45685.464207916666</v>
      </c>
    </row>
    <row r="1994" spans="1:2" x14ac:dyDescent="0.25">
      <c r="A1994" s="38">
        <v>5.9135</v>
      </c>
      <c r="B1994" s="21">
        <v>45685.421827523147</v>
      </c>
    </row>
    <row r="1995" spans="1:2" x14ac:dyDescent="0.25">
      <c r="A1995" s="38">
        <v>5.9272</v>
      </c>
      <c r="B1995" s="21">
        <v>45684.547084745369</v>
      </c>
    </row>
    <row r="1996" spans="1:2" x14ac:dyDescent="0.25">
      <c r="A1996" s="38">
        <v>5.9344000000000001</v>
      </c>
      <c r="B1996" s="21">
        <v>45684.547084594909</v>
      </c>
    </row>
    <row r="1997" spans="1:2" x14ac:dyDescent="0.25">
      <c r="A1997" s="38">
        <v>5.9268999999999998</v>
      </c>
      <c r="B1997" s="21">
        <v>45684.507263969906</v>
      </c>
    </row>
    <row r="1998" spans="1:2" x14ac:dyDescent="0.25">
      <c r="A1998" s="38">
        <v>5.9142999999999999</v>
      </c>
      <c r="B1998" s="21">
        <v>45684.460726435187</v>
      </c>
    </row>
    <row r="1999" spans="1:2" x14ac:dyDescent="0.25">
      <c r="A1999" s="38">
        <v>5.9329999999999998</v>
      </c>
      <c r="B1999" s="21">
        <v>45684.419107164351</v>
      </c>
    </row>
    <row r="2000" spans="1:2" x14ac:dyDescent="0.25">
      <c r="A2000" s="38">
        <v>5.8925000000000001</v>
      </c>
      <c r="B2000" s="21">
        <v>45681.544061597226</v>
      </c>
    </row>
    <row r="2001" spans="1:2" x14ac:dyDescent="0.25">
      <c r="A2001" s="38">
        <v>5.8825000000000003</v>
      </c>
      <c r="B2001" s="21">
        <v>45681.544061539353</v>
      </c>
    </row>
    <row r="2002" spans="1:2" x14ac:dyDescent="0.25">
      <c r="A2002" s="38">
        <v>5.8903999999999996</v>
      </c>
      <c r="B2002" s="21">
        <v>45681.502407916669</v>
      </c>
    </row>
    <row r="2003" spans="1:2" x14ac:dyDescent="0.25">
      <c r="A2003" s="38">
        <v>5.8886000000000003</v>
      </c>
      <c r="B2003" s="21">
        <v>45681.464888344904</v>
      </c>
    </row>
    <row r="2004" spans="1:2" x14ac:dyDescent="0.25">
      <c r="A2004" s="38">
        <v>5.9085999999999999</v>
      </c>
      <c r="B2004" s="21">
        <v>45681.425932453705</v>
      </c>
    </row>
    <row r="2005" spans="1:2" x14ac:dyDescent="0.25">
      <c r="A2005" s="38">
        <v>5.9398999999999997</v>
      </c>
      <c r="B2005" s="21">
        <v>45680.547548414354</v>
      </c>
    </row>
    <row r="2006" spans="1:2" x14ac:dyDescent="0.25">
      <c r="A2006" s="38">
        <v>5.9222000000000001</v>
      </c>
      <c r="B2006" s="21">
        <v>45680.547548333336</v>
      </c>
    </row>
    <row r="2007" spans="1:2" x14ac:dyDescent="0.25">
      <c r="A2007" s="38">
        <v>5.9351000000000003</v>
      </c>
      <c r="B2007" s="21">
        <v>45680.507241840278</v>
      </c>
    </row>
    <row r="2008" spans="1:2" x14ac:dyDescent="0.25">
      <c r="A2008" s="38">
        <v>5.9478999999999997</v>
      </c>
      <c r="B2008" s="21">
        <v>45680.464184340279</v>
      </c>
    </row>
    <row r="2009" spans="1:2" x14ac:dyDescent="0.25">
      <c r="A2009" s="38">
        <v>5.9545000000000003</v>
      </c>
      <c r="B2009" s="21">
        <v>45680.421834212961</v>
      </c>
    </row>
    <row r="2010" spans="1:2" x14ac:dyDescent="0.25">
      <c r="A2010" s="38">
        <v>5.9673999999999996</v>
      </c>
      <c r="B2010" s="21">
        <v>45679.544096759259</v>
      </c>
    </row>
    <row r="2011" spans="1:2" x14ac:dyDescent="0.25">
      <c r="A2011" s="38">
        <v>5.9416000000000002</v>
      </c>
      <c r="B2011" s="21">
        <v>45679.544096655096</v>
      </c>
    </row>
    <row r="2012" spans="1:2" x14ac:dyDescent="0.25">
      <c r="A2012" s="38">
        <v>5.9368999999999996</v>
      </c>
      <c r="B2012" s="21">
        <v>45679.503089386577</v>
      </c>
    </row>
    <row r="2013" spans="1:2" x14ac:dyDescent="0.25">
      <c r="A2013" s="38">
        <v>5.9869000000000003</v>
      </c>
      <c r="B2013" s="21">
        <v>45679.466281134257</v>
      </c>
    </row>
    <row r="2014" spans="1:2" x14ac:dyDescent="0.25">
      <c r="A2014" s="38">
        <v>6.0042</v>
      </c>
      <c r="B2014" s="21">
        <v>45679.422536574071</v>
      </c>
    </row>
    <row r="2015" spans="1:2" x14ac:dyDescent="0.25">
      <c r="A2015" s="38">
        <v>6.0439999999999996</v>
      </c>
      <c r="B2015" s="21">
        <v>45678.549849710646</v>
      </c>
    </row>
    <row r="2016" spans="1:2" x14ac:dyDescent="0.25">
      <c r="A2016" s="38">
        <v>6.0290999999999997</v>
      </c>
      <c r="B2016" s="21">
        <v>45678.549849560186</v>
      </c>
    </row>
    <row r="2017" spans="1:2" x14ac:dyDescent="0.25">
      <c r="A2017" s="38">
        <v>6.0441000000000003</v>
      </c>
      <c r="B2017" s="21">
        <v>45678.507991331018</v>
      </c>
    </row>
    <row r="2018" spans="1:2" x14ac:dyDescent="0.25">
      <c r="A2018" s="38">
        <v>6.0502000000000002</v>
      </c>
      <c r="B2018" s="21">
        <v>45678.464198125002</v>
      </c>
    </row>
    <row r="2019" spans="1:2" x14ac:dyDescent="0.25">
      <c r="A2019" s="38">
        <v>6.0523999999999996</v>
      </c>
      <c r="B2019" s="21">
        <v>45678.420455092593</v>
      </c>
    </row>
    <row r="2020" spans="1:2" x14ac:dyDescent="0.25">
      <c r="A2020" s="38">
        <v>6.0498000000000003</v>
      </c>
      <c r="B2020" s="21">
        <v>45677.546891805556</v>
      </c>
    </row>
    <row r="2021" spans="1:2" x14ac:dyDescent="0.25">
      <c r="A2021" s="38">
        <v>6.0453999999999999</v>
      </c>
      <c r="B2021" s="21">
        <v>45677.546891712962</v>
      </c>
    </row>
    <row r="2022" spans="1:2" x14ac:dyDescent="0.25">
      <c r="A2022" s="38">
        <v>6.0335999999999999</v>
      </c>
      <c r="B2022" s="21">
        <v>45677.501731585646</v>
      </c>
    </row>
    <row r="2023" spans="1:2" x14ac:dyDescent="0.25">
      <c r="A2023" s="38">
        <v>6.0420999999999996</v>
      </c>
      <c r="B2023" s="21">
        <v>45677.462876886573</v>
      </c>
    </row>
    <row r="2024" spans="1:2" x14ac:dyDescent="0.25">
      <c r="A2024" s="38">
        <v>6.0781000000000001</v>
      </c>
      <c r="B2024" s="21">
        <v>45677.423954861108</v>
      </c>
    </row>
    <row r="2025" spans="1:2" x14ac:dyDescent="0.25">
      <c r="A2025" s="38">
        <v>6.0609000000000002</v>
      </c>
      <c r="B2025" s="21">
        <v>45674.549645300925</v>
      </c>
    </row>
    <row r="2026" spans="1:2" x14ac:dyDescent="0.25">
      <c r="A2026" s="38">
        <v>6.0464000000000002</v>
      </c>
      <c r="B2026" s="21">
        <v>45674.549645219908</v>
      </c>
    </row>
    <row r="2027" spans="1:2" x14ac:dyDescent="0.25">
      <c r="A2027" s="38">
        <v>6.0523999999999996</v>
      </c>
      <c r="B2027" s="21">
        <v>45674.503100821756</v>
      </c>
    </row>
    <row r="2028" spans="1:2" x14ac:dyDescent="0.25">
      <c r="A2028" s="38">
        <v>6.0888999999999998</v>
      </c>
      <c r="B2028" s="21">
        <v>45674.465575601855</v>
      </c>
    </row>
    <row r="2029" spans="1:2" x14ac:dyDescent="0.25">
      <c r="A2029" s="38">
        <v>6.056</v>
      </c>
      <c r="B2029" s="21">
        <v>45674.41906320602</v>
      </c>
    </row>
    <row r="2030" spans="1:2" x14ac:dyDescent="0.25">
      <c r="A2030" s="38">
        <v>6.0321999999999996</v>
      </c>
      <c r="B2030" s="21">
        <v>45673.546167511573</v>
      </c>
    </row>
    <row r="2031" spans="1:2" x14ac:dyDescent="0.25">
      <c r="A2031" s="38">
        <v>6.0278999999999998</v>
      </c>
      <c r="B2031" s="21">
        <v>45673.546167430555</v>
      </c>
    </row>
    <row r="2032" spans="1:2" x14ac:dyDescent="0.25">
      <c r="A2032" s="38">
        <v>6.0160999999999998</v>
      </c>
      <c r="B2032" s="21">
        <v>45673.503764687499</v>
      </c>
    </row>
    <row r="2033" spans="1:2" x14ac:dyDescent="0.25">
      <c r="A2033" s="38">
        <v>6.0471000000000004</v>
      </c>
      <c r="B2033" s="21">
        <v>45673.464192268519</v>
      </c>
    </row>
    <row r="2034" spans="1:2" x14ac:dyDescent="0.25">
      <c r="A2034" s="38">
        <v>6.0377999999999998</v>
      </c>
      <c r="B2034" s="21">
        <v>45673.420432557868</v>
      </c>
    </row>
    <row r="2035" spans="1:2" x14ac:dyDescent="0.25">
      <c r="A2035" s="38">
        <v>6.0377000000000001</v>
      </c>
      <c r="B2035" s="21">
        <v>45672.545922997684</v>
      </c>
    </row>
    <row r="2036" spans="1:2" x14ac:dyDescent="0.25">
      <c r="A2036" s="38">
        <v>6.0401999999999996</v>
      </c>
      <c r="B2036" s="21">
        <v>45672.545922928242</v>
      </c>
    </row>
    <row r="2037" spans="1:2" x14ac:dyDescent="0.25">
      <c r="A2037" s="38">
        <v>6.0461999999999998</v>
      </c>
      <c r="B2037" s="21">
        <v>45672.502418414355</v>
      </c>
    </row>
    <row r="2038" spans="1:2" x14ac:dyDescent="0.25">
      <c r="A2038" s="38">
        <v>6.0166000000000004</v>
      </c>
      <c r="B2038" s="21">
        <v>45672.461419328705</v>
      </c>
    </row>
    <row r="2039" spans="1:2" x14ac:dyDescent="0.25">
      <c r="A2039" s="38">
        <v>6.0479000000000003</v>
      </c>
      <c r="B2039" s="21">
        <v>45672.423232280089</v>
      </c>
    </row>
    <row r="2040" spans="1:2" x14ac:dyDescent="0.25">
      <c r="A2040" s="38">
        <v>6.0670999999999999</v>
      </c>
      <c r="B2040" s="21">
        <v>45671.546841041665</v>
      </c>
    </row>
    <row r="2041" spans="1:2" x14ac:dyDescent="0.25">
      <c r="A2041" s="38">
        <v>6.0532000000000004</v>
      </c>
      <c r="B2041" s="21">
        <v>45671.546840983799</v>
      </c>
    </row>
    <row r="2042" spans="1:2" x14ac:dyDescent="0.25">
      <c r="A2042" s="38">
        <v>6.0707000000000004</v>
      </c>
      <c r="B2042" s="21">
        <v>45671.502656469907</v>
      </c>
    </row>
    <row r="2043" spans="1:2" x14ac:dyDescent="0.25">
      <c r="A2043" s="38">
        <v>6.0648</v>
      </c>
      <c r="B2043" s="21">
        <v>45671.462801504633</v>
      </c>
    </row>
    <row r="2044" spans="1:2" x14ac:dyDescent="0.25">
      <c r="A2044" s="38">
        <v>6.0797999999999996</v>
      </c>
      <c r="B2044" s="21">
        <v>45671.420474733794</v>
      </c>
    </row>
    <row r="2045" spans="1:2" x14ac:dyDescent="0.25">
      <c r="A2045" s="38">
        <v>6.1078999999999999</v>
      </c>
      <c r="B2045" s="21">
        <v>45670.544100185187</v>
      </c>
    </row>
    <row r="2046" spans="1:2" x14ac:dyDescent="0.25">
      <c r="A2046" s="38">
        <v>6.1055999999999999</v>
      </c>
      <c r="B2046" s="21">
        <v>45670.544100046296</v>
      </c>
    </row>
    <row r="2047" spans="1:2" x14ac:dyDescent="0.25">
      <c r="A2047" s="38">
        <v>6.1138000000000003</v>
      </c>
      <c r="B2047" s="21">
        <v>45670.506575208332</v>
      </c>
    </row>
    <row r="2048" spans="1:2" x14ac:dyDescent="0.25">
      <c r="A2048" s="38">
        <v>6.1173000000000002</v>
      </c>
      <c r="B2048" s="21">
        <v>45670.46488511574</v>
      </c>
    </row>
    <row r="2049" spans="1:2" x14ac:dyDescent="0.25">
      <c r="A2049" s="38">
        <v>6.0948000000000002</v>
      </c>
      <c r="B2049" s="21">
        <v>45670.419085243055</v>
      </c>
    </row>
    <row r="2050" spans="1:2" x14ac:dyDescent="0.25">
      <c r="A2050" s="38">
        <v>6.0964999999999998</v>
      </c>
      <c r="B2050" s="21">
        <v>45667.544795624999</v>
      </c>
    </row>
    <row r="2051" spans="1:2" x14ac:dyDescent="0.25">
      <c r="A2051" s="38">
        <v>6.1139000000000001</v>
      </c>
      <c r="B2051" s="21">
        <v>45667.544795567126</v>
      </c>
    </row>
    <row r="2052" spans="1:2" x14ac:dyDescent="0.25">
      <c r="A2052" s="38">
        <v>6.1108000000000002</v>
      </c>
      <c r="B2052" s="21">
        <v>45667.505144780094</v>
      </c>
    </row>
    <row r="2053" spans="1:2" x14ac:dyDescent="0.25">
      <c r="A2053" s="38">
        <v>6.1026999999999996</v>
      </c>
      <c r="B2053" s="21">
        <v>45667.461410902775</v>
      </c>
    </row>
    <row r="2054" spans="1:2" x14ac:dyDescent="0.25">
      <c r="A2054" s="38">
        <v>6.0586000000000002</v>
      </c>
      <c r="B2054" s="21">
        <v>45667.421851099534</v>
      </c>
    </row>
    <row r="2055" spans="1:2" x14ac:dyDescent="0.25">
      <c r="A2055" s="38">
        <v>6.0895999999999999</v>
      </c>
      <c r="B2055" s="21">
        <v>45666.544072083336</v>
      </c>
    </row>
    <row r="2056" spans="1:2" x14ac:dyDescent="0.25">
      <c r="A2056" s="38">
        <v>6.069</v>
      </c>
      <c r="B2056" s="21">
        <v>45666.544071979166</v>
      </c>
    </row>
    <row r="2057" spans="1:2" x14ac:dyDescent="0.25">
      <c r="A2057" s="38">
        <v>6.0763999999999996</v>
      </c>
      <c r="B2057" s="21">
        <v>45666.50171650463</v>
      </c>
    </row>
    <row r="2058" spans="1:2" x14ac:dyDescent="0.25">
      <c r="A2058" s="38">
        <v>6.1045999999999996</v>
      </c>
      <c r="B2058" s="21">
        <v>45666.462116145834</v>
      </c>
    </row>
    <row r="2059" spans="1:2" x14ac:dyDescent="0.25">
      <c r="A2059" s="38">
        <v>6.1083999999999996</v>
      </c>
      <c r="B2059" s="21">
        <v>45666.419750208333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CE21-DE2D-42CC-9DFB-145BCC3EB4D3}">
  <dimension ref="A1:M6"/>
  <sheetViews>
    <sheetView tabSelected="1" workbookViewId="0">
      <selection activeCell="H14" sqref="H14"/>
    </sheetView>
  </sheetViews>
  <sheetFormatPr defaultRowHeight="15" x14ac:dyDescent="0.25"/>
  <cols>
    <col min="2" max="2" width="10.7109375" bestFit="1" customWidth="1"/>
    <col min="3" max="3" width="8.140625" bestFit="1" customWidth="1"/>
    <col min="4" max="4" width="7" bestFit="1" customWidth="1"/>
    <col min="5" max="5" width="8.85546875" bestFit="1" customWidth="1"/>
    <col min="6" max="6" width="8.140625" bestFit="1" customWidth="1"/>
    <col min="7" max="7" width="7.7109375" bestFit="1" customWidth="1"/>
    <col min="8" max="8" width="20.140625" bestFit="1" customWidth="1"/>
    <col min="9" max="9" width="8.5703125" bestFit="1" customWidth="1"/>
    <col min="10" max="10" width="6.7109375" bestFit="1" customWidth="1"/>
    <col min="11" max="11" width="11.28515625" bestFit="1" customWidth="1"/>
    <col min="12" max="12" width="11.85546875" bestFit="1" customWidth="1"/>
    <col min="13" max="13" width="20.5703125" bestFit="1" customWidth="1"/>
  </cols>
  <sheetData>
    <row r="1" spans="1:13" x14ac:dyDescent="0.25">
      <c r="A1" t="s">
        <v>0</v>
      </c>
      <c r="B1" t="s">
        <v>41</v>
      </c>
      <c r="C1" t="s">
        <v>42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61</v>
      </c>
      <c r="J1" t="s">
        <v>62</v>
      </c>
      <c r="K1" t="s">
        <v>63</v>
      </c>
      <c r="L1" t="s">
        <v>36</v>
      </c>
      <c r="M1" t="s">
        <v>64</v>
      </c>
    </row>
    <row r="2" spans="1:13" x14ac:dyDescent="0.25">
      <c r="A2" t="s">
        <v>65</v>
      </c>
      <c r="B2" t="str">
        <f>RTD("rtdtrading.rtdserver",, "DAPFUT_F_0", "DAT")</f>
        <v>30/12/1899</v>
      </c>
      <c r="C2" t="str">
        <f>RTD("rtdtrading.rtdserver",, "DAPFUT_F_0", "HOR")</f>
        <v>00:00:00</v>
      </c>
      <c r="D2">
        <f>RTD("rtdtrading.rtdserver",, "DAPFUT_F_0", "ULT")</f>
        <v>0</v>
      </c>
      <c r="E2">
        <f>RTD("rtdtrading.rtdserver",, "DAPFUT_F_0", "ABE")</f>
        <v>0</v>
      </c>
      <c r="F2">
        <f>RTD("rtdtrading.rtdserver",, "DAPFUT_F_0", "MAX")</f>
        <v>0</v>
      </c>
      <c r="G2">
        <f>RTD("rtdtrading.rtdserver",, "DAPFUT_F_0", "MIN")</f>
        <v>0</v>
      </c>
      <c r="H2">
        <f>RTD("rtdtrading.rtdserver",, "DAPFUT_F_0", "FEC")</f>
        <v>0</v>
      </c>
      <c r="I2">
        <f>RTD("rtdtrading.rtdserver",, "DAPFUT_F_0", "VAR")</f>
        <v>0</v>
      </c>
      <c r="J2">
        <f>RTD("rtdtrading.rtdserver",, "DAPFUT_F_0", "AJU")</f>
        <v>0</v>
      </c>
      <c r="K2">
        <f>RTD("rtdtrading.rtdserver",, "DAPFUT_F_0", "AJA")</f>
        <v>0</v>
      </c>
      <c r="L2" t="str">
        <f>RTD("rtdtrading.rtdserver",, "DAPFUT_F_0", "VEN")</f>
        <v>11/09/2026</v>
      </c>
      <c r="M2" t="str">
        <f>RTD("rtdtrading.rtdserver",, "DAPFUT_F_0", "101_RGM_AJUSTE_D0_DOL")</f>
        <v/>
      </c>
    </row>
    <row r="3" spans="1:13" x14ac:dyDescent="0.25">
      <c r="A3" t="s">
        <v>34</v>
      </c>
      <c r="B3" t="str">
        <f>RTD("rtdtrading.rtdserver",, "DI1FUT_F_0", "DAT")</f>
        <v>30/12/1899</v>
      </c>
      <c r="C3" t="str">
        <f>RTD("rtdtrading.rtdserver",, "DI1FUT_F_0", "HOR")</f>
        <v>00:00:00</v>
      </c>
      <c r="D3">
        <f>RTD("rtdtrading.rtdserver",, "DI1FUT_F_0", "ULT")</f>
        <v>0</v>
      </c>
      <c r="E3">
        <f>RTD("rtdtrading.rtdserver",, "DI1FUT_F_0", "ABE")</f>
        <v>0</v>
      </c>
      <c r="F3">
        <f>RTD("rtdtrading.rtdserver",, "DI1FUT_F_0", "MAX")</f>
        <v>0</v>
      </c>
      <c r="G3">
        <f>RTD("rtdtrading.rtdserver",, "DI1FUT_F_0", "MIN")</f>
        <v>0</v>
      </c>
      <c r="H3">
        <f>RTD("rtdtrading.rtdserver",, "DI1FUT_F_0", "FEC")</f>
        <v>0</v>
      </c>
      <c r="I3">
        <f>RTD("rtdtrading.rtdserver",, "DI1FUT_F_0", "VAR")</f>
        <v>0</v>
      </c>
      <c r="J3">
        <f>RTD("rtdtrading.rtdserver",, "DI1FUT_F_0", "AJU")</f>
        <v>0</v>
      </c>
      <c r="K3">
        <f>RTD("rtdtrading.rtdserver",, "DI1FUT_F_0", "AJA")</f>
        <v>0</v>
      </c>
      <c r="L3" t="str">
        <f>RTD("rtdtrading.rtdserver",, "DI1FUT_F_0", "VEN")</f>
        <v>11/09/2026</v>
      </c>
      <c r="M3" t="str">
        <f>RTD("rtdtrading.rtdserver",, "DI1FUT_F_0", "101_RGM_AJUSTE_D0_DOL")</f>
        <v/>
      </c>
    </row>
    <row r="4" spans="1:13" x14ac:dyDescent="0.25">
      <c r="A4" t="s">
        <v>66</v>
      </c>
      <c r="B4" t="str">
        <f>RTD("rtdtrading.rtdserver",, "DX1FUT_F_0", "DAT")</f>
        <v>30/12/1899</v>
      </c>
      <c r="C4" t="str">
        <f>RTD("rtdtrading.rtdserver",, "DX1FUT_F_0", "HOR")</f>
        <v>00:00:00</v>
      </c>
      <c r="D4">
        <f>RTD("rtdtrading.rtdserver",, "DX1FUT_F_0", "ULT")</f>
        <v>0</v>
      </c>
      <c r="E4">
        <f>RTD("rtdtrading.rtdserver",, "DX1FUT_F_0", "ABE")</f>
        <v>0</v>
      </c>
      <c r="F4">
        <f>RTD("rtdtrading.rtdserver",, "DX1FUT_F_0", "MAX")</f>
        <v>0</v>
      </c>
      <c r="G4">
        <f>RTD("rtdtrading.rtdserver",, "DX1FUT_F_0", "MIN")</f>
        <v>0</v>
      </c>
      <c r="H4">
        <f>RTD("rtdtrading.rtdserver",, "DX1FUT_F_0", "FEC")</f>
        <v>0</v>
      </c>
      <c r="I4">
        <f>RTD("rtdtrading.rtdserver",, "DX1FUT_F_0", "VAR")</f>
        <v>0</v>
      </c>
      <c r="J4">
        <f>RTD("rtdtrading.rtdserver",, "DX1FUT_F_0", "AJU")</f>
        <v>0</v>
      </c>
      <c r="K4">
        <f>RTD("rtdtrading.rtdserver",, "DX1FUT_F_0", "AJA")</f>
        <v>0</v>
      </c>
      <c r="L4" t="str">
        <f>RTD("rtdtrading.rtdserver",, "DX1FUT_F_0", "VEN")</f>
        <v>11/09/2026</v>
      </c>
      <c r="M4" t="str">
        <f>RTD("rtdtrading.rtdserver",, "DX1FUT_F_0", "101_RGM_AJUSTE_D0_DOL")</f>
        <v/>
      </c>
    </row>
    <row r="5" spans="1:13" x14ac:dyDescent="0.25">
      <c r="A5" t="s">
        <v>8</v>
      </c>
      <c r="B5" t="str">
        <f>RTD("rtdtrading.rtdserver",, "FRP0_F_0", "DAT")</f>
        <v>30/12/1899</v>
      </c>
      <c r="C5" t="str">
        <f>RTD("rtdtrading.rtdserver",, "FRP0_F_0", "HOR")</f>
        <v>00:00:00</v>
      </c>
      <c r="D5">
        <f>RTD("rtdtrading.rtdserver",, "FRP0_F_0", "ULT")</f>
        <v>0</v>
      </c>
      <c r="E5">
        <f>RTD("rtdtrading.rtdserver",, "FRP0_F_0", "ABE")</f>
        <v>0</v>
      </c>
      <c r="F5">
        <f>RTD("rtdtrading.rtdserver",, "FRP0_F_0", "MAX")</f>
        <v>0</v>
      </c>
      <c r="G5">
        <f>RTD("rtdtrading.rtdserver",, "FRP0_F_0", "MIN")</f>
        <v>0</v>
      </c>
      <c r="H5">
        <f>RTD("rtdtrading.rtdserver",, "FRP0_F_0", "FEC")</f>
        <v>0</v>
      </c>
      <c r="I5">
        <f>RTD("rtdtrading.rtdserver",, "FRP0_F_0", "VAR")</f>
        <v>0</v>
      </c>
      <c r="J5">
        <f>RTD("rtdtrading.rtdserver",, "FRP0_F_0", "AJU")</f>
        <v>0</v>
      </c>
      <c r="K5">
        <f>RTD("rtdtrading.rtdserver",, "FRP0_F_0", "AJA")</f>
        <v>0</v>
      </c>
      <c r="L5" t="str">
        <f>RTD("rtdtrading.rtdserver",, "FRP0_F_0", "VEN")</f>
        <v>11/09/2026</v>
      </c>
      <c r="M5" t="str">
        <f>RTD("rtdtrading.rtdserver",, "FRP0_F_0", "101_RGM_AJUSTE_D0_DOL")</f>
        <v/>
      </c>
    </row>
    <row r="6" spans="1:13" x14ac:dyDescent="0.25">
      <c r="A6" t="s">
        <v>7</v>
      </c>
      <c r="B6" t="str">
        <f>RTD("rtdtrading.rtdserver",, "WDOFUT_F_0", "DAT")</f>
        <v>30/12/1899</v>
      </c>
      <c r="C6" t="str">
        <f>RTD("rtdtrading.rtdserver",, "WDOFUT_F_0", "HOR")</f>
        <v>00:00:00</v>
      </c>
      <c r="D6">
        <f>RTD("rtdtrading.rtdserver",, "WDOFUT_F_0", "ULT")</f>
        <v>0</v>
      </c>
      <c r="E6">
        <f>RTD("rtdtrading.rtdserver",, "WDOFUT_F_0", "ABE")</f>
        <v>0</v>
      </c>
      <c r="F6">
        <f>RTD("rtdtrading.rtdserver",, "WDOFUT_F_0", "MAX")</f>
        <v>0</v>
      </c>
      <c r="G6">
        <f>RTD("rtdtrading.rtdserver",, "WDOFUT_F_0", "MIN")</f>
        <v>0</v>
      </c>
      <c r="H6">
        <f>RTD("rtdtrading.rtdserver",, "WDOFUT_F_0", "FEC")</f>
        <v>0</v>
      </c>
      <c r="I6">
        <f>RTD("rtdtrading.rtdserver",, "WDOFUT_F_0", "VAR")</f>
        <v>0</v>
      </c>
      <c r="J6">
        <f>RTD("rtdtrading.rtdserver",, "WDOFUT_F_0", "AJU")</f>
        <v>0</v>
      </c>
      <c r="K6">
        <f>RTD("rtdtrading.rtdserver",, "WDOFUT_F_0", "AJA")</f>
        <v>0</v>
      </c>
      <c r="L6" t="str">
        <f>RTD("rtdtrading.rtdserver",, "WDOFUT_F_0", "VEN")</f>
        <v>11/09/2026</v>
      </c>
      <c r="M6" t="str">
        <f>RTD("rtdtrading.rtdserver",, "WDOFUT_F_0", "101_RGM_AJUSTE_D0_DOL")</f>
        <v/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3A05D0-DF34-47E7-B20D-D2567ABD5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SV com Ptax</vt:lpstr>
      <vt:lpstr>DADOS HISTÓRICOS</vt:lpstr>
      <vt:lpstr>01_07 a 10_10 DOLFUT VOL 30min</vt:lpstr>
      <vt:lpstr>PTAX BC</vt:lpstr>
      <vt:lpstr>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mesa renda variável</dc:creator>
  <cp:lastModifiedBy>Rafael Gonzales</cp:lastModifiedBy>
  <dcterms:created xsi:type="dcterms:W3CDTF">2025-01-17T18:11:53Z</dcterms:created>
  <dcterms:modified xsi:type="dcterms:W3CDTF">2026-09-01T13:59:16Z</dcterms:modified>
</cp:coreProperties>
</file>